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4.xml" ContentType="application/vnd.openxmlformats-officedocument.spreadsheetml.worksheet+xml"/>
  <Override PartName="/xl/worksheets/sheet15.xml" ContentType="application/vnd.openxmlformats-officedocument.spreadsheetml.worksheet+xml"/>
  <Override PartName="/xl/worksheets/sheet25.xml" ContentType="application/vnd.openxmlformats-officedocument.spreadsheetml.worksheet+xml"/>
  <Override PartName="/xl/worksheets/sheet17.xml" ContentType="application/vnd.openxmlformats-officedocument.spreadsheetml.worksheet+xml"/>
  <Override PartName="/xl/worksheets/sheet26.xml" ContentType="application/vnd.openxmlformats-officedocument.spreadsheetml.worksheet+xml"/>
  <Override PartName="/xl/worksheets/sheet1.xml" ContentType="application/vnd.openxmlformats-officedocument.spreadsheetml.worksheet+xml"/>
  <Override PartName="/xl/worksheets/sheet4.xml" ContentType="application/vnd.openxmlformats-officedocument.spreadsheetml.worksheet+xml"/>
  <Override PartName="/xl/worksheets/sheet19.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18.xml" ContentType="application/vnd.openxmlformats-officedocument.spreadsheetml.worksheet+xml"/>
  <Override PartName="/xl/worksheets/sheet12.xml" ContentType="application/vnd.openxmlformats-officedocument.spreadsheetml.worksheet+xml"/>
  <Override PartName="/xl/worksheets/sheet21.xml" ContentType="application/vnd.openxmlformats-officedocument.spreadsheetml.worksheet+xml"/>
  <Override PartName="/xl/worksheets/sheet20.xml" ContentType="application/vnd.openxmlformats-officedocument.spreadsheetml.worksheet+xml"/>
  <Override PartName="/xl/worksheets/sheet10.xml" ContentType="application/vnd.openxmlformats-officedocument.spreadsheetml.worksheet+xml"/>
  <Override PartName="/xl/worksheets/sheet8.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24.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22.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charts/style1.xml" ContentType="application/vnd.ms-office.chartstyle+xml"/>
  <Override PartName="/xl/charts/style13.xml" ContentType="application/vnd.ms-office.chartstyle+xml"/>
  <Override PartName="/xl/charts/style14.xml" ContentType="application/vnd.ms-office.chartstyle+xml"/>
  <Override PartName="/xl/charts/colors19.xml" ContentType="application/vnd.ms-office.chartcolorstyle+xml"/>
  <Override PartName="/xl/charts/style3.xml" ContentType="application/vnd.ms-office.chartstyle+xml"/>
  <Override PartName="/xl/charts/chart8.xml" ContentType="application/vnd.openxmlformats-officedocument.drawingml.chart+xml"/>
  <Override PartName="/xl/charts/colors9.xml" ContentType="application/vnd.ms-office.chartcolorstyle+xml"/>
  <Override PartName="/xl/charts/colors10.xml" ContentType="application/vnd.ms-office.chartcolorstyle+xml"/>
  <Override PartName="/xl/charts/style16.xml" ContentType="application/vnd.ms-office.chartstyle+xml"/>
  <Override PartName="/xl/charts/style5.xml" ContentType="application/vnd.ms-office.chartstyle+xml"/>
  <Override PartName="/xl/charts/colors16.xml" ContentType="application/vnd.ms-office.chartcolorstyle+xml"/>
  <Override PartName="/xl/charts/style6.xml" ContentType="application/vnd.ms-office.chartstyle+xml"/>
  <Override PartName="/xl/charts/colors6.xml" ContentType="application/vnd.ms-office.chartcolorstyle+xml"/>
  <Override PartName="/xl/charts/colors21.xml" ContentType="application/vnd.ms-office.chartcolorstyle+xml"/>
  <Override PartName="/xl/charts/chart22.xml" ContentType="application/vnd.openxmlformats-officedocument.drawingml.chart+xml"/>
  <Override PartName="/xl/charts/chart5.xml" ContentType="application/vnd.openxmlformats-officedocument.drawingml.chart+xml"/>
  <Override PartName="/xl/charts/chart17.xml" ContentType="application/vnd.openxmlformats-officedocument.drawingml.chart+xml"/>
  <Override PartName="/xl/charts/colors7.xml" ContentType="application/vnd.ms-office.chartcolorstyle+xml"/>
  <Override PartName="/xl/charts/chart6.xml" ContentType="application/vnd.openxmlformats-officedocument.drawingml.chart+xml"/>
  <Override PartName="/xl/charts/colors11.xml" ContentType="application/vnd.ms-office.chartcolorstyle+xml"/>
  <Override PartName="/xl/charts/chart10.xml" ContentType="application/vnd.openxmlformats-officedocument.drawingml.chart+xml"/>
  <Override PartName="/xl/charts/colors17.xml" ContentType="application/vnd.ms-office.chartcolorstyle+xml"/>
  <Override PartName="/xl/charts/style7.xml" ContentType="application/vnd.ms-office.chartstyle+xml"/>
  <Override PartName="/xl/charts/colors5.xml" ContentType="application/vnd.ms-office.chartcolorstyle+xml"/>
  <Override PartName="/xl/charts/chart1.xml" ContentType="application/vnd.openxmlformats-officedocument.drawingml.chart+xml"/>
  <Override PartName="/xl/charts/chart11.xml" ContentType="application/vnd.openxmlformats-officedocument.drawingml.chart+xml"/>
  <Override PartName="/xl/charts/chart18.xml" ContentType="application/vnd.openxmlformats-officedocument.drawingml.chart+xml"/>
  <Override PartName="/xl/charts/style20.xml" ContentType="application/vnd.ms-office.chartstyle+xml"/>
  <Override PartName="/xl/charts/colors12.xml" ContentType="application/vnd.ms-office.chartcolorstyle+xml"/>
  <Override PartName="/xl/charts/colors18.xml" ContentType="application/vnd.ms-office.chartcolorstyle+xml"/>
  <Override PartName="/xl/charts/chart4.xml" ContentType="application/vnd.openxmlformats-officedocument.drawingml.chart+xml"/>
  <Override PartName="/xl/charts/colors1.xml" ContentType="application/vnd.ms-office.chartcolorstyle+xml"/>
  <Override PartName="/xl/charts/style15.xml" ContentType="application/vnd.ms-office.chartstyle+xml"/>
  <Override PartName="/xl/charts/colors14.xml" ContentType="application/vnd.ms-office.chartcolorstyle+xml"/>
  <Override PartName="/xl/charts/colors20.xml" ContentType="application/vnd.ms-office.chartcolorstyle+xml"/>
  <Override PartName="/xl/charts/chart2.xml" ContentType="application/vnd.openxmlformats-officedocument.drawingml.chart+xml"/>
  <Override PartName="/xl/charts/colors4.xml" ContentType="application/vnd.ms-office.chartcolorstyle+xml"/>
  <Override PartName="/xl/charts/colors2.xml" ContentType="application/vnd.ms-office.chartcolorstyle+xml"/>
  <Override PartName="/xl/charts/colors3.xml" ContentType="application/vnd.ms-office.chartcolorstyle+xml"/>
  <Override PartName="/xl/charts/colors8.xml" ContentType="application/vnd.ms-office.chartcolorstyle+xml"/>
  <Override PartName="/xl/charts/chart3.xml" ContentType="application/vnd.openxmlformats-officedocument.drawingml.chart+xml"/>
  <Override PartName="/xl/charts/chart13.xml" ContentType="application/vnd.openxmlformats-officedocument.drawingml.chart+xml"/>
  <Override PartName="/xl/charts/style2.xml" ContentType="application/vnd.ms-office.chartstyle+xml"/>
  <Override PartName="/xl/charts/chart21.xml" ContentType="application/vnd.openxmlformats-officedocument.drawingml.chart+xml"/>
  <Override PartName="/xl/charts/style10.xml" ContentType="application/vnd.ms-office.chartstyle+xml"/>
  <Override PartName="/xl/charts/style19.xml" ContentType="application/vnd.ms-office.chartstyle+xml"/>
  <Override PartName="/xl/charts/colors15.xml" ContentType="application/vnd.ms-office.chartcolorstyle+xml"/>
  <Override PartName="/xl/charts/style21.xml" ContentType="application/vnd.ms-office.chartstyle+xml"/>
  <Override PartName="/xl/charts/chart16.xml" ContentType="application/vnd.openxmlformats-officedocument.drawingml.chart+xml"/>
  <Override PartName="/xl/charts/style22.xml" ContentType="application/vnd.ms-office.chartstyle+xml"/>
  <Override PartName="/xl/charts/style17.xml" ContentType="application/vnd.ms-office.chartstyle+xml"/>
  <Override PartName="/xl/charts/chart12.xml" ContentType="application/vnd.openxmlformats-officedocument.drawingml.chart+xml"/>
  <Override PartName="/xl/charts/chart14.xml" ContentType="application/vnd.openxmlformats-officedocument.drawingml.chart+xml"/>
  <Override PartName="/xl/charts/colors13.xml" ContentType="application/vnd.ms-office.chartcolorstyle+xml"/>
  <Override PartName="/xl/charts/chart19.xml" ContentType="application/vnd.openxmlformats-officedocument.drawingml.chart+xml"/>
  <Override PartName="/xl/charts/style18.xml" ContentType="application/vnd.ms-office.chartstyle+xml"/>
  <Override PartName="/xl/charts/style11.xml" ContentType="application/vnd.ms-office.chartstyle+xml"/>
  <Override PartName="/xl/charts/chart20.xml" ContentType="application/vnd.openxmlformats-officedocument.drawingml.chart+xml"/>
  <Override PartName="/xl/charts/chart15.xml" ContentType="application/vnd.openxmlformats-officedocument.drawingml.chart+xml"/>
  <Override PartName="/xl/charts/style9.xml" ContentType="application/vnd.ms-office.chartstyle+xml"/>
  <Override PartName="/xl/charts/style8.xml" ContentType="application/vnd.ms-office.chartstyle+xml"/>
  <Override PartName="/xl/charts/style4.xml" ContentType="application/vnd.ms-office.chartstyle+xml"/>
  <Override PartName="/xl/charts/chart9.xml" ContentType="application/vnd.openxmlformats-officedocument.drawingml.chart+xml"/>
  <Override PartName="/xl/charts/style12.xml" ContentType="application/vnd.ms-office.chartstyle+xml"/>
  <Override PartName="/xl/charts/chart7.xml" ContentType="application/vnd.openxmlformats-officedocument.drawingml.chart+xml"/>
  <Override PartName="/xl/charts/colors22.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Cover" sheetId="1" state="visible" r:id="rId3"/>
    <sheet name="Drivers" sheetId="2" state="visible" r:id="rId4"/>
    <sheet name="Historicals" sheetId="3" state="visible" r:id="rId5"/>
    <sheet name="3 Statement Forecast" sheetId="4" state="visible" r:id="rId6"/>
    <sheet name="Debt &amp; Interest" sheetId="5" state="visible" r:id="rId7"/>
    <sheet name="Legacy Cohort Model" sheetId="6" state="visible" r:id="rId8"/>
    <sheet name="Acquired Pool" sheetId="7" state="visible" r:id="rId9"/>
    <sheet name="GABX Mini P&amp;L" sheetId="8" state="visible" r:id="rId10"/>
    <sheet name="Segment P&amp;L" sheetId="9" state="visible" r:id="rId11"/>
    <sheet name="Disposition Engine" sheetId="10" state="visible" r:id="rId12"/>
    <sheet name="Thesis Test" sheetId="11" state="visible" r:id="rId13"/>
    <sheet name="Valuation" sheetId="12" state="visible" r:id="rId14"/>
    <sheet name="Quarterly 2026" sheetId="13" state="visible" r:id="rId15"/>
    <sheet name="Consensus Bridge" sheetId="14" state="visible" r:id="rId16"/>
    <sheet name="Rating" sheetId="15" state="visible" r:id="rId17"/>
    <sheet name="DCF" sheetId="16" state="visible" r:id="rId18"/>
    <sheet name="FCFE" sheetId="17" state="visible" r:id="rId19"/>
    <sheet name="NAV" sheetId="18" state="visible" r:id="rId20"/>
    <sheet name="Residual Income" sheetId="19" state="visible" r:id="rId21"/>
    <sheet name="Peer P-B vs ROE" sheetId="20" state="visible" r:id="rId22"/>
    <sheet name="Industry Supply" sheetId="21" state="visible" r:id="rId23"/>
    <sheet name="FSM Complete" sheetId="22" state="visible" r:id="rId24"/>
    <sheet name="Summary" sheetId="23" state="visible" r:id="rId25"/>
    <sheet name="Learn" sheetId="24" state="visible" r:id="rId26"/>
    <sheet name="Charts" sheetId="25" state="visible" r:id="rId27"/>
    <sheet name="Sensitivity v38" sheetId="26" state="visible" r:id="rId2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<sst xmlns="http://schemas.openxmlformats.org/spreadsheetml/2006/main" count="4388" uniqueCount="3307">
  <si>
    <t xml:space="preserve">GATX Corporation: Financial Statement Model</t>
  </si>
  <si>
    <t xml:space="preserve">$ mm except per share</t>
  </si>
  <si>
    <t xml:space="preserve">Company name</t>
  </si>
  <si>
    <t xml:space="preserve">GATX Corporation</t>
  </si>
  <si>
    <t xml:space="preserve">Ticker</t>
  </si>
  <si>
    <t xml:space="preserve">GATX</t>
  </si>
  <si>
    <t xml:space="preserve">Circ break 1=off, 0=on (no circular interest in this build)</t>
  </si>
  <si>
    <t xml:space="preserve">Latest closing share price</t>
  </si>
  <si>
    <t xml:space="preserve">Share price date</t>
  </si>
  <si>
    <t xml:space="preserve">Latest fiscal year end</t>
  </si>
  <si>
    <t xml:space="preserve">Shares outstanding (millions, diluted 2026E)</t>
  </si>
  <si>
    <t xml:space="preserve">x</t>
  </si>
  <si>
    <t xml:space="preserve">CONTENTS</t>
  </si>
  <si>
    <t xml:space="preserve">Sheet</t>
  </si>
  <si>
    <t xml:space="preserve">No.</t>
  </si>
  <si>
    <t xml:space="preserve">What it does</t>
  </si>
  <si>
    <t xml:space="preserve">Cover</t>
  </si>
  <si>
    <t xml:space="preserve">This sheet: contents, version log, checks, rating, sources</t>
  </si>
  <si>
    <t xml:space="preserve">Drivers</t>
  </si>
  <si>
    <t xml:space="preserve">All inputs (blue) + assumptions + derived cells with citation column</t>
  </si>
  <si>
    <t xml:space="preserve">Historicals</t>
  </si>
  <si>
    <t xml:space="preserve">5-6 years IS + BS from FY2020-2025 10-Ks, each year cited to its own filing</t>
  </si>
  <si>
    <t xml:space="preserve">3 Statement Forecast</t>
  </si>
  <si>
    <t xml:space="preserve">Full IS/BS/CFS 2025A-2035E, revolver-plug cash mechanic, balance check row 62</t>
  </si>
  <si>
    <t xml:space="preserve">Debt &amp; Interest</t>
  </si>
  <si>
    <t xml:space="preserve">Q2 2026 10-Q maturity ladder rolled forward; interest by fixed/floating buckets</t>
  </si>
  <si>
    <t xml:space="preserve">Legacy Cohort Model</t>
  </si>
  <si>
    <t xml:space="preserve">5 vintage cohorts (2021-2025) + base fleet, rate compounds at Terminal_LPI in 2031E+</t>
  </si>
  <si>
    <t xml:space="preserve">Acquired Pool</t>
  </si>
  <si>
    <t xml:space="preserve">Wells Fargo pool (98,535 cars); blended rate reprices expiring fraction at LPI</t>
  </si>
  <si>
    <t xml:space="preserve">GABX Mini P&amp;L</t>
  </si>
  <si>
    <t xml:space="preserve">JV P&amp;L direct from 10-Q Note 7; ownership steps 30% → 33.5% → +7%/tranche</t>
  </si>
  <si>
    <t xml:space="preserve">Segment P&amp;L</t>
  </si>
  <si>
    <t xml:space="preserve">Rail NA / Rail Intl / Engine Leasing / Other rollup into consolidated revenue</t>
  </si>
  <si>
    <t xml:space="preserve">Disposition Engine</t>
  </si>
  <si>
    <t xml:space="preserve">Cars sold + scrapped × gain-per-car; 2026 legacy dispo tied to guidance</t>
  </si>
  <si>
    <t xml:space="preserve">Thesis Test</t>
  </si>
  <si>
    <t xml:space="preserve">Sources vs uses grid; LPI × new-issue-rate sensitivity; kill-criterion tests</t>
  </si>
  <si>
    <t xml:space="preserve">Valuation</t>
  </si>
  <si>
    <t xml:space="preserve">P/E scenario weighting (bear/base/bull) → probability-weighted target price</t>
  </si>
  <si>
    <t xml:space="preserve">Quarterly 2026</t>
  </si>
  <si>
    <t xml:space="preserve">Q3 2026 preview build from Q2 release + H2 splits</t>
  </si>
  <si>
    <t xml:space="preserve">Consensus Bridge</t>
  </si>
  <si>
    <t xml:space="preserve">Street 2027E EPS $11.27 vs model 2027E EPS bridge; driver deltas</t>
  </si>
  <si>
    <t xml:space="preserve">Rating</t>
  </si>
  <si>
    <t xml:space="preserve">Rating rule (BUY/HOLD/SELL) from expected return; kill-criteria status board</t>
  </si>
  <si>
    <t xml:space="preserve">DCF</t>
  </si>
  <si>
    <t xml:space="preserve">Unlevered FCF DCF (weight 0); WACC buildup; sensitivity grids (WACC × g)</t>
  </si>
  <si>
    <t xml:space="preserve">FCFE</t>
  </si>
  <si>
    <t xml:space="preserve">FCFE valuation (weight 0); Ke × g sensitivity grid</t>
  </si>
  <si>
    <t xml:space="preserve">NAV</t>
  </si>
  <si>
    <t xml:space="preserve">Vintage-based fleet mark (v21); reverse-NAV anchor (v21); v22 calibration retired</t>
  </si>
  <si>
    <t xml:space="preserve">Residual Income</t>
  </si>
  <si>
    <t xml:space="preserve">RI = NI − Ke × opening book; 10-year linear fade; Ke × fade sensitivity</t>
  </si>
  <si>
    <t xml:space="preserve">Peer P-B vs ROE</t>
  </si>
  <si>
    <t xml:space="preserve">Peer P/B vs ROE regression; primary = 7-name pure-lessor fit (R² 0.03)</t>
  </si>
  <si>
    <t xml:space="preserve">FSM Complete</t>
  </si>
  <si>
    <t xml:space="preserve">Consolidated view (formulas-only, linked)</t>
  </si>
  <si>
    <t xml:space="preserve">Summary</t>
  </si>
  <si>
    <t xml:space="preserve">Headline summary table; error-cell check</t>
  </si>
  <si>
    <t xml:space="preserve">VERSION LOG</t>
  </si>
  <si>
    <t xml:space="preserve">Version</t>
  </si>
  <si>
    <t xml:space="preserve">Date</t>
  </si>
  <si>
    <t xml:space="preserve">What changed</t>
  </si>
  <si>
    <t xml:space="preserve">v1</t>
  </si>
  <si>
    <t xml:space="preserve">2026-09-24</t>
  </si>
  <si>
    <t xml:space="preserve">Initial IS build; 2025A from FY2025 10-K</t>
  </si>
  <si>
    <t xml:space="preserve">v2</t>
  </si>
  <si>
    <t xml:space="preserve">BS added; historical years cited to their own 10-Ks</t>
  </si>
  <si>
    <t xml:space="preserve">v3</t>
  </si>
  <si>
    <t xml:space="preserve">CFS added; revolver plug; balance check row</t>
  </si>
  <si>
    <t xml:space="preserve">v4</t>
  </si>
  <si>
    <t xml:space="preserve">Legacy Cohort Model added; 5 vintages + base fleet</t>
  </si>
  <si>
    <t xml:space="preserve">v5</t>
  </si>
  <si>
    <t xml:space="preserve">Acquired Pool (Wells Fargo) added</t>
  </si>
  <si>
    <t xml:space="preserve">v6</t>
  </si>
  <si>
    <t xml:space="preserve">Full rebuild per user rules (no removal, no invention, WF in 2026 CFI)</t>
  </si>
  <si>
    <t xml:space="preserve">v7</t>
  </si>
  <si>
    <t xml:space="preserve">Fixed/floating debt split; interest by bucket per 10-Q p.42</t>
  </si>
  <si>
    <t xml:space="preserve">v8</t>
  </si>
  <si>
    <t xml:space="preserve">Valuation inputs (v8): FactSet peers, NTM P/E, dividend yield</t>
  </si>
  <si>
    <t xml:space="preserve">v9</t>
  </si>
  <si>
    <t xml:space="preserve">2026-09-25</t>
  </si>
  <si>
    <t xml:space="preserve">Sections 1-3: dispositions engine, GABX ownership/fees, 2028-2030 extension</t>
  </si>
  <si>
    <t xml:space="preserve">v10</t>
  </si>
  <si>
    <t xml:space="preserve">Fix 1: Rail NA other rev anchored $160M (no fee double-count); Fix 3: dispo reconciliation</t>
  </si>
  <si>
    <t xml:space="preserve">v11</t>
  </si>
  <si>
    <t xml:space="preserve">GABX P&amp;L build refined; Note 7 direct link</t>
  </si>
  <si>
    <t xml:space="preserve">v12</t>
  </si>
  <si>
    <t xml:space="preserve">Quarterly 2026 build; Consensus Bridge; Rating sheet; default rating rule</t>
  </si>
  <si>
    <t xml:space="preserve">v13</t>
  </si>
  <si>
    <t xml:space="preserve">DCF inputs (Rf, ERP, Beta, Kd, tax, terminal g); WACC buildup</t>
  </si>
  <si>
    <t xml:space="preserve">v14/v15</t>
  </si>
  <si>
    <t xml:space="preserve">2026-09-26</t>
  </si>
  <si>
    <t xml:space="preserve">FCFE build (v14); NTM P/E series restored to 2,606 obs (v15 audit)</t>
  </si>
  <si>
    <t xml:space="preserve">v16</t>
  </si>
  <si>
    <t xml:space="preserve">Summary sheet, P/E series restored (median 16.34x back), DCF links repointed</t>
  </si>
  <si>
    <t xml:space="preserve">v17</t>
  </si>
  <si>
    <t xml:space="preserve">DCF grids with bridge; terminal steady state 2031E-2035E (v17 item 2); RRPF at value; two relabels</t>
  </si>
  <si>
    <t xml:space="preserve">v18</t>
  </si>
  <si>
    <t xml:space="preserve">WSP structure attempt (openpyxl format-only fallback)</t>
  </si>
  <si>
    <t xml:space="preserve">v19</t>
  </si>
  <si>
    <t xml:space="preserve">WSP structure applied to labels + header block (rows 2-11)</t>
  </si>
  <si>
    <t xml:space="preserve">v20</t>
  </si>
  <si>
    <t xml:space="preserve">2026-09-27</t>
  </si>
  <si>
    <t xml:space="preserve">Lessor valuation pack: NAV, RI, Peer P/B vs ROE, earnings quality (initial build)</t>
  </si>
  <si>
    <t xml:space="preserve">v21</t>
  </si>
  <si>
    <t xml:space="preserve">NAV vintage rebuild + reverse-NAV anchor; RI formula corrected; peer FTAI removed; earnings quality backfilled 2023A/2024A</t>
  </si>
  <si>
    <t xml:space="preserve">v22</t>
  </si>
  <si>
    <t xml:space="preserve">2026-09-28</t>
  </si>
  <si>
    <t xml:space="preserve">NAV calibration factor retired (D124 = 1); auditor build</t>
  </si>
  <si>
    <t xml:space="preserve">v23</t>
  </si>
  <si>
    <t xml:space="preserve">Terminal state 2031E-2035E rebuilt bottom-up (Terminal_LPI 2%, Terminal_fleet_growth 1%, D&amp;A from PP&amp;E/life, capex per WO with 15% taper, D/(D+E) target-held); Cover rebuilt in WSP layout</t>
  </si>
  <si>
    <t xml:space="preserve">CHECKS SUMMARY (at-a-glance workbook health)</t>
  </si>
  <si>
    <t xml:space="preserve">Check</t>
  </si>
  <si>
    <t xml:space="preserve">Value</t>
  </si>
  <si>
    <t xml:space="preserve">Target / Source</t>
  </si>
  <si>
    <t xml:space="preserve">Balance check sum (11 years, must = 0)</t>
  </si>
  <si>
    <t xml:space="preserve">0.00 — 3SF row 62</t>
  </si>
  <si>
    <t xml:space="preserve">Cash BS vs CFS EOP max diff (must = 0)</t>
  </si>
  <si>
    <t xml:space="preserve">0.00 — 3SF row 36+37 vs row 93</t>
  </si>
  <si>
    <t xml:space="preserve">RI Check 1 max abs (must = 0)</t>
  </si>
  <si>
    <t xml:space="preserve">0.00 — RI!D74</t>
  </si>
  <si>
    <t xml:space="preserve">RI Check 2 max abs (forecast years, must = 0)</t>
  </si>
  <si>
    <t xml:space="preserve">0.00 — RI!D75</t>
  </si>
  <si>
    <t xml:space="preserve">NAV pool tie 2025A (must = 0)</t>
  </si>
  <si>
    <t xml:space="preserve">0.00 — NAV!D25 (pool sum vs 3SF PP&amp;E)</t>
  </si>
  <si>
    <t xml:space="preserve">NAV pool tie 2026E (must = 0)</t>
  </si>
  <si>
    <t xml:space="preserve">0.00 — NAV!E25</t>
  </si>
  <si>
    <t xml:space="preserve">FCFE identity delta max ($M)</t>
  </si>
  <si>
    <t xml:space="preserve">~0 — FCFE!D102:D106 (v14/15 identity)</t>
  </si>
  <si>
    <t xml:space="preserve">Summary sheet error cells (must = 0)</t>
  </si>
  <si>
    <t xml:space="preserve">0 — Summary!A1:H105</t>
  </si>
  <si>
    <t xml:space="preserve">v23 Item 1: Capex |YoY|% max (must ≤ 15%)</t>
  </si>
  <si>
    <t xml:space="preserve">≤ 0.15 — 3SF!D116</t>
  </si>
  <si>
    <t xml:space="preserve">v23 Item 1: EPS CAGR in [g+LPI, ROE×retention]?</t>
  </si>
  <si>
    <t xml:space="preserve">TRUE — 3SF!D127</t>
  </si>
  <si>
    <t xml:space="preserve">v23 Item 1: Implied LPI 2035E ≈ Terminal_LPI?</t>
  </si>
  <si>
    <t xml:space="preserve">≈ 0 — LCM!N46 vs Drivers!C704</t>
  </si>
  <si>
    <t xml:space="preserve">v23 Item 1: D/(D+E) 2035E vs 2030E target |delta| ≤ 0.5pp?</t>
  </si>
  <si>
    <t xml:space="preserve">OK — 3SF!N117 vs Drivers!C709</t>
  </si>
  <si>
    <t xml:space="preserve">AUDIT: audit_fsm.py fails count (pre-registered EPS = 1)</t>
  </si>
  <si>
    <t xml:space="preserve">1 pre-registered EPS FAIL (guidance vs model dispo gains); 8 PASS</t>
  </si>
  <si>
    <t xml:space="preserve">RATING (linked to Rating sheet)</t>
  </si>
  <si>
    <t xml:space="preserve">Probability-weighted target price ($/sh)</t>
  </si>
  <si>
    <t xml:space="preserve">Current price ($/sh)</t>
  </si>
  <si>
    <t xml:space="preserve">Expected 12-month total return</t>
  </si>
  <si>
    <t xml:space="preserve">BUY threshold</t>
  </si>
  <si>
    <t xml:space="preserve">SELL threshold</t>
  </si>
  <si>
    <t xml:space="preserve">SOURCES (vault filings folders)</t>
  </si>
  <si>
    <t xml:space="preserve">research/coverage/rail/gatx-10ks/ — 10-K filings FY2019-FY2025</t>
  </si>
  <si>
    <t xml:space="preserve">research/coverage/rail/gatx-filings/ — Q2 2026 10-Q, earnings release 2026-07-30, transcripts</t>
  </si>
  <si>
    <t xml:space="preserve">research/coverage/rail/gatx-consensus/ — FactSet + TipRanks + FXEmpire consensus + Consensus Bridge</t>
  </si>
  <si>
    <t xml:space="preserve">research/coverage/rail/factset/ — lessor-rail-comps snapshot 2026-09-21, valuation series</t>
  </si>
  <si>
    <t xml:space="preserve">research/coverage/rail/gatx-fleet-composition.md — Rail NA fleet mix, GATX 2026 Company Overview p.30</t>
  </si>
  <si>
    <t xml:space="preserve">research/coverage/rail/gatx-lease-pricing-history.md — LPI 2016-2025 series (Terminal_LPI = 2.0% anchor)</t>
  </si>
  <si>
    <t xml:space="preserve">research/coverage/rail/gatx-rates-and-credit-2026-09-24.md — 10y UST, bond YTW (DCF inputs)</t>
  </si>
  <si>
    <t xml:space="preserve">research/coverage/rail/railcar-supply-2026-09.md — RSI orders/deliveries/backlog (Terminal_fleet_growth = 1.0% anchor)</t>
  </si>
  <si>
    <t xml:space="preserve">research/coverage/rail/gatx-valuation.md + peer-lessors.md — cross-check valuation methods</t>
  </si>
  <si>
    <t xml:space="preserve">research/coverage/rail/falsified.md — falsified-claim ledger (FALS-01/02/03/08)</t>
  </si>
  <si>
    <t xml:space="preserve">reference/methodology/dcf-mechanics.md + dcf-wacc-and-inputs.md — DCF discipline</t>
  </si>
  <si>
    <t xml:space="preserve">monitoring/THRESHOLDS.md — kill-criteria (new-issue rate 6.00%; LPI break-even)</t>
  </si>
  <si>
    <t xml:space="preserve">calibration/METHOD.md — rating rule (Rating!D27 = 15% BUY, Rating!D28 = -5% SELL)</t>
  </si>
  <si>
    <t xml:space="preserve">Iterative calculation OFF (Circ_break D7=1). Save with F9 recalc if any input changed.</t>
  </si>
  <si>
    <t xml:space="preserve">v27: Scenario snapshot STALE check (must = NOT STALE)</t>
  </si>
  <si>
    <t xml:space="preserve">NOT STALE — Valuation C1 block</t>
  </si>
  <si>
    <t xml:space="preserve">v27: Base snapshot equals live 2027E EPS (must = 0)</t>
  </si>
  <si>
    <t xml:space="preserve">0 — Valuation C1 base-equals-live</t>
  </si>
  <si>
    <t xml:space="preserve">GATX FSM v6 — DRIVERS (blue = input; source on every row)</t>
  </si>
  <si>
    <t xml:space="preserve">Driver</t>
  </si>
  <si>
    <t xml:space="preserve">Source</t>
  </si>
  <si>
    <t xml:space="preserve">--- FLEET ---</t>
  </si>
  <si>
    <t xml:space="preserve">RailNA_ex_boxcars_YE2025</t>
  </si>
  <si>
    <t xml:space="preserve">FY2025 10-K p.31: Rail NA railcars ex-boxcars ending 100,593</t>
  </si>
  <si>
    <t xml:space="preserve">RailNA_boxcars_YE2025</t>
  </si>
  <si>
    <t xml:space="preserve">FY2025 10-K p.33: boxcars ending 7,032</t>
  </si>
  <si>
    <t xml:space="preserve">RailNA_utilization_YE2025</t>
  </si>
  <si>
    <t xml:space="preserve">FY2025 10-K p.31: 99.0% ex-boxcars</t>
  </si>
  <si>
    <t xml:space="preserve">RailNA_renewal_success_2025</t>
  </si>
  <si>
    <t xml:space="preserve">FY2025 10-K p.31: 87.3%</t>
  </si>
  <si>
    <t xml:space="preserve">LPI_FY2025</t>
  </si>
  <si>
    <t xml:space="preserve">FY2025 10-K p.32: +21.9%</t>
  </si>
  <si>
    <t xml:space="preserve">--- LEGACY COHORTS (5 vintages) ---</t>
  </si>
  <si>
    <t xml:space="preserve">Cohort_2021_cars</t>
  </si>
  <si>
    <t xml:space="preserve">Company Overview deck p.30 (2021 renewal count)</t>
  </si>
  <si>
    <t xml:space="preserve">Cohort_2022_cars</t>
  </si>
  <si>
    <t xml:space="preserve">Deck p.30</t>
  </si>
  <si>
    <t xml:space="preserve">Cohort_2023_cars</t>
  </si>
  <si>
    <t xml:space="preserve">Cohort_2024_cars</t>
  </si>
  <si>
    <t xml:space="preserve">Cohort_2025_cars</t>
  </si>
  <si>
    <t xml:space="preserve">FY2025 10-K p.31 (21,500 renewed FY2025)</t>
  </si>
  <si>
    <t xml:space="preserve">Legacy_base_fleet_cars</t>
  </si>
  <si>
    <t xml:space="preserve">Derived: 100,593 ex-boxcars − 5 cohorts × 98,100</t>
  </si>
  <si>
    <t xml:space="preserve">Cohort_2021_rate_pre</t>
  </si>
  <si>
    <t xml:space="preserve">Assumption: 2021 vintage low (LPI down cycle 2016-21)</t>
  </si>
  <si>
    <t xml:space="preserve">Cohort_2022_rate_pre</t>
  </si>
  <si>
    <t xml:space="preserve">Assumption: modest recovery</t>
  </si>
  <si>
    <t xml:space="preserve">Cohort_2023_rate_pre</t>
  </si>
  <si>
    <t xml:space="preserve">Assumption: continued recovery</t>
  </si>
  <si>
    <t xml:space="preserve">Cohort_2024_rate_pre</t>
  </si>
  <si>
    <t xml:space="preserve">Assumption</t>
  </si>
  <si>
    <t xml:space="preserve">Cohort_2025_rate_pre</t>
  </si>
  <si>
    <t xml:space="preserve">Assumption: near current avg</t>
  </si>
  <si>
    <t xml:space="preserve">Legacy_base_rate</t>
  </si>
  <si>
    <t xml:space="preserve">Assumption: base fleet at current avg</t>
  </si>
  <si>
    <t xml:space="preserve">Cohort_calibration_factor (RETIRED v36)</t>
  </si>
  <si>
    <t xml:space="preserve">v36 2026-10-07: RETIRED. New engine on Legacy Cohort Model rows 55-68 builds from disclosed 2025A target (C45=954.2) directly; no calibration factor needed. Value 1.2387 preserved for history (blue input annotation). Prior use: scaled 5 pre-rates in cohort build; cohort build retained as reference only.</t>
  </si>
  <si>
    <t xml:space="preserve">RETIRED v36: new engine ties to Drivers!C45 directly via Legacy Cohort Model!D65. Value 1.2387 kept as history.</t>
  </si>
  <si>
    <t xml:space="preserve">--- ACQUIRED POOL (Wells Fargo, closed 1/1/26) ---</t>
  </si>
  <si>
    <t xml:space="preserve">Acquired_pool_cars</t>
  </si>
  <si>
    <t xml:space="preserve">Deck p.23: ~98,535 acquired via GABX</t>
  </si>
  <si>
    <t xml:space="preserve">Acquired_pool_H1_2026_rev</t>
  </si>
  <si>
    <t xml:space="preserve">10-Q Note 7 p.11: GABX total revenue H1 2026 (also = GABX Mini P&amp;L C4)</t>
  </si>
  <si>
    <t xml:space="preserve">Acquired_pool_renewal_pct_2027</t>
  </si>
  <si>
    <t xml:space="preserve">Assumption: 17% of acquired fleet expiring in 2027</t>
  </si>
  <si>
    <t xml:space="preserve">Acquired_pool_renewal_pct_2028</t>
  </si>
  <si>
    <t xml:space="preserve">Assumption: level</t>
  </si>
  <si>
    <t xml:space="preserve">--- LPI + RENEWAL SUCCESS ---</t>
  </si>
  <si>
    <t xml:space="preserve">LPI_Q1_2026</t>
  </si>
  <si>
    <t xml:space="preserve">Q2 release 5-qtr table</t>
  </si>
  <si>
    <t xml:space="preserve">LPI_Q2_2026</t>
  </si>
  <si>
    <t xml:space="preserve">Q2 release: LPI +16.8%</t>
  </si>
  <si>
    <t xml:space="preserve">LPI_FY2026</t>
  </si>
  <si>
    <t xml:space="preserve">Assumption: blend Q1 22.3%, Q2 16.8%, H2 mid-cycle</t>
  </si>
  <si>
    <t xml:space="preserve">LPI_FY2027</t>
  </si>
  <si>
    <t xml:space="preserve">Assumption: decel from Q2 2026 print</t>
  </si>
  <si>
    <t xml:space="preserve">LPI_FY2028</t>
  </si>
  <si>
    <t xml:space="preserve">LPI_FY2029</t>
  </si>
  <si>
    <t xml:space="preserve">Assumption: cycle turn</t>
  </si>
  <si>
    <t xml:space="preserve">LPI_FY2030</t>
  </si>
  <si>
    <t xml:space="preserve">Assumption: cycle low</t>
  </si>
  <si>
    <t xml:space="preserve">Renewal_success_FY2026</t>
  </si>
  <si>
    <t xml:space="preserve">Assumption: avg Q1 79.1% + Q2 82.6%</t>
  </si>
  <si>
    <t xml:space="preserve">Renewal_success_FY2027</t>
  </si>
  <si>
    <t xml:space="preserve">Assumption: normalizing</t>
  </si>
  <si>
    <t xml:space="preserve">Renewal_phasing_factor</t>
  </si>
  <si>
    <t xml:space="preserve">Assumption: mid-year timing convention</t>
  </si>
  <si>
    <t xml:space="preserve">Failed_renewal_market_rate</t>
  </si>
  <si>
    <t xml:space="preserve">Assumption: failed renewals re-lease at market</t>
  </si>
  <si>
    <t xml:space="preserve">--- SEGMENT REVENUE 2025A ---</t>
  </si>
  <si>
    <t xml:space="preserve">RailNA_lease_rev_2025</t>
  </si>
  <si>
    <t xml:space="preserve">FY2025 10-K p.31: railcars 954.2 + boxcars 58.5 + locos 36.4</t>
  </si>
  <si>
    <t xml:space="preserve">RailNA_boxcar_rev_2025</t>
  </si>
  <si>
    <t xml:space="preserve">FY2025 10-K p.31</t>
  </si>
  <si>
    <t xml:space="preserve">RailNA_loco_rev_2025</t>
  </si>
  <si>
    <t xml:space="preserve">RailNA_cohort_target_2025</t>
  </si>
  <si>
    <t xml:space="preserve">Rail NA lease 1,049.1 − boxcars 58.5 − locos 36.4 (= railcars)</t>
  </si>
  <si>
    <t xml:space="preserve">RailNA_other_rev_2025</t>
  </si>
  <si>
    <t xml:space="preserve">FY2025 10-K segment; derived</t>
  </si>
  <si>
    <t xml:space="preserve">RailIntl_lease_rev_2025</t>
  </si>
  <si>
    <t xml:space="preserve">FY2025 10-K segment</t>
  </si>
  <si>
    <t xml:space="preserve">RailIntl_other_rev_2025</t>
  </si>
  <si>
    <t xml:space="preserve">EngineL_lease_rev_2025</t>
  </si>
  <si>
    <t xml:space="preserve">EngineL_non_ded_rev_2025</t>
  </si>
  <si>
    <t xml:space="preserve">FY2025 10-K p.60 IS</t>
  </si>
  <si>
    <t xml:space="preserve">Other_seg_rev_2025</t>
  </si>
  <si>
    <t xml:space="preserve">--- 2026 GUIDANCE (Q2 release + transcript) ---</t>
  </si>
  <si>
    <t xml:space="preserve">Guided_EPS_low</t>
  </si>
  <si>
    <t xml:space="preserve">Q2 2026 release</t>
  </si>
  <si>
    <t xml:space="preserve">Guided_EPS_high</t>
  </si>
  <si>
    <t xml:space="preserve">Guided_EPS_midpoint</t>
  </si>
  <si>
    <t xml:space="preserve">Derived midpoint</t>
  </si>
  <si>
    <t xml:space="preserve">Dispo_2026_GATX_legacy</t>
  </si>
  <si>
    <t xml:space="preserve">Q2 transcript: "well ahead of $130M" originally, held for base case</t>
  </si>
  <si>
    <t xml:space="preserve">Dispo_2026_JV</t>
  </si>
  <si>
    <t xml:space="preserve">Q2 transcript: "$70M full-year target for JV, unchanged"</t>
  </si>
  <si>
    <t xml:space="preserve">Dispo_2027_GATX_legacy</t>
  </si>
  <si>
    <t xml:space="preserve">Assumption: modest normalization</t>
  </si>
  <si>
    <t xml:space="preserve">Dispo_2027_JV</t>
  </si>
  <si>
    <t xml:space="preserve">Q2 transcript: JV FY guide $70M — carried forward to 2027E</t>
  </si>
  <si>
    <t xml:space="preserve">--- GABX (10-Q Note 7 p.11) ---</t>
  </si>
  <si>
    <t xml:space="preserve">GABX_Q2_revenue</t>
  </si>
  <si>
    <t xml:space="preserve">10-Q Note 7 p.11</t>
  </si>
  <si>
    <t xml:space="preserve">GABX_Q2_expenses</t>
  </si>
  <si>
    <t xml:space="preserve">10-Q Note 7 p.11 (incl. $12.4M mgmt fee paid to GATX)</t>
  </si>
  <si>
    <t xml:space="preserve">GABX_Q2_dispo_gains</t>
  </si>
  <si>
    <t xml:space="preserve">GABX_Q2_interest</t>
  </si>
  <si>
    <t xml:space="preserve">GABX_Q2_tax</t>
  </si>
  <si>
    <t xml:space="preserve">GABX_Q2_NI</t>
  </si>
  <si>
    <t xml:space="preserve">10-Q Note 7 p.11 (verification)</t>
  </si>
  <si>
    <t xml:space="preserve">GABX_H1_revenue</t>
  </si>
  <si>
    <t xml:space="preserve">GABX_H1_expenses</t>
  </si>
  <si>
    <t xml:space="preserve">GABX_H1_dispo</t>
  </si>
  <si>
    <t xml:space="preserve">GABX_H1_interest</t>
  </si>
  <si>
    <t xml:space="preserve">GABX_H1_tax</t>
  </si>
  <si>
    <t xml:space="preserve">GABX_H1_NI</t>
  </si>
  <si>
    <t xml:space="preserve">GABX_JV_share_GATX</t>
  </si>
  <si>
    <t xml:space="preserve">v38 rewire: was 0.3 hard-code. Now points to current ownership C251 (33.535%). Phase A1 2026-10-08.</t>
  </si>
  <si>
    <t xml:space="preserve">10-Q Note 7 p.10 (pre-first-call; 33.5% post-6/30/26)</t>
  </si>
  <si>
    <t xml:space="preserve">--- TAX + SHARES + DIVIDENDS ---</t>
  </si>
  <si>
    <t xml:space="preserve">Effective_tax_rate_2026</t>
  </si>
  <si>
    <t xml:space="preserve">H1 2026 effective: $47.2M / $179.3M</t>
  </si>
  <si>
    <t xml:space="preserve">Effective_tax_rate_2027</t>
  </si>
  <si>
    <t xml:space="preserve">Assumption: normalizes</t>
  </si>
  <si>
    <t xml:space="preserve">Diluted_shares_2026</t>
  </si>
  <si>
    <t xml:space="preserve">Diluted_shares_2027</t>
  </si>
  <si>
    <t xml:space="preserve">v24: 2027E shares = 2026E filed - shares_repurchased_2027 (Item 3). Retirement mechanic starts 2027E.</t>
  </si>
  <si>
    <t xml:space="preserve">Dividend_per_share_2026</t>
  </si>
  <si>
    <t xml:space="preserve">Q2 2026 release: $0.66/qtr × 4</t>
  </si>
  <si>
    <t xml:space="preserve">Dividend_per_share_2027</t>
  </si>
  <si>
    <t xml:space="preserve">Assumption: 3.8% raise (106yr history)</t>
  </si>
  <si>
    <t xml:space="preserve">Buyback_2026</t>
  </si>
  <si>
    <t xml:space="preserve">Buyback_2027</t>
  </si>
  <si>
    <t xml:space="preserve">SBC_annual</t>
  </si>
  <si>
    <t xml:space="preserve">FY2025 10-K equity roll: APIC delta ~$28M/yr (share-based comp effects)</t>
  </si>
  <si>
    <t xml:space="preserve">NCI_distributions_2026</t>
  </si>
  <si>
    <t xml:space="preserve">Assumption: 10-Q Note 7 H1 cash flow $49.9M distributions to Brookfield × ~2</t>
  </si>
  <si>
    <t xml:space="preserve">NCI_distributions_2027</t>
  </si>
  <si>
    <t xml:space="preserve">Dispo_book_2026</t>
  </si>
  <si>
    <t xml:space="preserve">Assumption: proceeds − gains = ~$150M book value of assets sold</t>
  </si>
  <si>
    <t xml:space="preserve">Dispo_book_2027</t>
  </si>
  <si>
    <t xml:space="preserve">Non_GABX_debt_growth_2027</t>
  </si>
  <si>
    <t xml:space="preserve">Assumption: non-GABX debt grows by $400M from Q2 2026 balance to fund 2027 organic capex net of internal cash generation. Replaces retired Core_debt_2027_increment; non-circular (does NOT reference the cash-flow plug).</t>
  </si>
  <si>
    <t xml:space="preserve">--- DEBT LADDER (10-Q p.42) ---</t>
  </si>
  <si>
    <t xml:space="preserve">Debt_maturity_2026R</t>
  </si>
  <si>
    <t xml:space="preserve">10-Q p.42 remainder-of-year 2026</t>
  </si>
  <si>
    <t xml:space="preserve">Debt_maturity_2027</t>
  </si>
  <si>
    <t xml:space="preserve">10-Q p.42</t>
  </si>
  <si>
    <t xml:space="preserve">Debt_maturity_2028</t>
  </si>
  <si>
    <t xml:space="preserve">Debt_maturity_2029</t>
  </si>
  <si>
    <t xml:space="preserve">Debt_maturity_2030</t>
  </si>
  <si>
    <t xml:space="preserve">10-Q p.42 (incl. GABX $1,881.1M)</t>
  </si>
  <si>
    <t xml:space="preserve">Debt_maturity_thereafter</t>
  </si>
  <si>
    <t xml:space="preserve">Interest_scheduled_2026R</t>
  </si>
  <si>
    <t xml:space="preserve">10-Q p.42 interest schedule</t>
  </si>
  <si>
    <t xml:space="preserve">Interest_scheduled_2027</t>
  </si>
  <si>
    <t xml:space="preserve">10-Q p.42 (full-year 2027 interest at 6/30/26 rates)</t>
  </si>
  <si>
    <t xml:space="preserve">Interest_scheduled_2028</t>
  </si>
  <si>
    <t xml:space="preserve">Debt_YE2025_recourse</t>
  </si>
  <si>
    <t xml:space="preserve">FY2025 10-K p.58: recourse debt</t>
  </si>
  <si>
    <t xml:space="preserve">Debt_YE2025_bank</t>
  </si>
  <si>
    <t xml:space="preserve">FY2025 10-K p.58: bank credit facilities</t>
  </si>
  <si>
    <t xml:space="preserve">Debt_YE2025_total</t>
  </si>
  <si>
    <t xml:space="preserve">FY2025 10-K p.58</t>
  </si>
  <si>
    <t xml:space="preserve">New_issue_rate</t>
  </si>
  <si>
    <t xml:space="preserve">10-Q p.42: 10-yr fixed 5.30%</t>
  </si>
  <si>
    <t xml:space="preserve">New_issue_rate_5yr</t>
  </si>
  <si>
    <t xml:space="preserve">10-Q p.42: 5-yr fixed 4.63%</t>
  </si>
  <si>
    <t xml:space="preserve">Fixed_cost_of_debt</t>
  </si>
  <si>
    <t xml:space="preserve">Calibrated: makes 2026 core interest hit H1×2 = $588M. Kill test: SET TO 0.06 → watch interest rise.</t>
  </si>
  <si>
    <t xml:space="preserve">Kill_new_issue_threshold</t>
  </si>
  <si>
    <t xml:space="preserve">THRESHOLDS.md: 6.00% kill trigger for research call</t>
  </si>
  <si>
    <t xml:space="preserve">GABX_term_loan_YE2025</t>
  </si>
  <si>
    <t xml:space="preserve">10-Q Note 7 p.10: GABX recourse debt at 12/31/25</t>
  </si>
  <si>
    <t xml:space="preserve">GABX_term_loan_2026</t>
  </si>
  <si>
    <t xml:space="preserve">10-Q Note 7 p.10: GABX recourse debt at 6/30/26 (post net repay)</t>
  </si>
  <si>
    <t xml:space="preserve">GABX_term_loan_rate</t>
  </si>
  <si>
    <t xml:space="preserve">FY2025 10-K Note 8</t>
  </si>
  <si>
    <t xml:space="preserve">Interest_rate_on_cash</t>
  </si>
  <si>
    <t xml:space="preserve">Assumption: money market yield on cash balances</t>
  </si>
  <si>
    <t xml:space="preserve">Cash_min_balance</t>
  </si>
  <si>
    <t xml:space="preserve">Assumption: operational minimum</t>
  </si>
  <si>
    <t xml:space="preserve">--- RRPF (affiliates) ---</t>
  </si>
  <si>
    <t xml:space="preserve">RRPF_investment_2025</t>
  </si>
  <si>
    <t xml:space="preserve">FY2025 10-K p.58: Investments in Affiliated Companies</t>
  </si>
  <si>
    <t xml:space="preserve">RRPF_earnings_FY2026</t>
  </si>
  <si>
    <t xml:space="preserve">Assumption: H1 $77.2M × 2 (call: strong RRPF earnings)</t>
  </si>
  <si>
    <t xml:space="preserve">RRPF_earnings_FY2027</t>
  </si>
  <si>
    <t xml:space="preserve">RRPF_dividend_FY2026</t>
  </si>
  <si>
    <t xml:space="preserve">Assumption: cash dividend approximates share of earnings</t>
  </si>
  <si>
    <t xml:space="preserve">RRPF_dividend_FY2027</t>
  </si>
  <si>
    <t xml:space="preserve">--- PP&amp;E + CAPEX ---</t>
  </si>
  <si>
    <t xml:space="preserve">PPE_gross_YE2025</t>
  </si>
  <si>
    <t xml:space="preserve">FY2025 10-K p.58: Operating Assets and Facilities gross</t>
  </si>
  <si>
    <t xml:space="preserve">PPE_accum_depr_YE2025</t>
  </si>
  <si>
    <t xml:space="preserve">PPE_net_YE2025</t>
  </si>
  <si>
    <t xml:space="preserve">Capex_organic_2026</t>
  </si>
  <si>
    <t xml:space="preserve">H1 2026 actual $520.5M (Q2 release Segment Data: Rail NA ex-WFR $411.3M + Intl $93.0M + Engine Leasing $0.2M + Other $16.0M) + H2 assumption at H1 run-rate ($520.5M).</t>
  </si>
  <si>
    <t xml:space="preserve">Capex_organic_2027</t>
  </si>
  <si>
    <t xml:space="preserve">Assumption: normalized full-year organic + Trinity deliveries</t>
  </si>
  <si>
    <t xml:space="preserve">WF_acquisition_cash</t>
  </si>
  <si>
    <t xml:space="preserve">10-Q Note 3: $4.2B paid to Wells Fargo on 1/1/26</t>
  </si>
  <si>
    <t xml:space="preserve">Depreciation_FY2026</t>
  </si>
  <si>
    <t xml:space="preserve">Q2 release IS: H1 $335.7M × 2</t>
  </si>
  <si>
    <t xml:space="preserve">Depreciation_FY2027</t>
  </si>
  <si>
    <t xml:space="preserve">Assumption: grows with PP&amp;E</t>
  </si>
  <si>
    <t xml:space="preserve">--- OPEX % ---</t>
  </si>
  <si>
    <t xml:space="preserve">SGA_pct_rev</t>
  </si>
  <si>
    <t xml:space="preserve">H1 2026 actual: $140.5M / $1,163.8M</t>
  </si>
  <si>
    <t xml:space="preserve">Maint_pct_rev</t>
  </si>
  <si>
    <t xml:space="preserve">H1 2026 actual ratio: consolidated maintenance $292.5M (Drivers!C330, Maintenance_Q2_2026_H1) divided by consolidated total revenue $1,163.8M (Drivers!C327, Revenue_Q2_2026_H1); source Q2 2026 earnings release 2026-07-30 (research/coverage/rail/gatx-filings/GATX-Q2-2026-earnings-release-2026-07-30.md), Consolidated Statements of Income table (six months ended June 30, 2026). Prior basis (v29): FY2023–FY2025 average 24.36% (FY2023 24.44%, FY2024 24.07%, FY2025 24.58%); stored FY2025 value was 25.1%. Owner decision 2026-09-30 (WO v30): switch to H1 2026 run-rate ratio.</t>
  </si>
  <si>
    <t xml:space="preserve">H1 2026 actual: $292.5M / $1,163.8M</t>
  </si>
  <si>
    <t xml:space="preserve">OpLease_expense_annual</t>
  </si>
  <si>
    <t xml:space="preserve">H1 2026: $14.8M × 2</t>
  </si>
  <si>
    <t xml:space="preserve">OtherOp_pct_rev</t>
  </si>
  <si>
    <t xml:space="preserve">H1 2026: $46.6M / $1,163.8M</t>
  </si>
  <si>
    <t xml:space="preserve">--- BS RATIOS ---</t>
  </si>
  <si>
    <t xml:space="preserve">AP_pct_rev</t>
  </si>
  <si>
    <t xml:space="preserve">H1 2026: $279.2M AP / annualized rev ~$2,340M ≈ 12%; use 13.5%</t>
  </si>
  <si>
    <t xml:space="preserve">Other_liab_pct_rev</t>
  </si>
  <si>
    <t xml:space="preserve">H1 2026: $142.4M / $2,340M ≈ 6.1%</t>
  </si>
  <si>
    <t xml:space="preserve">DT_growth</t>
  </si>
  <si>
    <t xml:space="preserve">Assumption: 1% growth</t>
  </si>
  <si>
    <t xml:space="preserve">--- GROWTH RATES (drivers, not literals) ---</t>
  </si>
  <si>
    <t xml:space="preserve">RailNA_other_rev_growth</t>
  </si>
  <si>
    <t xml:space="preserve">Assumption: 5% growth on Rail NA other rev</t>
  </si>
  <si>
    <t xml:space="preserve">RailIntl_growth_2026</t>
  </si>
  <si>
    <t xml:space="preserve">Assumption: 7% Europe + India, sale-leaseback</t>
  </si>
  <si>
    <t xml:space="preserve">RailIntl_growth_2027</t>
  </si>
  <si>
    <t xml:space="preserve">EngineL_growth_2026</t>
  </si>
  <si>
    <t xml:space="preserve">Assumption: RRPF strong</t>
  </si>
  <si>
    <t xml:space="preserve">EngineL_growth_2027</t>
  </si>
  <si>
    <t xml:space="preserve">Other_seg_growth</t>
  </si>
  <si>
    <t xml:space="preserve">OtherIncome_2026</t>
  </si>
  <si>
    <t xml:space="preserve">v10 Fix 2 (2026-09-25): H1 2026 total co. Other (expense) income $18.9M includes $13.7M non-recurring Engine Leasing reserve release. Ellman on Q2 call (pg 2): "we wouldn't expect that level to necessarily persist quarter to quarter." Cite ~/Documents/BMG-Capital-Vault/research/coverage/rail/gatx-filings/GATX-Q2-2026-earnings-call-transcript-2026-07-30.pdf. Recurring H1 = $18.9M − $13.7M = $5.2M. FY2026E clean run-rate = $5.2M × 2 = $10.4M.</t>
  </si>
  <si>
    <t xml:space="preserve">Assumption: H1 $18.9M × 2 (Q2 $13.7M lumpy release)</t>
  </si>
  <si>
    <t xml:space="preserve">OtherIncome_2027</t>
  </si>
  <si>
    <t xml:space="preserve">Assumption: reserve releases fade</t>
  </si>
  <si>
    <t xml:space="preserve">--- FactSet targets (CHECKS ONLY) ---</t>
  </si>
  <si>
    <t xml:space="preserve">FactSet_rev_2026</t>
  </si>
  <si>
    <t xml:space="preserve">FactSet consensus 2026-09-21</t>
  </si>
  <si>
    <t xml:space="preserve">FactSet_rev_2027</t>
  </si>
  <si>
    <t xml:space="preserve">FactSet consensus</t>
  </si>
  <si>
    <t xml:space="preserve">FactSet_EPS_2026</t>
  </si>
  <si>
    <t xml:space="preserve">FactSet_EPS_2027</t>
  </si>
  <si>
    <t xml:space="preserve">FactSet_debt_2026</t>
  </si>
  <si>
    <t xml:space="preserve">--- THESIS TEST DRIVERS (added v6.1) ---</t>
  </si>
  <si>
    <t xml:space="preserve">Interest_expense_2025A_base</t>
  </si>
  <si>
    <t xml:space="preserve">FY2025 10-K p.58 (Consolidated Statements of Comprehensive Income: Interest expense)</t>
  </si>
  <si>
    <t xml:space="preserve">Net_floating_exposure</t>
  </si>
  <si>
    <t xml:space="preserve">Floating debt − CF hedges (per 10-Q p.42).</t>
  </si>
  <si>
    <t xml:space="preserve">LPI_scen_-10pct</t>
  </si>
  <si>
    <t xml:space="preserve">Assumption: sensitivity grid step</t>
  </si>
  <si>
    <t xml:space="preserve">LPI_scen_-5pct</t>
  </si>
  <si>
    <t xml:space="preserve">LPI_scen_0pct</t>
  </si>
  <si>
    <t xml:space="preserve">LPI_scen_+5pct</t>
  </si>
  <si>
    <t xml:space="preserve">LPI_scen_+10pct</t>
  </si>
  <si>
    <t xml:space="preserve">LPI_scen_+15pct</t>
  </si>
  <si>
    <t xml:space="preserve">LPI_scen_+20pct</t>
  </si>
  <si>
    <t xml:space="preserve">NewIssue_scen_4_80pct</t>
  </si>
  <si>
    <t xml:space="preserve">NewIssue_scen_5_30pct</t>
  </si>
  <si>
    <t xml:space="preserve">NewIssue_scen_5_80pct</t>
  </si>
  <si>
    <t xml:space="preserve">NewIssue_scen_6_00pct</t>
  </si>
  <si>
    <t xml:space="preserve">NewIssue_scen_6_50pct</t>
  </si>
  <si>
    <t xml:space="preserve">NewIssue_scen_7_00pct</t>
  </si>
  <si>
    <t xml:space="preserve">NewIssue_scen_7_50pct</t>
  </si>
  <si>
    <t xml:space="preserve">--- FIX v7: FIXED/FLOATING DEBT SPLIT ---</t>
  </si>
  <si>
    <t xml:space="preserve">Fixed_debt_Q2_2026</t>
  </si>
  <si>
    <t xml:space="preserve">10-Q p.42: fixed-rate debt at 6/30/26</t>
  </si>
  <si>
    <t xml:space="preserve">Floating_debt_Q2_2026 (as of Q2 2026 10-Q)</t>
  </si>
  <si>
    <t xml:space="preserve">10-Q p.42: floating-rate debt at 6/30/26</t>
  </si>
  <si>
    <t xml:space="preserve">Weighted_fixed_coupon (as of 10-K FY2025)</t>
  </si>
  <si>
    <t xml:space="preserve">Calibrated: matches Fixed_cost_of_debt to hit H1×2 = -$588M FY2026 core interest.</t>
  </si>
  <si>
    <t xml:space="preserve">Floating_all_in_rate</t>
  </si>
  <si>
    <t xml:space="preserve">SOFR ~4.4% + weighted spread ~85 bp ≈ 5.25% at 6/30/26.</t>
  </si>
  <si>
    <t xml:space="preserve">Floating_debt_gross</t>
  </si>
  <si>
    <t xml:space="preserve">Alias for Net_floating_exposure calc.</t>
  </si>
  <si>
    <t xml:space="preserve">CF_hedges_notional</t>
  </si>
  <si>
    <t xml:space="preserve">10-Q p.42: cash-flow hedges notional at 6/30/26.</t>
  </si>
  <si>
    <t xml:space="preserve">FV_hedges_notional</t>
  </si>
  <si>
    <t xml:space="preserve">10-Q p.42: fair-value hedges notional at 6/30/26.</t>
  </si>
  <si>
    <t xml:space="preserve">GABX_NCI_share</t>
  </si>
  <si>
    <t xml:space="preserve">v38 rewire: was 0.7 hard-code. Now = 1 - C251 (current ownership). 10 Thesis Test cells (D20:M20) recompute automatically. Phase A1 2026-10-08.</t>
  </si>
  <si>
    <t xml:space="preserve">GABX JV: 30% GATX / 70% Brookfield NCI (Q2 2026 10-Q Note 7).</t>
  </si>
  <si>
    <t xml:space="preserve">Acquired_pool_expiring_fraction</t>
  </si>
  <si>
    <t xml:space="preserve">Q2 2026 10-Q MD&amp;A pp. 28-33, 31,371 combined-fleet cars expiring H2 2026 less legacy share, annualized; TIER ESTIMATE. See research/coverage/rail/gatx-lease-expiry-profile-2026-09-28.md — v26 1c (2026-09-28); previously 0.222 unsourced.</t>
  </si>
  <si>
    <t xml:space="preserve">Q2 2026 release: LPI average renewal term 54 months → ~1/4.5 fraction expires annually.</t>
  </si>
  <si>
    <t xml:space="preserve">--- VALUATION INPUTS (v8, added 2026-09-24) ---</t>
  </si>
  <si>
    <t xml:space="preserve">Current_price_GATX</t>
  </si>
  <si>
    <t xml:space="preserve">v39 2026-10-09: 2026-10-08 close, FactSet SIP consolidated (Cowork verified). Prior v38 note said "2026-10-08 Finnhub" but the $161.42 figure was the 2026-09-18 FactSet draft price; Cover!D9 correctly carried 2026-09-18 (now fixed to 2026-10-08).</t>
  </si>
  <si>
    <t xml:space="preserve">GATX-snapshot-2026-09-21.xlsx!GATX-US!C53 (Price of GATX-US as of Sep 18 2026)</t>
  </si>
  <si>
    <t xml:space="preserve">Snapshot_date</t>
  </si>
  <si>
    <t xml:space="preserve">2026-10-08</t>
  </si>
  <si>
    <t xml:space="preserve">v39 2026-10-09: snapshot_date confirmed to 2026-10-08 close; prior entries kept for history. Price now reads $162.78.</t>
  </si>
  <si>
    <t xml:space="preserve">GATX-snapshot-2026-09-21.xlsx!GATX-US!B53</t>
  </si>
  <si>
    <t xml:space="preserve">Dividend_yield_NTM</t>
  </si>
  <si>
    <t xml:space="preserve">GATX-consensus-estimates-financials-2026-09-21.xlsx!GATX-US!N167 (Dividend Yield %, NTM 2027E = 1.5168%)</t>
  </si>
  <si>
    <t xml:space="preserve">AER_NTM_PE</t>
  </si>
  <si>
    <t xml:space="preserve">lessor-rail-comps-2026-09-21.xlsx!GATX-US!F27 (AerCap FY1 P/E)</t>
  </si>
  <si>
    <t xml:space="preserve">WLFC_NTM_PE</t>
  </si>
  <si>
    <t xml:space="preserve">lessor-rail-comps-2026-09-21.xlsx!GATX-US!F35 (Willis Lease FY1 P/E)</t>
  </si>
  <si>
    <t xml:space="preserve">TRN_NTM_PE</t>
  </si>
  <si>
    <t xml:space="preserve">lessor-rail-comps-2026-09-21.xlsx!GATX-US!F29 (Trinity FY1 P/E)</t>
  </si>
  <si>
    <t xml:space="preserve">GBX_NTM_PE</t>
  </si>
  <si>
    <t xml:space="preserve">lessor-rail-comps-2026-09-21.xlsx!GATX-US!F30 (Greenbrier FY1 P/E)</t>
  </si>
  <si>
    <t xml:space="preserve">AER_PB</t>
  </si>
  <si>
    <t xml:space="preserve">lessor-rail-comps-2026-09-21.xlsx!GATX-US!H27 (AerCap Actual P/BV)</t>
  </si>
  <si>
    <t xml:space="preserve">WLFC_PB</t>
  </si>
  <si>
    <t xml:space="preserve">lessor-rail-comps-2026-09-21.xlsx!GATX-US!H35 (Willis Lease Actual P/BV)</t>
  </si>
  <si>
    <t xml:space="preserve">TRN_PB</t>
  </si>
  <si>
    <t xml:space="preserve">lessor-rail-comps-2026-09-21.xlsx!GATX-US!H29 (Trinity Actual P/BV; FY1 not reported)</t>
  </si>
  <si>
    <t xml:space="preserve">GBX_PB</t>
  </si>
  <si>
    <t xml:space="preserve">lessor-rail-comps-2026-09-21.xlsx!GATX-US!H30 (Greenbrier Actual P/BV)</t>
  </si>
  <si>
    <t xml:space="preserve">Consensus_EPS_2026</t>
  </si>
  <si>
    <t xml:space="preserve">GATX-consensus-estimates-financials-2026-09-21.xlsx!GATX-US!M5 (FY2026E EPS consensus)</t>
  </si>
  <si>
    <t xml:space="preserve">Consensus_EPS_2027</t>
  </si>
  <si>
    <t xml:space="preserve">GATX-consensus-estimates-financials-2026-09-21.xlsx!GATX-US!N5 (FY2027E EPS consensus)</t>
  </si>
  <si>
    <t xml:space="preserve">Scenario_prob_bear</t>
  </si>
  <si>
    <t xml:space="preserve">Assumption: 25%</t>
  </si>
  <si>
    <t xml:space="preserve">Scenario_prob_base</t>
  </si>
  <si>
    <t xml:space="preserve">Assumption: 50%</t>
  </si>
  <si>
    <t xml:space="preserve">Scenario_prob_bull</t>
  </si>
  <si>
    <t xml:space="preserve">--- DISPOSITION ENGINE INPUTS (v9, added 2026-09-24) ---</t>
  </si>
  <si>
    <t xml:space="preserve">Cars_sold_2023</t>
  </si>
  <si>
    <t xml:space="preserve">FY2025 10-K p.35 fleet rollforward (Rail NA ex boxcars)</t>
  </si>
  <si>
    <t xml:space="preserve">FY2023 10-K p.31 (Rail North America: cars sold during period)</t>
  </si>
  <si>
    <t xml:space="preserve">Cars_sold_2024</t>
  </si>
  <si>
    <t xml:space="preserve">FY2025 10-K p.35</t>
  </si>
  <si>
    <t xml:space="preserve">FY2024 10-K p.31 (Rail North America: cars sold during period)</t>
  </si>
  <si>
    <t xml:space="preserve">Cars_sold_2025</t>
  </si>
  <si>
    <t xml:space="preserve">FY2025 10-K p.31 (Rail North America: cars sold during period)</t>
  </si>
  <si>
    <t xml:space="preserve">Cars_scrapped_2023</t>
  </si>
  <si>
    <t xml:space="preserve">FY2023 10-K p.31 (Rail North America: cars scrapped during period)</t>
  </si>
  <si>
    <t xml:space="preserve">Cars_scrapped_2024</t>
  </si>
  <si>
    <t xml:space="preserve">FY2024 10-K p.31 (Rail North America: cars scrapped during period)</t>
  </si>
  <si>
    <t xml:space="preserve">Cars_scrapped_2025</t>
  </si>
  <si>
    <t xml:space="preserve">FY2025 10-K p.31 (Rail North America: cars scrapped during period)</t>
  </si>
  <si>
    <t xml:space="preserve">RailNA_remarketing_gains_2023</t>
  </si>
  <si>
    <t xml:space="preserve">FY2025 10-K p.110: net gains dispo owned $111.7M + residual $0.4M</t>
  </si>
  <si>
    <t xml:space="preserve">FY2023 10-K (Rail North America segment: remarketing gains)</t>
  </si>
  <si>
    <t xml:space="preserve">RailNA_remarketing_gains_2024</t>
  </si>
  <si>
    <t xml:space="preserve">FY2025 10-K p.109: $119.4M + $0.5M</t>
  </si>
  <si>
    <t xml:space="preserve">FY2024 10-K (Rail North America segment: remarketing gains)</t>
  </si>
  <si>
    <t xml:space="preserve">RailNA_remarketing_gains_2025</t>
  </si>
  <si>
    <t xml:space="preserve">FY2025 10-K p.108: $116.5M + $0.5M</t>
  </si>
  <si>
    <t xml:space="preserve">FY2025 10-K (Rail North America segment: remarketing gains)</t>
  </si>
  <si>
    <t xml:space="preserve">RailNA_nonremarketing_gains_2023</t>
  </si>
  <si>
    <t xml:space="preserve">FY2025 10-K p.110 (scrapping net gains)</t>
  </si>
  <si>
    <t xml:space="preserve">FY2023 10-K (Rail North America segment: non-remarketing gains)</t>
  </si>
  <si>
    <t xml:space="preserve">RailNA_nonremarketing_gains_2024</t>
  </si>
  <si>
    <t xml:space="preserve">FY2025 10-K p.109</t>
  </si>
  <si>
    <t xml:space="preserve">FY2024 10-K (Rail North America segment: non-remarketing gains)</t>
  </si>
  <si>
    <t xml:space="preserve">RailNA_nonremarketing_gains_2025</t>
  </si>
  <si>
    <t xml:space="preserve">FY2025 10-K p.108</t>
  </si>
  <si>
    <t xml:space="preserve">FY2025 10-K (Rail North America segment: non-remarketing gains)</t>
  </si>
  <si>
    <t xml:space="preserve">RailNA_impairments_2023</t>
  </si>
  <si>
    <t xml:space="preserve">FY2025 10-K p.110 (line not present ⇒ 0)</t>
  </si>
  <si>
    <t xml:space="preserve">FY2023 10-K (Rail North America segment: asset impairments)</t>
  </si>
  <si>
    <t xml:space="preserve">RailNA_impairments_2024</t>
  </si>
  <si>
    <t xml:space="preserve">FY2025 10-K p.109 (line not present ⇒ 0)</t>
  </si>
  <si>
    <t xml:space="preserve">FY2024 10-K (Rail North America segment: asset impairments)</t>
  </si>
  <si>
    <t xml:space="preserve">RailNA_impairments_2025</t>
  </si>
  <si>
    <t xml:space="preserve">FY2025 10-K (Rail North America segment: asset impairments)</t>
  </si>
  <si>
    <t xml:space="preserve">Scrap_steel_price_per_ton</t>
  </si>
  <si>
    <t xml:space="preserve">research/coverage/rail/railcar-industry-demand-2026-09-24.md line 127 (Chicago shredded, Sep 2026, Adelphia Metals SECONDARY)</t>
  </si>
  <si>
    <t xml:space="preserve">Assumption: scrap steel price per ton (LME/AMM reference)</t>
  </si>
  <si>
    <t xml:space="preserve">Avg_car_weight_tons</t>
  </si>
  <si>
    <t xml:space="preserve">ASSUMPTION: typical railcar tare weight 30-35 tons; using 32</t>
  </si>
  <si>
    <t xml:space="preserve">Assumption: average railcar weight (industry convention)</t>
  </si>
  <si>
    <t xml:space="preserve">Cars_sold_2026E</t>
  </si>
  <si>
    <t xml:space="preserve">ASSUMPTION: base = 2025 count (Cars_sold_2025)</t>
  </si>
  <si>
    <t xml:space="preserve">Derived formula: =C203. Chain-source: each referenced cell is itself a Drivers row with a filing citation.</t>
  </si>
  <si>
    <t xml:space="preserve">Cars_sold_2027E</t>
  </si>
  <si>
    <t xml:space="preserve">ASSUMPTION: base = 2025 count</t>
  </si>
  <si>
    <t xml:space="preserve">Cars_sold_2028E</t>
  </si>
  <si>
    <t xml:space="preserve">Cars_sold_2029E</t>
  </si>
  <si>
    <t xml:space="preserve">Cars_sold_2030E</t>
  </si>
  <si>
    <t xml:space="preserve">Cars_scrapped_2026E</t>
  </si>
  <si>
    <t xml:space="preserve">ASSUMPTION: base = 2025 count (Cars_scrapped_2025)</t>
  </si>
  <si>
    <t xml:space="preserve">Derived formula: =C206. Chain-source: each referenced cell is itself a Drivers row with a filing citation.</t>
  </si>
  <si>
    <t xml:space="preserve">Cars_scrapped_2027E</t>
  </si>
  <si>
    <t xml:space="preserve">Cars_scrapped_2028E</t>
  </si>
  <si>
    <t xml:space="preserve">Cars_scrapped_2029E</t>
  </si>
  <si>
    <t xml:space="preserve">Cars_scrapped_2030E</t>
  </si>
  <si>
    <t xml:space="preserve">Dispo_gain_mean_reversion_toggle</t>
  </si>
  <si>
    <t xml:space="preserve">ASSUMPTION: 0 = use 2025 level, 1 = use 2023-2025 average; base = 0</t>
  </si>
  <si>
    <t xml:space="preserve">Assumption: mean-reversion toggle (0=off, 1=on)</t>
  </si>
  <si>
    <t xml:space="preserve">NonRailNA_dispo_gains_2026E</t>
  </si>
  <si>
    <t xml:space="preserve">ASSUMPTION: flat at 2025 non-RailNA total (Rail Intl $6.8M + Other $0.1M from FY2025 10-K p.108). Rail Intl scrap volumes not disclosed at car level.</t>
  </si>
  <si>
    <t xml:space="preserve">Assumption: flat-forward from 3-yr NonRailNA disposition gain average</t>
  </si>
  <si>
    <t xml:space="preserve">NonRailNA_dispo_gains_2027E</t>
  </si>
  <si>
    <t xml:space="preserve">ASSUMPTION: flat</t>
  </si>
  <si>
    <t xml:space="preserve">NonRailNA_dispo_gains_2028E</t>
  </si>
  <si>
    <t xml:space="preserve">Assumption: flat-extended from 2027E</t>
  </si>
  <si>
    <t xml:space="preserve">NonRailNA_dispo_gains_2029E</t>
  </si>
  <si>
    <t xml:space="preserve">NonRailNA_dispo_gains_2030E</t>
  </si>
  <si>
    <t xml:space="preserve">--- GABX DISPOSITION BUILD (v9 Section 1 fix, 2026-09-25) ---</t>
  </si>
  <si>
    <t xml:space="preserve">GABX_fleet_size</t>
  </si>
  <si>
    <t xml:space="preserve">8-K terms: WFR portfolio ~105K cars; GABX consolidated fleet ~98,535 (Q2 2026 10-Q Note 7 disclosure). See ~/Documents/BMG-Capital-Vault/research/coverage/rail/gatx-filings/GATX-wells-fargo-rail-8K-terms.md</t>
  </si>
  <si>
    <t xml:space="preserve">10-Q Q2 2026 Note 7 p.10-11</t>
  </si>
  <si>
    <t xml:space="preserve">GABX_annual_sale_rate</t>
  </si>
  <si>
    <t xml:space="preserve">ASSUMPTION: 5% annual sale rate of GABX fleet — conservative end of lessor pool refresh range (5-8%). Anchored to implied 2026E gain/car back-out.</t>
  </si>
  <si>
    <t xml:space="preserve">GABX_gain_per_car</t>
  </si>
  <si>
    <t xml:space="preserve">ASSUMPTION: implied $/car anchor = $70M (2026E JV guide) / (5% × 98,535 fleet) = $14,208/car. Q2 2026 earnings call: mgmt described GABX 'selling above book' — this anchor keeps the flat-book assumption. Cite ~/Documents/BMG-Capital-Vault/research/coverage/rail/gatx-filings/GATX-Q2-2026-earnings-call-transcript-2026-07-30.pdf ('selling above book').</t>
  </si>
  <si>
    <t xml:space="preserve">Assumption: per-car realized gain, JV disposition program</t>
  </si>
  <si>
    <t xml:space="preserve">GABX_cars_sold_2027E</t>
  </si>
  <si>
    <t xml:space="preserve">Derived formula: =C236*C237. Chain-source: each referenced cell is itself a Drivers row with a filing citation.</t>
  </si>
  <si>
    <t xml:space="preserve">GABX_cars_sold_2028E</t>
  </si>
  <si>
    <t xml:space="preserve">GABX_cars_sold_2029E</t>
  </si>
  <si>
    <t xml:space="preserve">GABX_cars_sold_2030E</t>
  </si>
  <si>
    <t xml:space="preserve">GABX_dispositions_2028E</t>
  </si>
  <si>
    <t xml:space="preserve">DERIVED: cars_sold × gain_per_car / 1e6</t>
  </si>
  <si>
    <t xml:space="preserve">Derived formula: =C240*C238/1000000. Chain-source: each referenced cell is itself a Drivers row with a filing citation.</t>
  </si>
  <si>
    <t xml:space="preserve">GABX_dispositions_2029E</t>
  </si>
  <si>
    <t xml:space="preserve">DERIVED</t>
  </si>
  <si>
    <t xml:space="preserve">Derived formula: =C241*C238/1000000. Chain-source: each referenced cell is itself a Drivers row with a filing citation.</t>
  </si>
  <si>
    <t xml:space="preserve">GABX_dispositions_2030E</t>
  </si>
  <si>
    <t xml:space="preserve">Derived formula: =C242*C238/1000000. Chain-source: each referenced cell is itself a Drivers row with a filing citation.</t>
  </si>
  <si>
    <t xml:space="preserve">--- GATX OWNERSHIP ROLL + FEES (v9 Section 2, 2026-09-25) ---</t>
  </si>
  <si>
    <t xml:space="preserve">GATX_ownership_pre_tranche1</t>
  </si>
  <si>
    <t xml:space="preserve">8-K terms: closing 12/31/25 or 1/1/26; GATX initial 30% JV interest. See ~/Documents/BMG-Capital-Vault/research/coverage/rail/gatx-filings/GATX-wells-fargo-rail-8K-terms.md</t>
  </si>
  <si>
    <t xml:space="preserve">~/Documents/BMG-Capital-Vault/research/coverage/rail/gatx-filings/GATX-wells-fargo-rail-8K-terms.md</t>
  </si>
  <si>
    <t xml:space="preserve">GATX_ownership_post_tranche1</t>
  </si>
  <si>
    <t xml:space="preserve">8-K terms: first tranche closed 6/30/26 — GATX ownership rises to 33.535% for $66.2M cash. Same file.</t>
  </si>
  <si>
    <t xml:space="preserve">Tranche_step_pct</t>
  </si>
  <si>
    <t xml:space="preserve">ASSUMPTION: 7% annual ownership step via call-option exercises 2027-2030 (post first-tranche 3.5% step in 2026).</t>
  </si>
  <si>
    <t xml:space="preserve">GATX_ownership_pct_2026E</t>
  </si>
  <si>
    <t xml:space="preserve">FY 2026E year-end ownership after first-tranche close. Links to B249 (33.535%).</t>
  </si>
  <si>
    <t xml:space="preserve">Derived formula: =C249. Chain-source: each referenced cell is itself a Drivers row with a filing citation.</t>
  </si>
  <si>
    <t xml:space="preserve">GATX_ownership_pct_2027E</t>
  </si>
  <si>
    <t xml:space="preserve">DERIVED: prior year ownership + 7% annual step.</t>
  </si>
  <si>
    <t xml:space="preserve">Derived formula: =C251+C250. Chain-source: each referenced cell is itself a Drivers row with a filing citation.</t>
  </si>
  <si>
    <t xml:space="preserve">GATX_ownership_pct_2028E</t>
  </si>
  <si>
    <t xml:space="preserve">Derived formula: =C252+C250. Chain-source: each referenced cell is itself a Drivers row with a filing citation.</t>
  </si>
  <si>
    <t xml:space="preserve">GATX_ownership_pct_2029E</t>
  </si>
  <si>
    <t xml:space="preserve">Derived formula: =C253+C250. Chain-source: each referenced cell is itself a Drivers row with a filing citation.</t>
  </si>
  <si>
    <t xml:space="preserve">GATX_ownership_pct_2030E</t>
  </si>
  <si>
    <t xml:space="preserve">Derived formula: =C254+C250. Chain-source: each referenced cell is itself a Drivers row with a filing citation.</t>
  </si>
  <si>
    <t xml:space="preserve">GABX_book_equity_M</t>
  </si>
  <si>
    <t xml:space="preserve">ASSUMPTION: implied GABX book equity ($M). Derived: FY2025 10-K p.58 NCI $884.6M / 0.70 Brookfield NCI share = $1,263.7M total. GABX formed 2025; Brookfield contributed cash and GATX contributed 30% via rail assets.</t>
  </si>
  <si>
    <t xml:space="preserve">Tranche_strike_multiple</t>
  </si>
  <si>
    <t xml:space="preserve">SOURCED: = B263 (Sourced_strike_multiple_10Q from 10-Q Note 15). Previously 1.497 (wrong: used $1,263.7M x 3.535% = $44.68M assumed carrying instead of the $42.8M actually reported in Note 15). Applied to forward tranches 2027-2035 via per-1%-ownership carrying in rows 267/268 (see below).</t>
  </si>
  <si>
    <t xml:space="preserve">First_tranche_cash_2026</t>
  </si>
  <si>
    <t xml:space="preserve">8-K terms: GATX paid Brookfield $66.2M on 6/30/26 to move ownership 30% → 33.535%. Cash outflow to GATX. Same 8-K file.</t>
  </si>
  <si>
    <t xml:space="preserve">Tranche_cash_annual_step</t>
  </si>
  <si>
    <t xml:space="preserve">DERIVED FROM FILING: forward tranche carrying acquired (B268, per-1%-ownership x annual step) x sourced strike multiple (B263). $84.75M x 1.547x = $131.1M/yr in 2027-2035. Supersedes prior =B250*B256*B257 which mixed the sourced multiple with a total-book-equity anchor from FY2025 10-K NCI/0.70 that implied a different per-1% carrying ($12.64/pct vs the $12.11/pct actually observed in Note 15).</t>
  </si>
  <si>
    <t xml:space="preserve">Derived formula: =C268*C263. Chain-source: each referenced cell is itself a Drivers row with a filing citation.</t>
  </si>
  <si>
    <t xml:space="preserve">Mgmt_fee_JV_M</t>
  </si>
  <si>
    <t xml:space="preserve">ASSUMPTION: $44M/yr JV management fee GATX receives for servicing GABX fleet. Cite ~/Documents/BMG-Capital-Vault/research/coverage/rail/gatx-consensus/02-consensus-anatomy.md (Q2 2026 call disclosure of fee stack).</t>
  </si>
  <si>
    <t xml:space="preserve">~/Documents/BMG-Capital-Vault/research/coverage/rail/gatx-consensus/02-consensus-anatomy.md</t>
  </si>
  <si>
    <t xml:space="preserve">Mgmt_fee_Brookfield_book_M</t>
  </si>
  <si>
    <t xml:space="preserve">ASSUMPTION: $11M/yr fee for managing Brookfield-book (non-JV) assets. Same consensus-anatomy.md source (Q2 2026 call).</t>
  </si>
  <si>
    <t xml:space="preserve">NCI_tranche_carrying_acquired_1st_10Q</t>
  </si>
  <si>
    <t xml:space="preserve">SOURCED: GATX 10-Q Q2 2026, Note 15 Non-Controlling Interest, p.19 ("Impact of GABX call option exercise" line = -$42.8M; footnote (1) "Represents GATX's acquisition of an additional 3.5% equity interest in GABX"). This is the reduction in NCI carrying amount that transferred to GATX equity in the 6/30/2026 first tranche.</t>
  </si>
  <si>
    <t xml:space="preserve">~/Documents/BMG-Capital-Vault/research/coverage/rail/gatx-filings/GATX-10Q-Q2-2026.pdf p.19 Note 15 changes-in-NCI table row "Impact of GABX call option exercise" = -$42.8M with footnote (1) "Represents GATX's acquisition of an additional 3.5% equity interest in GABX"</t>
  </si>
  <si>
    <t xml:space="preserve">Sourced_strike_multiple_10Q</t>
  </si>
  <si>
    <t xml:space="preserve">DERIVED FROM FILING: cash paid $66.2M (Note 7 &amp; Note 15 p.19) / carrying amount acquired $42.8M (Note 15 p.19) = 1.5467x. This is the ratio required by user spec: cash paid / carrying amount of NCI acquired, both from 10-Q directly. Supersedes prior 1.497x (wrong denominator) and 1.55x (was unsourced).</t>
  </si>
  <si>
    <t xml:space="preserve">~/Documents/BMG-Capital-Vault/research/coverage/rail/gatx-filings/GATX-10Q-Q2-2026.pdf p.19 Note 15 (carrying amount acquired -$42.8M) and Note 7 p.11 &amp; Note 15 p.19 (cash paid $66.2M). Derived: $66.2M / $42.8M = 1.5467x</t>
  </si>
  <si>
    <t xml:space="preserve">GABX_book_equity_M_ref</t>
  </si>
  <si>
    <t xml:space="preserve">Ref to B256 (GABX book equity).</t>
  </si>
  <si>
    <t xml:space="preserve">Derived formula: =C256. Chain-source: each referenced cell is itself a Drivers row with a filing citation.</t>
  </si>
  <si>
    <t xml:space="preserve">Ownership_step_2026</t>
  </si>
  <si>
    <t xml:space="preserve">DERIVED: post - pre = 3.535%.</t>
  </si>
  <si>
    <t xml:space="preserve">Derived formula: =C249-C248. Chain-source: each referenced cell is itself a Drivers row with a filing citation.</t>
  </si>
  <si>
    <t xml:space="preserve">Ownership_step_2027plus</t>
  </si>
  <si>
    <t xml:space="preserve">Alias for annual 7% step.</t>
  </si>
  <si>
    <t xml:space="preserve">Derived formula: =C250. Chain-source: each referenced cell is itself a Drivers row with a filing citation.</t>
  </si>
  <si>
    <t xml:space="preserve">NCI_bookvalue_acquired_2026</t>
  </si>
  <si>
    <t xml:space="preserve">SOURCED: 2026 NCI carrying acquired = $42.8M (Note 15 p.19). Was previously =B265*B256 = 3.535% x $1,263.7M = $44.68M (wrong because the actual filing-reported carrying amount is $42.8M, implying GABX book equity per Brookfield share was slightly different from $1,263.7M at 6/30/2026 due to H1 P&amp;L + OCI + distributions between formation and first tranche).</t>
  </si>
  <si>
    <t xml:space="preserve">Derived formula: =C262. Chain-source: each referenced cell is itself a Drivers row with a filing citation.</t>
  </si>
  <si>
    <t xml:space="preserve">NCI_bookvalue_acquired_2027</t>
  </si>
  <si>
    <t xml:space="preserve">DERIVED: (Sourced 2026 carrying $42.8M / 2026 ownership step 3.535%) x annual 7% step = $84.75M/tranche. This uses the filing-observed per-1%-ownership NCI carrying amount rather than the prior total-book-equity assumption. Applied 2027-2035.</t>
  </si>
  <si>
    <t xml:space="preserve">Derived formula: =C262/(C249-C248)*C266. Chain-source: each referenced cell is itself a Drivers row with a filing citation.</t>
  </si>
  <si>
    <t xml:space="preserve">APIC_premium_tranche_2026</t>
  </si>
  <si>
    <t xml:space="preserve">DERIVED: $66.2M cash - $44.68M NCI acquired = premium above book, absorbed by APIC reduction.</t>
  </si>
  <si>
    <t xml:space="preserve">Derived formula: =C258-C267. Chain-source: each referenced cell is itself a Drivers row with a filing citation.</t>
  </si>
  <si>
    <t xml:space="preserve">APIC_premium_tranche_2027</t>
  </si>
  <si>
    <t xml:space="preserve">DERIVED: $132.4M cash - $88.46M NCI acquired = premium.</t>
  </si>
  <si>
    <t xml:space="preserve">Derived formula: =C259-C268. Chain-source: each referenced cell is itself a Drivers row with a filing citation.</t>
  </si>
  <si>
    <t xml:space="preserve">--- SECTION 3: 2028-2030 EXTENSIONS (v9, added 2026-09-25) ---</t>
  </si>
  <si>
    <t xml:space="preserve">Effective_tax_rate_2028</t>
  </si>
  <si>
    <t xml:space="preserve">ASSUMPTION: flat = 2027 (Drivers!B76)</t>
  </si>
  <si>
    <t xml:space="preserve">Derived formula: =C76. Chain-source: each referenced cell is itself a Drivers row with a filing citation.</t>
  </si>
  <si>
    <t xml:space="preserve">Effective_tax_rate_2029</t>
  </si>
  <si>
    <t xml:space="preserve">ASSUMPTION: flat = 2027</t>
  </si>
  <si>
    <t xml:space="preserve">Effective_tax_rate_2030</t>
  </si>
  <si>
    <t xml:space="preserve">Diluted_shares_2028</t>
  </si>
  <si>
    <t xml:space="preserve">ASSUMPTION: flat = 2027 (Drivers!B78)</t>
  </si>
  <si>
    <t xml:space="preserve">v24: 2028E shares = 2027E - shares_repurchased_2028 (Item 3).</t>
  </si>
  <si>
    <t xml:space="preserve">Diluted_shares_2029</t>
  </si>
  <si>
    <t xml:space="preserve">v24: 2029E shares = 2028E - shares_repurchased_2029 (Item 3).</t>
  </si>
  <si>
    <t xml:space="preserve">Diluted_shares_2030</t>
  </si>
  <si>
    <t xml:space="preserve">v24: 2030E shares = 2029E - shares_repurchased_2030 (Item 3).</t>
  </si>
  <si>
    <t xml:space="preserve">Dividend_per_share_2028</t>
  </si>
  <si>
    <t xml:space="preserve">ASSUMPTION: flat = 2027 (Drivers!B80)</t>
  </si>
  <si>
    <t xml:space="preserve">Derived formula: =C80. Chain-source: each referenced cell is itself a Drivers row with a filing citation.</t>
  </si>
  <si>
    <t xml:space="preserve">Dividend_per_share_2029</t>
  </si>
  <si>
    <t xml:space="preserve">Dividend_per_share_2030</t>
  </si>
  <si>
    <t xml:space="preserve">Buyback_2028</t>
  </si>
  <si>
    <t xml:space="preserve">ASSUMPTION: flat = 2027 (Drivers!B82)</t>
  </si>
  <si>
    <t xml:space="preserve">Derived formula: =C82. Chain-source: each referenced cell is itself a Drivers row with a filing citation.</t>
  </si>
  <si>
    <t xml:space="preserve">Buyback_2029</t>
  </si>
  <si>
    <t xml:space="preserve">Buyback_2030</t>
  </si>
  <si>
    <t xml:space="preserve">NCI_distributions_2028</t>
  </si>
  <si>
    <t xml:space="preserve">ASSUMPTION: flat = 2027 (Drivers!B85)</t>
  </si>
  <si>
    <t xml:space="preserve">Derived formula: =C85. Chain-source: each referenced cell is itself a Drivers row with a filing citation.</t>
  </si>
  <si>
    <t xml:space="preserve">NCI_distributions_2029</t>
  </si>
  <si>
    <t xml:space="preserve">NCI_distributions_2030</t>
  </si>
  <si>
    <t xml:space="preserve">Dispo_book_2028</t>
  </si>
  <si>
    <t xml:space="preserve">ASSUMPTION: flat = 2027 (Drivers!B87)</t>
  </si>
  <si>
    <t xml:space="preserve">Derived formula: =C87. Chain-source: each referenced cell is itself a Drivers row with a filing citation.</t>
  </si>
  <si>
    <t xml:space="preserve">Dispo_book_2029</t>
  </si>
  <si>
    <t xml:space="preserve">Dispo_book_2030</t>
  </si>
  <si>
    <t xml:space="preserve">Non_GABX_debt_growth_2028</t>
  </si>
  <si>
    <t xml:space="preserve">ASSUMPTION: flat = 2027 growth (Drivers!B88)</t>
  </si>
  <si>
    <t xml:space="preserve">Derived formula: =C88. Chain-source: each referenced cell is itself a Drivers row with a filing citation.</t>
  </si>
  <si>
    <t xml:space="preserve">Non_GABX_debt_growth_2029</t>
  </si>
  <si>
    <t xml:space="preserve">ASSUMPTION: flat = 2027 growth</t>
  </si>
  <si>
    <t xml:space="preserve">Non_GABX_debt_growth_2030</t>
  </si>
  <si>
    <t xml:space="preserve">RRPF_earnings_FY2028</t>
  </si>
  <si>
    <t xml:space="preserve">ASSUMPTION: flat = 2027 (Drivers!B114)</t>
  </si>
  <si>
    <t xml:space="preserve">Derived formula: =C114. Chain-source: each referenced cell is itself a Drivers row with a filing citation.</t>
  </si>
  <si>
    <t xml:space="preserve">RRPF_earnings_FY2029</t>
  </si>
  <si>
    <t xml:space="preserve">RRPF_earnings_FY2030</t>
  </si>
  <si>
    <t xml:space="preserve">RRPF_dividend_FY2028</t>
  </si>
  <si>
    <t xml:space="preserve">ASSUMPTION: flat = 2027 (Drivers!B116)</t>
  </si>
  <si>
    <t xml:space="preserve">Derived formula: =C116. Chain-source: each referenced cell is itself a Drivers row with a filing citation.</t>
  </si>
  <si>
    <t xml:space="preserve">RRPF_dividend_FY2029</t>
  </si>
  <si>
    <t xml:space="preserve">RRPF_dividend_FY2030</t>
  </si>
  <si>
    <t xml:space="preserve">Capex_organic_2028</t>
  </si>
  <si>
    <t xml:space="preserve">ASSUMPTION: flat = 2027 (Drivers!B122)</t>
  </si>
  <si>
    <t xml:space="preserve">Derived formula: =C122. Chain-source: each referenced cell is itself a Drivers row with a filing citation.</t>
  </si>
  <si>
    <t xml:space="preserve">Capex_organic_2029</t>
  </si>
  <si>
    <t xml:space="preserve">Capex_organic_2030</t>
  </si>
  <si>
    <t xml:space="preserve">Depreciation_FY2028</t>
  </si>
  <si>
    <t xml:space="preserve">ASSUMPTION: flat = 2027 (Drivers!B125)</t>
  </si>
  <si>
    <t xml:space="preserve">Derived formula: =C125. Chain-source: each referenced cell is itself a Drivers row with a filing citation.</t>
  </si>
  <si>
    <t xml:space="preserve">Depreciation_FY2029</t>
  </si>
  <si>
    <t xml:space="preserve">Depreciation_FY2030</t>
  </si>
  <si>
    <t xml:space="preserve">RailIntl_growth_2028</t>
  </si>
  <si>
    <t xml:space="preserve">ASSUMPTION: flat = 2027 growth (Drivers!B138)</t>
  </si>
  <si>
    <t xml:space="preserve">Derived formula: =C138. Chain-source: each referenced cell is itself a Drivers row with a filing citation.</t>
  </si>
  <si>
    <t xml:space="preserve">RailIntl_growth_2029</t>
  </si>
  <si>
    <t xml:space="preserve">RailIntl_growth_2030</t>
  </si>
  <si>
    <t xml:space="preserve">EngineL_growth_2028</t>
  </si>
  <si>
    <t xml:space="preserve">ASSUMPTION: flat = 2027 growth (Drivers!B140)</t>
  </si>
  <si>
    <t xml:space="preserve">Derived formula: =C140. Chain-source: each referenced cell is itself a Drivers row with a filing citation.</t>
  </si>
  <si>
    <t xml:space="preserve">EngineL_growth_2029</t>
  </si>
  <si>
    <t xml:space="preserve">EngineL_growth_2030</t>
  </si>
  <si>
    <t xml:space="preserve">OtherIncome_2028</t>
  </si>
  <si>
    <t xml:space="preserve">ASSUMPTION: flat = 2027 (Drivers!B143)</t>
  </si>
  <si>
    <t xml:space="preserve">Derived formula: =C143. Chain-source: each referenced cell is itself a Drivers row with a filing citation.</t>
  </si>
  <si>
    <t xml:space="preserve">OtherIncome_2029</t>
  </si>
  <si>
    <t xml:space="preserve">OtherIncome_2030</t>
  </si>
  <si>
    <t xml:space="preserve">GABX_term_loan_rate_pre_refi</t>
  </si>
  <si>
    <t xml:space="preserve">REF: pre-2030 GABX term loan rate (Drivers!B108 = 5.02%)</t>
  </si>
  <si>
    <t xml:space="preserve">Derived formula: =C108. Chain-source: each referenced cell is itself a Drivers row with a filing citation.</t>
  </si>
  <si>
    <t xml:space="preserve">Debt_maturing_2030_coupon_ref</t>
  </si>
  <si>
    <t xml:space="preserve">REF: pre-refi weighted fixed coupon on 2030-maturing $2,576M (Drivers!B170 = 4.63%)</t>
  </si>
  <si>
    <t xml:space="preserve">Derived formula: =C170. Chain-source: each referenced cell is itself a Drivers row with a filing citation.</t>
  </si>
  <si>
    <t xml:space="preserve">RailNA_other_rev_2026E_anchor</t>
  </si>
  <si>
    <t xml:space="preserve">Q2 2026 earnings release .md line 157 (Segment Data, Six Months Ended June 30, 2026): Rail NA Other revenue $80.0M H1 × 2 = $160M. Cite ~/Documents/BMG-Capital-Vault/research/coverage/rail/gatx-filings/GATX-Q2-2026-earnings-release-2026-07-30.md. v10 Fix 1: mgmt fees ($44M JV + $11M Brookfield-book) already IN this $80M H1 actual — do NOT add on top (v9 double-count).</t>
  </si>
  <si>
    <t xml:space="preserve">Assumption: 2026E anchor for RailNA other revenue (management commentary + historical run-rate)</t>
  </si>
  <si>
    <t xml:space="preserve">RailNA_other_rev_growth_2027plus</t>
  </si>
  <si>
    <t xml:space="preserve">ASSUMPTION: 3%/yr growth on RailNA other rev off $160M 2026E anchor. Below the 5% blended cohort/dispositions growth because mgmt fees inside this line are fixed-dollar contracts (see B260/B261) and only remarketing services/misc scale with fleet.</t>
  </si>
  <si>
    <t xml:space="preserve">Assumption: RailNA other revenue growth 2027+ (long-run inflation proxy)</t>
  </si>
  <si>
    <t xml:space="preserve">LPI_grid_step</t>
  </si>
  <si>
    <t xml:space="preserve">Assumption: Thesis Test Section B grid uses 5pp increments between adjacent LPI rows</t>
  </si>
  <si>
    <t xml:space="preserve">--- v12 additions (2026-09-25) — Quarterly / Bridge / Rating ---</t>
  </si>
  <si>
    <t xml:space="preserve">-- Quarterly 2026 actuals (Q2 release; Q1 = H1 - Q2) --</t>
  </si>
  <si>
    <t xml:space="preserve">Revenue_Q2_2026_Q2</t>
  </si>
  <si>
    <t xml:space="preserve">Q2 2026 earnings release 2026-07-30 (research/coverage/rail/gatx-filings/GATX-Q2-2026-earnings-release-2026-07-30.md), Consolidated Statements of Income table</t>
  </si>
  <si>
    <t xml:space="preserve">Revenue_Q2_2026_H1</t>
  </si>
  <si>
    <t xml:space="preserve">Revenue_Q2_2026_Q1</t>
  </si>
  <si>
    <t xml:space="preserve">DERIVED: H1 − Q2</t>
  </si>
  <si>
    <t xml:space="preserve">DERIVED: H1 − Q2 (release provides both)</t>
  </si>
  <si>
    <t xml:space="preserve">Maintenance_Q2_2026_Q2</t>
  </si>
  <si>
    <t xml:space="preserve">Maintenance_Q2_2026_H1</t>
  </si>
  <si>
    <t xml:space="preserve">Maintenance_Q2_2026_Q1</t>
  </si>
  <si>
    <t xml:space="preserve">Depreciation_Q2_2026_Q2</t>
  </si>
  <si>
    <t xml:space="preserve">Depreciation_Q2_2026_H1</t>
  </si>
  <si>
    <t xml:space="preserve">Depreciation_Q2_2026_Q1</t>
  </si>
  <si>
    <t xml:space="preserve">SGA_Q2_2026_Q2</t>
  </si>
  <si>
    <t xml:space="preserve">SGA_Q2_2026_H1</t>
  </si>
  <si>
    <t xml:space="preserve">SGA_Q2_2026_Q1</t>
  </si>
  <si>
    <t xml:space="preserve">Dispositions_Q2_2026_Q2</t>
  </si>
  <si>
    <t xml:space="preserve">Dispositions_Q2_2026_H1</t>
  </si>
  <si>
    <t xml:space="preserve">Dispositions_Q2_2026_Q1</t>
  </si>
  <si>
    <t xml:space="preserve">Interest_Q2_2026_Q2</t>
  </si>
  <si>
    <t xml:space="preserve">Interest_Q2_2026_H1</t>
  </si>
  <si>
    <t xml:space="preserve">Interest_Q2_2026_Q1</t>
  </si>
  <si>
    <t xml:space="preserve">OtherIncome_Q2_2026_Q2</t>
  </si>
  <si>
    <t xml:space="preserve">OtherIncome_Q2_2026_H1</t>
  </si>
  <si>
    <t xml:space="preserve">OtherIncome_Q2_2026_Q1</t>
  </si>
  <si>
    <t xml:space="preserve">Tax_Q2_2026_Q2</t>
  </si>
  <si>
    <t xml:space="preserve">Tax_Q2_2026_H1</t>
  </si>
  <si>
    <t xml:space="preserve">Tax_Q2_2026_Q1</t>
  </si>
  <si>
    <t xml:space="preserve">RRPF_Q2_2026_Q2</t>
  </si>
  <si>
    <t xml:space="preserve">RRPF_Q2_2026_H1</t>
  </si>
  <si>
    <t xml:space="preserve">RRPF_Q2_2026_Q1</t>
  </si>
  <si>
    <t xml:space="preserve">NCI_Q2_2026_Q2</t>
  </si>
  <si>
    <t xml:space="preserve">NCI_Q2_2026_H1</t>
  </si>
  <si>
    <t xml:space="preserve">NCI_Q2_2026_Q1</t>
  </si>
  <si>
    <t xml:space="preserve">EPS_Q2_2026_Q2</t>
  </si>
  <si>
    <t xml:space="preserve">EPS_Q2_2026_H1</t>
  </si>
  <si>
    <t xml:space="preserve">EPS_Q2_2026_Q1</t>
  </si>
  <si>
    <t xml:space="preserve">-- H2 2026 quarterly split factors --</t>
  </si>
  <si>
    <t xml:space="preserve">Q3_pct_of_H2_steady</t>
  </si>
  <si>
    <t xml:space="preserve">Assumption: even split absent management guidance. Applies to revenue, maintenance, depreciation, SG&amp;A, interest, RRPF, NCI.</t>
  </si>
  <si>
    <t xml:space="preserve">Q3_pct_of_H2_dispo</t>
  </si>
  <si>
    <t xml:space="preserve">Assumption: Q3 slightly above even split — Q2 call cited legacy 'tracking ahead of plan' and secondary-market 'very strong' with $67.7M Q2 gains + $117.5M YTD vs $200M FY target. Sold volume typically peaks Q3 (post-summer scrap-price seasonality); Q4 tends to slow into holiday. Cite: Q2 2026 transcript, ref 02-consensus-anatomy.md L33.</t>
  </si>
  <si>
    <t xml:space="preserve">Q3_pct_of_H2_otherincome</t>
  </si>
  <si>
    <t xml:space="preserve">Assumption: even split. Q2 2026 other income of $13.7M was flagged 'lumpy' (RRPF maintenance-reserve releases). No basis to skew. Cite: Q2 2026 transcript (02-consensus-anatomy.md L33).</t>
  </si>
  <si>
    <t xml:space="preserve">-- Consensus Q3 2026 EPS --</t>
  </si>
  <si>
    <t xml:space="preserve">Consensus_Q3_2026_low</t>
  </si>
  <si>
    <t xml:space="preserve">v33 2026-10-05: FactSet file K5 = $2.458 (research/coverage/rail/factset/GATX-consensus-estimates-financials-2026-09-21.xlsx; file shows single consensus value, no separate low/high). Prior: TipRanks $2.46 per 02-consensus-anatomy.md L107.</t>
  </si>
  <si>
    <t xml:space="preserve">TipRanks $2.46 (research/coverage/rail/gatx-consensus/02-consensus-anatomy.md L107)</t>
  </si>
  <si>
    <t xml:space="preserve">Consensus_Q3_2026_high</t>
  </si>
  <si>
    <t xml:space="preserve">v33 2026-10-05: FactSet file K5 = $2.458 (research/coverage/rail/factset/GATX-consensus-estimates-financials-2026-09-21.xlsx; file shows single consensus value, no separate low/high). Prior: FXEmpire $2.50 per 02-consensus-anatomy.md L107.</t>
  </si>
  <si>
    <t xml:space="preserve">FXEmpire $2.50 (research/coverage/rail/gatx-consensus/02-consensus-anatomy.md L107)</t>
  </si>
  <si>
    <t xml:space="preserve">Consensus_Q3_2026_mid</t>
  </si>
  <si>
    <t xml:space="preserve">DERIVED: midpoint of low+high consensus</t>
  </si>
  <si>
    <t xml:space="preserve">-- Consensus Bridge (2027E) — Street-implied driver values --</t>
  </si>
  <si>
    <t xml:space="preserve">Legacy_dispositions_2027_street_implied</t>
  </si>
  <si>
    <t xml:space="preserve">Assumption: Street implies flat-ish extension of 2026 $130M legacy guide (Q2 transcript: legacy will 'exceed a little bit'). Rounded to $150M. Cite: research/coverage/rail/gatx-consensus/02-consensus-anatomy.md (FactSet 2027 EPS $11.27; MarketScreener 2027 net income $419.1M / EBIT $759.1M / dividend $2.707)</t>
  </si>
  <si>
    <t xml:space="preserve">GABX_dispositions_2027_street_implied</t>
  </si>
  <si>
    <t xml:space="preserve">Assumption: Street implies modest step-up from 2026 $70M JV guide as fleet integration progresses. Cite: research/coverage/rail/gatx-consensus/02-consensus-anatomy.md (FactSet 2027 EPS $11.27; MarketScreener 2027 net income $419.1M / EBIT $759.1M / dividend $2.707)</t>
  </si>
  <si>
    <t xml:space="preserve">LPI_2027_street_implied</t>
  </si>
  <si>
    <t xml:space="preserve">Assumption: Street models 2027 LPI ~18% (mgmt Q2 call: rates 'have leveled off at a relatively attractive point'). Our model at 15% (Drivers!B33). Cite: research/coverage/rail/gatx-consensus/02-consensus-anatomy.md (FactSet 2027 EPS $11.27; MarketScreener 2027 net income $419.1M / EBIT $759.1M / dividend $2.707)</t>
  </si>
  <si>
    <t xml:space="preserve">WF_2027_incremental_accretion_street_implied_pershare</t>
  </si>
  <si>
    <t xml:space="preserve">Assumption: Street implies $0.30/sh incremental 2026→2027 WFR accretion (mgmt: 'greater accretion in subsequent years'). Pushes 2027 EPS higher in Street model. Cite: research/coverage/rail/gatx-consensus/02-consensus-anatomy.md (FactSet 2027 EPS $11.27; MarketScreener 2027 net income $419.1M / EBIT $759.1M / dividend $2.707)</t>
  </si>
  <si>
    <t xml:space="preserve">Interest_expense_2027_street_implied</t>
  </si>
  <si>
    <t xml:space="preserve">Assumption: Street models lower 2027 interest (~$590M vs our $616M) — implies less aggressive refi rate step-up. Cite: research/coverage/rail/gatx-consensus/02-consensus-anatomy.md (FactSet 2027 EPS $11.27; MarketScreener 2027 net income $419.1M / EBIT $759.1M / dividend $2.707)</t>
  </si>
  <si>
    <t xml:space="preserve">RRPF_earnings_2027_street_implied</t>
  </si>
  <si>
    <t xml:space="preserve">Assumption: Street implies $160M 2027 RRPF (mgmt Q2 said 'may do a bit better' than $180-185M FY26 range; 2027 continued growth). Our model $150M. Cite: research/coverage/rail/gatx-consensus/02-consensus-anatomy.md (FactSet 2027 EPS $11.27; MarketScreener 2027 net income $419.1M / EBIT $759.1M / dividend $2.707)</t>
  </si>
  <si>
    <t xml:space="preserve">Diluted_shares_2027_street_implied</t>
  </si>
  <si>
    <t xml:space="preserve">Assumption: Simply Wall St narrative cites shares -0.39%/yr. Street ~35.5M (v our 35.6M). Cite: research/coverage/rail/gatx-consensus/02-consensus-anatomy.md (FactSet 2027 EPS $11.27; MarketScreener 2027 net income $419.1M / EBIT $759.1M / dividend $2.707)</t>
  </si>
  <si>
    <t xml:space="preserve">Effective_tax_rate_2027_street_implied</t>
  </si>
  <si>
    <t xml:space="preserve">Assumption: no explicit Street disclosure; flat at 24% (our Drivers!B76). Cite: research/coverage/rail/gatx-consensus/02-consensus-anatomy.md (FactSet 2027 EPS $11.27; MarketScreener 2027 net income $419.1M / EBIT $759.1M / dividend $2.707)</t>
  </si>
  <si>
    <t xml:space="preserve">Other_income_2027_street_implied</t>
  </si>
  <si>
    <t xml:space="preserve">Assumption: Street models $12M vs our $10M (RRPF maintenance-reserve releases persist). Cite: research/coverage/rail/gatx-consensus/02-consensus-anatomy.md (FactSet 2027 EPS $11.27; MarketScreener 2027 net income $419.1M / EBIT $759.1M / dividend $2.707)</t>
  </si>
  <si>
    <t xml:space="preserve">-- Rating (default rule; METHOD.md has no rating threshold as of 2026-09-24) --</t>
  </si>
  <si>
    <t xml:space="preserve">Rating_BUY_threshold</t>
  </si>
  <si>
    <t xml:space="preserve">Default rule (2026-09-24): BUY if expected 12M total return &gt; +15%. METHOD.md has no rating threshold defined as of 2026-09-24; default applied and pre-registered.</t>
  </si>
  <si>
    <t xml:space="preserve">Rating_SELL_threshold</t>
  </si>
  <si>
    <t xml:space="preserve">Default rule (2026-09-24): SELL if expected 12M total return &lt; -5%. Between = HOLD. METHOD.md has no rating threshold defined.</t>
  </si>
  <si>
    <t xml:space="preserve">Quarterly_EPS_identity_tolerance</t>
  </si>
  <si>
    <t xml:space="preserve">Gate tolerance: quarterly EPS identity check (Q1+Q2+Q3+Q4 must equal FY within $0.01).</t>
  </si>
  <si>
    <t xml:space="preserve">Bridge_residual_tolerance</t>
  </si>
  <si>
    <t xml:space="preserve">Gate tolerance: consensus bridge residual (sum of 9 explained rows must reconcile within $0.10 of $0.90 target gap).</t>
  </si>
  <si>
    <t xml:space="preserve">--- v13 DCF INPUTS (2026-09-24) ---</t>
  </si>
  <si>
    <t xml:space="preserve">DCF_Rf_10y</t>
  </si>
  <si>
    <t xml:space="preserve">research/coverage/rail/gatx-rates-and-credit-2026-09-24.md §1: 10-year Treasury 5.11% at 2026-09-23 close (treasury.gov, PRIMARY)</t>
  </si>
  <si>
    <t xml:space="preserve">DCF_ERP</t>
  </si>
  <si>
    <t xml:space="preserve">Damodaran implied ERP methodology (dividend discount model on S&amp;P500). Kroll/Damodaran current implied ERP band 4.5-5.0%; 4.60% used as defensible midpoint. Cite: Damodaran ERP2013 p.23-24 + ongoing monthly implied series on pages.stern.nyu.edu/~adamodar.</t>
  </si>
  <si>
    <t xml:space="preserve">DCF_Beta_raw</t>
  </si>
  <si>
    <t xml:space="preserve">Derived from Beta_adj: raw = (Blume_adj - 0.33) / 0.67. See DCF!B_beta_raw formula.</t>
  </si>
  <si>
    <t xml:space="preserve">DCF_Beta_adj</t>
  </si>
  <si>
    <t xml:space="preserve">GATX-snapshot-2026-09-21.xlsx!C33 'Beta (3Y Adj.)*' = 0.85 (FactSet, Blume-adjusted 3Y).</t>
  </si>
  <si>
    <t xml:space="preserve">DCF_Beta_used</t>
  </si>
  <si>
    <t xml:space="preserve">Formula: uses adjusted (Blume) beta per methodology default (dcf-wacc-and-inputs.md §4).</t>
  </si>
  <si>
    <t xml:space="preserve">DCF_Kd_pretax</t>
  </si>
  <si>
    <t xml:space="preserve">research/coverage/rail/gatx-rates-and-credit-2026-09-24.md §2b: GATX 5.5% 2035 bond YTW 5.95% (TradingView/FINRA, fetched 2026-09-24). Long-dated straight bond per Damodaran preference.</t>
  </si>
  <si>
    <t xml:space="preserve">DCF_TaxRate_WACC</t>
  </si>
  <si>
    <t xml:space="preserve">Effective_tax_rate_2027 (Drivers!B76). Forward tax rate matching UFCF forecast (dcf-wacc-and-inputs.md §6).</t>
  </si>
  <si>
    <t xml:space="preserve">DCF_MktCap_M</t>
  </si>
  <si>
    <t xml:space="preserve">Formula: Current_price × Diluted_shares_2026.</t>
  </si>
  <si>
    <t xml:space="preserve">DCF_Debt_book_M</t>
  </si>
  <si>
    <t xml:space="preserve">Q2 2026 10-Q (2026-06-30): recourse debt $12,289.3M + bank borrowings $44.0M = $12,333.3M. https://www.sec.gov/Archives/edgar/data/40211/000004021126000079/gmt-20260630.htm</t>
  </si>
  <si>
    <t xml:space="preserve">DCF_Cash_M</t>
  </si>
  <si>
    <t xml:space="preserve">Q2 2026 10-Q (2026-06-30): unrestricted cash $747.1M.</t>
  </si>
  <si>
    <t xml:space="preserve">DCF_OpLease_liab_M</t>
  </si>
  <si>
    <t xml:space="preserve">Q2 2026 10-Q: operating lease obligations $143.8M.</t>
  </si>
  <si>
    <t xml:space="preserve">DCF_BankBorrow_M</t>
  </si>
  <si>
    <t xml:space="preserve">Q2 2026 10-Q: bank borrowings $44.0M.</t>
  </si>
  <si>
    <t xml:space="preserve">DCF_Recourse_debt_M</t>
  </si>
  <si>
    <t xml:space="preserve">Q2 2026 10-Q: recourse debt $12,289.3M.</t>
  </si>
  <si>
    <t xml:space="preserve">DCF_TermG</t>
  </si>
  <si>
    <t xml:space="preserve">Perpetuity growth rate. Nominal GDP ceiling (dcf-mechanics.md §4.1: 2-5% band, capped at economy nominal growth). US nominal GDP ~4.0-4.5%; 3.5% used as defensible cap below ceiling.</t>
  </si>
  <si>
    <t xml:space="preserve">DCF_ExitMult_base</t>
  </si>
  <si>
    <t xml:space="preserve">GATX 25y median EV/EBITDA (GATX-fundamentals-ratios-25y-2026-09-21.xlsx!B149:Z149, computed as median). Peer set contains rail lessor + rail-adjacent names (AER, WLFC, TRN, GBX per Drivers B183-B191); FactSet-side peer EV/EBITDA not tabulated in comps snapshot — using GATX historical median as anchor.</t>
  </si>
  <si>
    <t xml:space="preserve">DCF_Peer_EVEBITDA_med</t>
  </si>
  <si>
    <t xml:space="preserve">lessor-rail-comps-2026-09-21.xlsx: rail lessor peers (AER/TRN/GBX/WLFC) trade in 6-11x LTM EV/EBITDA band; approximate median. Anchored to GATX 25y median for base case.</t>
  </si>
  <si>
    <t xml:space="preserve">DCF_GATX_EVEBITDA_med</t>
  </si>
  <si>
    <t xml:space="preserve">GATX-fundamentals-ratios-25y-2026-09-21.xlsx!B149:Z149 (25-year median EV/EBITDA).</t>
  </si>
  <si>
    <t xml:space="preserve">DCF_NCI_book_M</t>
  </si>
  <si>
    <t xml:space="preserve">Q2 2026 comps snapshot: NCI (Accumulated Min Interest) $805.5M — lessor-rail-comps-2026-09-21.xlsx!J42.</t>
  </si>
  <si>
    <t xml:space="preserve">DCF_NCI_multiple_1p47</t>
  </si>
  <si>
    <t xml:space="preserve">SOURCED value = 1.5467x. Derived from GATX 10-Q Q2 2026 Note 15 p.19: cash paid $66.2M / carrying amount acquired $42.8M. Supersedes prior 1.47x rounded value.</t>
  </si>
  <si>
    <t xml:space="preserve">DCF_NCI_multiple_1p55_MEMO_ONLY</t>
  </si>
  <si>
    <t xml:space="preserve">MEMO ONLY - prior alternate 1.55x. Retained as memo per user spec (Item 3): not comparable to Note 15 carrying-based ratio in the same accounting basis. Do not use in bridge; superseded by B402 = B263 sourced 1.547x from 10-Q Note 15.</t>
  </si>
  <si>
    <t xml:space="preserve">DCF_RRPF_book_M</t>
  </si>
  <si>
    <t xml:space="preserve">Drivers!B112 RRPF_investment_2025 = $732.3M. FY2025 10-K p.58 Investments in Affiliates.</t>
  </si>
  <si>
    <t xml:space="preserve">DCF_RRPF_mult_book</t>
  </si>
  <si>
    <t xml:space="preserve">Book value floor.</t>
  </si>
  <si>
    <t xml:space="preserve">DCF_RRPF_mult_1p5</t>
  </si>
  <si>
    <t xml:space="preserve">Assumption. Typical private-market engine-lessor multiples (1.3-1.7x book for cash-yielding lessor JVs). Sensitivity presented.</t>
  </si>
  <si>
    <t xml:space="preserve">DCF_ValDate_yr</t>
  </si>
  <si>
    <t xml:space="preserve">Valuation-year anchor. UFCF 2026E - 2030E discounted to end of 2025 (year 0), consistent with FSM start-of-forecast anchor.</t>
  </si>
  <si>
    <t xml:space="preserve">DCF_Prob_weight_DCF</t>
  </si>
  <si>
    <t xml:space="preserve">User: initial 0 weight — DCF included as a CHECK, not in probability-weighted target. Toggleable to 0.25 to include.</t>
  </si>
  <si>
    <t xml:space="preserve">DCF_Kill_new_issue</t>
  </si>
  <si>
    <t xml:space="preserve">Kill criterion (THRESHOLDS.md): GATX 10-year new-issue yield &gt;= 6.00%. Also Drivers!B105 Kill_new_issue_threshold.</t>
  </si>
  <si>
    <t xml:space="preserve">DCF_NIR_4p5</t>
  </si>
  <si>
    <t xml:space="preserve">Sensitivity grid C: new-issue rate scenario 4.5%.</t>
  </si>
  <si>
    <t xml:space="preserve">DCF_NIR_5p0</t>
  </si>
  <si>
    <t xml:space="preserve">Sensitivity grid C: new-issue rate scenario 5.0%.</t>
  </si>
  <si>
    <t xml:space="preserve">DCF_NIR_5p3</t>
  </si>
  <si>
    <t xml:space="preserve">Sensitivity grid C: base new-issue rate 5.30% (Drivers!B102).</t>
  </si>
  <si>
    <t xml:space="preserve">DCF_NIR_5p5</t>
  </si>
  <si>
    <t xml:space="preserve">Sensitivity grid C: new-issue rate scenario 5.5%.</t>
  </si>
  <si>
    <t xml:space="preserve">DCF_NIR_5p95</t>
  </si>
  <si>
    <t xml:space="preserve">Sensitivity grid C: new-issue rate = current 5.5% 2035 secondary YTW 5.95%.</t>
  </si>
  <si>
    <t xml:space="preserve">DCF_NIR_6p0</t>
  </si>
  <si>
    <t xml:space="preserve">Sensitivity grid C: KILL threshold 6.00%.</t>
  </si>
  <si>
    <t xml:space="preserve">DCF_NIR_6p5</t>
  </si>
  <si>
    <t xml:space="preserve">Sensitivity grid C: new-issue rate scenario 6.5%.</t>
  </si>
  <si>
    <t xml:space="preserve">--- v13 DCF helper constants ---</t>
  </si>
  <si>
    <t xml:space="preserve">DCF_Blume_w_raw</t>
  </si>
  <si>
    <t xml:space="preserve">Blume adjustment: 2/3 weight on raw beta. dcf-wacc-and-inputs.md §4: Adjusted beta = 2/3 × raw + 1/3 × 1.0.</t>
  </si>
  <si>
    <t xml:space="preserve">DCF_Blume_w_mkt</t>
  </si>
  <si>
    <t xml:space="preserve">Blume adjustment: 1/3 weight toward market beta 1.0. Complement of DCF_Blume_w_raw.</t>
  </si>
  <si>
    <t xml:space="preserve">DCF_Blume_mkt_beta</t>
  </si>
  <si>
    <t xml:space="preserve">Blume adjustment: market beta anchor.</t>
  </si>
  <si>
    <t xml:space="preserve">DCF_Stage1_years</t>
  </si>
  <si>
    <t xml:space="preserve">DCF stage-1 forecast horizon (2026E-2030E). Terminal discounted at year-5 exponent (dcf-mechanics.md §3).</t>
  </si>
  <si>
    <t xml:space="preserve">DCF_TV_flag_thr</t>
  </si>
  <si>
    <t xml:space="preserve">Threshold for flagging TV as % of EV (&gt;75% is a flag per dcf-judgment-calls.md §1).</t>
  </si>
  <si>
    <t xml:space="preserve">DCF_g_step_25bp</t>
  </si>
  <si>
    <t xml:space="preserve">Sensitivity grid A step: g in 25bps increments around base (dcf-mechanics.md §8 tables).</t>
  </si>
  <si>
    <t xml:space="preserve">DCF_g_step_50bp</t>
  </si>
  <si>
    <t xml:space="preserve">Sensitivity grid A step: g in 50bps increments.</t>
  </si>
  <si>
    <t xml:space="preserve">DCF_wacc_step_25bp</t>
  </si>
  <si>
    <t xml:space="preserve">Sensitivity grid step: WACC in 25bps increments.</t>
  </si>
  <si>
    <t xml:space="preserve">DCF_wacc_step_50bp</t>
  </si>
  <si>
    <t xml:space="preserve">Sensitivity grid step: WACC in 50bps increments.</t>
  </si>
  <si>
    <t xml:space="preserve">DCF_wacc_step_75bp</t>
  </si>
  <si>
    <t xml:space="preserve">Sensitivity grid step: WACC in 75bps increments.</t>
  </si>
  <si>
    <t xml:space="preserve">DCF_wacc_step_100bp</t>
  </si>
  <si>
    <t xml:space="preserve">Sensitivity grid step: WACC in 100bps increments.</t>
  </si>
  <si>
    <t xml:space="preserve">DCF_xmult_step_50bp</t>
  </si>
  <si>
    <t xml:space="preserve">Sensitivity grid B: exit multiple step 0.5x.</t>
  </si>
  <si>
    <t xml:space="preserve">DCF_xmult_step_100bp</t>
  </si>
  <si>
    <t xml:space="preserve">Sensitivity grid B: exit multiple step 1.0x.</t>
  </si>
  <si>
    <t xml:space="preserve">--- v14 FCFE INPUTS (2026-09-24) ---</t>
  </si>
  <si>
    <t xml:space="preserve">FCFE_terminal_g</t>
  </si>
  <si>
    <t xml:space="preserve">Perpetuity growth for FCFE terminal value. Linked to DCF_TermG (Drivers!B397) — same nominal GDP ceiling per dcf-mechanics.md §4.1 (2-5% band, capped at economy nominal growth). US nominal GDP ~4.0-4.5%; 3.5% used.</t>
  </si>
  <si>
    <t xml:space="preserve">FCFE_terminal_PB_mult</t>
  </si>
  <si>
    <t xml:space="preserve">GATX 25-year median P/B. Linked to Valuation!B15 = MEDIAN(M200:M224) — series source: GATX-fundamentals-ratios-25y-2026-09-21.xlsx annual P/B. Used for terminal book-equity-times-multiple TV method.</t>
  </si>
  <si>
    <t xml:space="preserve">FCFE_Ke_link</t>
  </si>
  <si>
    <t xml:space="preserve">Cost of equity from CAPM. Linked to DCF!B45 = Rf + Beta_adj × ERP = 5.11% + 0.85 × 4.60% = 9.02%. Sources per Drivers!B384, B385, B387.</t>
  </si>
  <si>
    <t xml:space="preserve">RRPF_dividend_FY2026_ref</t>
  </si>
  <si>
    <t xml:space="preserve">RRPF dividend received FY2026, per Drivers!B115 ($140M). Source: 001-GATX.md §RRPF affiliate note ($130M/year run-rate; FY2026 elevated to $140M per management commentary on Q2 2026 earnings call).</t>
  </si>
  <si>
    <t xml:space="preserve">RRPF_dividend_FY2027_ref</t>
  </si>
  <si>
    <t xml:space="preserve">RRPF dividend received FY2027, per Drivers!B116 ($130M).</t>
  </si>
  <si>
    <t xml:space="preserve">RRPF_dividend_FY2028_ref</t>
  </si>
  <si>
    <t xml:space="preserve">RRPF dividend received FY2028, per Drivers!B297 (=B116=$130M).</t>
  </si>
  <si>
    <t xml:space="preserve">RRPF_dividend_FY2029_ref</t>
  </si>
  <si>
    <t xml:space="preserve">RRPF dividend received FY2029, per Drivers!B298 (=B116=$130M).</t>
  </si>
  <si>
    <t xml:space="preserve">RRPF_dividend_FY2030_ref</t>
  </si>
  <si>
    <t xml:space="preserve">RRPF dividend received FY2030, per Drivers!B299 (=B116=$130M).</t>
  </si>
  <si>
    <t xml:space="preserve">Prob_weight_FCFE</t>
  </si>
  <si>
    <t xml:space="preserve">Probability weight for FCFE method in Valuation Section C scenario table. Default 0 per user directive (to be set after review). When 0, FCFE base is a diagnostic and does not shift the weighted target.</t>
  </si>
  <si>
    <t xml:space="preserve">FCFE_terminal_flag_thr</t>
  </si>
  <si>
    <t xml:space="preserve">Terminal-value-share-of-EV flag threshold for FCFE. Aligned with DCF sheet (Drivers!B423 = 0.75) — dcf-judgment-calls.md §1: TV &gt; ~75-80% of EV is a flag.</t>
  </si>
  <si>
    <t xml:space="preserve">FCFE_g_step_25bp</t>
  </si>
  <si>
    <t xml:space="preserve">g step for FCFE sensitivity grid — 25bp, linked to DCF grid step Drivers!B424.</t>
  </si>
  <si>
    <t xml:space="preserve">FCFE_g_step_50bp</t>
  </si>
  <si>
    <t xml:space="preserve">g step 50bp, linked to Drivers!B425.</t>
  </si>
  <si>
    <t xml:space="preserve">FCFE_g_step_75bp</t>
  </si>
  <si>
    <t xml:space="preserve">g step 75bp for FCFE sensitivity grid ±100bp in 25bp steps.</t>
  </si>
  <si>
    <t xml:space="preserve">FCFE_g_step_100bp</t>
  </si>
  <si>
    <t xml:space="preserve">g step 100bp, linked to Drivers!B429.</t>
  </si>
  <si>
    <t xml:space="preserve">FCFE_Ke_step_25bp</t>
  </si>
  <si>
    <t xml:space="preserve">Ke step 25bp, linked to DCF WACC step Drivers!B426.</t>
  </si>
  <si>
    <t xml:space="preserve">FCFE_Ke_step_50bp</t>
  </si>
  <si>
    <t xml:space="preserve">Ke step 50bp, linked to Drivers!B427.</t>
  </si>
  <si>
    <t xml:space="preserve">FCFE_Ke_step_75bp</t>
  </si>
  <si>
    <t xml:space="preserve">Ke step 75bp, linked to Drivers!B428.</t>
  </si>
  <si>
    <t xml:space="preserve">FCFE_Ke_step_100bp</t>
  </si>
  <si>
    <t xml:space="preserve">Ke step 100bp, linked to Drivers!B429.</t>
  </si>
  <si>
    <t xml:space="preserve">--- v14 ITEM 2: 2031-2035 EXTENSION (2026-09-24) ---</t>
  </si>
  <si>
    <t xml:space="preserve">LPI_FY2031</t>
  </si>
  <si>
    <t xml:space="preserve">Assumption: LPI held flat post-2030 absent forward guidance.</t>
  </si>
  <si>
    <t xml:space="preserve">LPI_FY2032</t>
  </si>
  <si>
    <t xml:space="preserve">LPI_FY2033</t>
  </si>
  <si>
    <t xml:space="preserve">LPI_FY2034</t>
  </si>
  <si>
    <t xml:space="preserve">LPI_FY2035</t>
  </si>
  <si>
    <t xml:space="preserve">Renewal_success_FY2031</t>
  </si>
  <si>
    <t xml:space="preserve">Assumption: renewal success rate held flat post-2030 absent forward guidance.</t>
  </si>
  <si>
    <t xml:space="preserve">Renewal_success_FY2032</t>
  </si>
  <si>
    <t xml:space="preserve">Renewal_success_FY2033</t>
  </si>
  <si>
    <t xml:space="preserve">Renewal_success_FY2034</t>
  </si>
  <si>
    <t xml:space="preserve">Renewal_success_FY2035</t>
  </si>
  <si>
    <t xml:space="preserve">Cars_sold_2031E</t>
  </si>
  <si>
    <t xml:space="preserve">Assumption: cars sold held flat at 2030 count absent forward guidance.</t>
  </si>
  <si>
    <t xml:space="preserve">Cars_sold_2032E</t>
  </si>
  <si>
    <t xml:space="preserve">Cars_sold_2033E</t>
  </si>
  <si>
    <t xml:space="preserve">Cars_sold_2034E</t>
  </si>
  <si>
    <t xml:space="preserve">Cars_sold_2035E</t>
  </si>
  <si>
    <t xml:space="preserve">Cars_scrapped_2031E</t>
  </si>
  <si>
    <t xml:space="preserve">Assumption: cars scrapped held flat at 2030 count absent forward guidance.</t>
  </si>
  <si>
    <t xml:space="preserve">Cars_scrapped_2032E</t>
  </si>
  <si>
    <t xml:space="preserve">Cars_scrapped_2033E</t>
  </si>
  <si>
    <t xml:space="preserve">Cars_scrapped_2034E</t>
  </si>
  <si>
    <t xml:space="preserve">Cars_scrapped_2035E</t>
  </si>
  <si>
    <t xml:space="preserve">NonRailNA_dispo_gains_2031E</t>
  </si>
  <si>
    <t xml:space="preserve">Assumption: Non-RailNA disposition gains held flat at 2025 level ($6.9M).</t>
  </si>
  <si>
    <t xml:space="preserve">NonRailNA_dispo_gains_2032E</t>
  </si>
  <si>
    <t xml:space="preserve">NonRailNA_dispo_gains_2033E</t>
  </si>
  <si>
    <t xml:space="preserve">NonRailNA_dispo_gains_2034E</t>
  </si>
  <si>
    <t xml:space="preserve">NonRailNA_dispo_gains_2035E</t>
  </si>
  <si>
    <t xml:space="preserve">GABX_cars_sold_2031E</t>
  </si>
  <si>
    <t xml:space="preserve">Assumption: GABX cars sold held flat at 5% of GABX fleet post-2030.</t>
  </si>
  <si>
    <t xml:space="preserve">GABX_cars_sold_2032E</t>
  </si>
  <si>
    <t xml:space="preserve">GABX_cars_sold_2033E</t>
  </si>
  <si>
    <t xml:space="preserve">GABX_cars_sold_2034E</t>
  </si>
  <si>
    <t xml:space="preserve">GABX_cars_sold_2035E</t>
  </si>
  <si>
    <t xml:space="preserve">GABX_dispositions_2031E</t>
  </si>
  <si>
    <t xml:space="preserve">DERIVED: GABX cars sold × gain per car / 1e6.</t>
  </si>
  <si>
    <t xml:space="preserve">GABX_dispositions_2032E</t>
  </si>
  <si>
    <t xml:space="preserve">GABX_dispositions_2033E</t>
  </si>
  <si>
    <t xml:space="preserve">GABX_dispositions_2034E</t>
  </si>
  <si>
    <t xml:space="preserve">GABX_dispositions_2035E</t>
  </si>
  <si>
    <t xml:space="preserve">GATX_ownership_pct_2031E</t>
  </si>
  <si>
    <t xml:space="preserve">DERIVED: prior year ownership + 7% annual step, capped at 100%.</t>
  </si>
  <si>
    <t xml:space="preserve">GATX_ownership_pct_2032E</t>
  </si>
  <si>
    <t xml:space="preserve">GATX_ownership_pct_2033E</t>
  </si>
  <si>
    <t xml:space="preserve">GATX_ownership_pct_2034E</t>
  </si>
  <si>
    <t xml:space="preserve">GATX_ownership_pct_2035E</t>
  </si>
  <si>
    <t xml:space="preserve">Tranche_cash_2031</t>
  </si>
  <si>
    <t xml:space="preserve">Assumption: Brookfield tranche cash step continues at $132.4M/yr through 2032, then $0 once ownership reaches 100%.</t>
  </si>
  <si>
    <t xml:space="preserve">Tranche_cash_2032</t>
  </si>
  <si>
    <t xml:space="preserve">Tranche_cash_2033</t>
  </si>
  <si>
    <t xml:space="preserve">Tranche_cash_2034</t>
  </si>
  <si>
    <t xml:space="preserve">Tranche_cash_2035</t>
  </si>
  <si>
    <t xml:space="preserve">Effective_tax_rate_2031</t>
  </si>
  <si>
    <t xml:space="preserve">Assumption: effective tax rate held flat at 2030 (=2027 base).</t>
  </si>
  <si>
    <t xml:space="preserve">Effective_tax_rate_2032</t>
  </si>
  <si>
    <t xml:space="preserve">Effective_tax_rate_2033</t>
  </si>
  <si>
    <t xml:space="preserve">Effective_tax_rate_2034</t>
  </si>
  <si>
    <t xml:space="preserve">Effective_tax_rate_2035</t>
  </si>
  <si>
    <t xml:space="preserve">Diluted_shares_2031</t>
  </si>
  <si>
    <t xml:space="preserve">v24: 2031E shares = 2030E - shares_repurchased_2031 (Item 3).</t>
  </si>
  <si>
    <t xml:space="preserve">Diluted_shares_2032</t>
  </si>
  <si>
    <t xml:space="preserve">v24: 2032E shares = 2031E - shares_repurchased_2032 (Item 3).</t>
  </si>
  <si>
    <t xml:space="preserve">Diluted_shares_2033</t>
  </si>
  <si>
    <t xml:space="preserve">v24: 2033E shares = 2032E - shares_repurchased_2033 (Item 3).</t>
  </si>
  <si>
    <t xml:space="preserve">Diluted_shares_2034</t>
  </si>
  <si>
    <t xml:space="preserve">v24: 2034E shares = 2033E - shares_repurchased_2034 (Item 3).</t>
  </si>
  <si>
    <t xml:space="preserve">Diluted_shares_2035</t>
  </si>
  <si>
    <t xml:space="preserve">v24: 2035E shares = 2034E - shares_repurchased_2035 (Item 3).</t>
  </si>
  <si>
    <t xml:space="preserve">Dividend_per_share_2031</t>
  </si>
  <si>
    <t xml:space="preserve">Assumption: dividend per share held flat at 2030 level.</t>
  </si>
  <si>
    <t xml:space="preserve">Dividend_per_share_2032</t>
  </si>
  <si>
    <t xml:space="preserve">Dividend_per_share_2033</t>
  </si>
  <si>
    <t xml:space="preserve">Dividend_per_share_2034</t>
  </si>
  <si>
    <t xml:space="preserve">Dividend_per_share_2035</t>
  </si>
  <si>
    <t xml:space="preserve">Buyback_2031</t>
  </si>
  <si>
    <t xml:space="preserve">Assumption: buyback held flat at 2030 pace ($100M/yr).</t>
  </si>
  <si>
    <t xml:space="preserve">Buyback_2032</t>
  </si>
  <si>
    <t xml:space="preserve">Buyback_2033</t>
  </si>
  <si>
    <t xml:space="preserve">Buyback_2034</t>
  </si>
  <si>
    <t xml:space="preserve">Buyback_2035</t>
  </si>
  <si>
    <t xml:space="preserve">NCI_distributions_2031</t>
  </si>
  <si>
    <t xml:space="preserve">Assumption: NCI distributions held flat at 2030 level.</t>
  </si>
  <si>
    <t xml:space="preserve">NCI_distributions_2032</t>
  </si>
  <si>
    <t xml:space="preserve">NCI_distributions_2033</t>
  </si>
  <si>
    <t xml:space="preserve">NCI_distributions_2034</t>
  </si>
  <si>
    <t xml:space="preserve">NCI_distributions_2035</t>
  </si>
  <si>
    <t xml:space="preserve">Non_GABX_debt_growth_2031</t>
  </si>
  <si>
    <t xml:space="preserve">Assumption: Non-GABX debt growth held flat at 2030 pace.</t>
  </si>
  <si>
    <t xml:space="preserve">Non_GABX_debt_growth_2032</t>
  </si>
  <si>
    <t xml:space="preserve">Non_GABX_debt_growth_2033</t>
  </si>
  <si>
    <t xml:space="preserve">Non_GABX_debt_growth_2034</t>
  </si>
  <si>
    <t xml:space="preserve">Non_GABX_debt_growth_2035</t>
  </si>
  <si>
    <t xml:space="preserve">RRPF_earnings_FY2031</t>
  </si>
  <si>
    <t xml:space="preserve">Assumption: RRPF equity-method earnings held flat at 2030 level.</t>
  </si>
  <si>
    <t xml:space="preserve">RRPF_earnings_FY2032</t>
  </si>
  <si>
    <t xml:space="preserve">RRPF_earnings_FY2033</t>
  </si>
  <si>
    <t xml:space="preserve">RRPF_earnings_FY2034</t>
  </si>
  <si>
    <t xml:space="preserve">RRPF_earnings_FY2035</t>
  </si>
  <si>
    <t xml:space="preserve">RRPF_dividend_FY2031</t>
  </si>
  <si>
    <t xml:space="preserve">Assumption: RRPF dividends received held flat at 2030 level.</t>
  </si>
  <si>
    <t xml:space="preserve">RRPF_dividend_FY2032</t>
  </si>
  <si>
    <t xml:space="preserve">RRPF_dividend_FY2033</t>
  </si>
  <si>
    <t xml:space="preserve">RRPF_dividend_FY2034</t>
  </si>
  <si>
    <t xml:space="preserve">RRPF_dividend_FY2035</t>
  </si>
  <si>
    <t xml:space="preserve">RailIntl_growth_2031</t>
  </si>
  <si>
    <t xml:space="preserve">v17 Item 2: Terminal steady state — Rail Intl grows at Terminal_g.</t>
  </si>
  <si>
    <t xml:space="preserve">RailIntl_growth_2032</t>
  </si>
  <si>
    <t xml:space="preserve">RailIntl_growth_2033</t>
  </si>
  <si>
    <t xml:space="preserve">RailIntl_growth_2034</t>
  </si>
  <si>
    <t xml:space="preserve">RailIntl_growth_2035</t>
  </si>
  <si>
    <t xml:space="preserve">EngineL_growth_2031</t>
  </si>
  <si>
    <t xml:space="preserve">v17 Item 2: Terminal steady state — Engine Leasing grows at Terminal_g.</t>
  </si>
  <si>
    <t xml:space="preserve">EngineL_growth_2032</t>
  </si>
  <si>
    <t xml:space="preserve">EngineL_growth_2033</t>
  </si>
  <si>
    <t xml:space="preserve">EngineL_growth_2034</t>
  </si>
  <si>
    <t xml:space="preserve">EngineL_growth_2035</t>
  </si>
  <si>
    <t xml:space="preserve">OtherIncome_2031</t>
  </si>
  <si>
    <t xml:space="preserve">Assumption: Other income held flat at 2030 run rate.</t>
  </si>
  <si>
    <t xml:space="preserve">OtherIncome_2032</t>
  </si>
  <si>
    <t xml:space="preserve">OtherIncome_2033</t>
  </si>
  <si>
    <t xml:space="preserve">OtherIncome_2034</t>
  </si>
  <si>
    <t xml:space="preserve">OtherIncome_2035</t>
  </si>
  <si>
    <t xml:space="preserve">Dispo_book_2031</t>
  </si>
  <si>
    <t xml:space="preserve">Assumption: disposition book-value flow held flat at 2030 level.</t>
  </si>
  <si>
    <t xml:space="preserve">Dispo_book_2032</t>
  </si>
  <si>
    <t xml:space="preserve">Dispo_book_2033</t>
  </si>
  <si>
    <t xml:space="preserve">Dispo_book_2034</t>
  </si>
  <si>
    <t xml:space="preserve">Dispo_book_2035</t>
  </si>
  <si>
    <t xml:space="preserve">Depreciation_FY2031</t>
  </si>
  <si>
    <t xml:space="preserve">Derived (v23): opening 2030E PP&amp;E net / Terminal_avg_remaining_life. Replaces prior formula (=C305*(1+C397)) which grew D&amp;A at Terminal_g rather than tying to PP&amp;E.</t>
  </si>
  <si>
    <t xml:space="preserve">Depreciation_FY2032</t>
  </si>
  <si>
    <t xml:space="preserve">Derived (v23): opening 2031E PP&amp;E net / Terminal_avg_remaining_life.</t>
  </si>
  <si>
    <t xml:space="preserve">Depreciation_FY2033</t>
  </si>
  <si>
    <t xml:space="preserve">Derived (v23): opening 2032E PP&amp;E net / Terminal_avg_remaining_life.</t>
  </si>
  <si>
    <t xml:space="preserve">Depreciation_FY2034</t>
  </si>
  <si>
    <t xml:space="preserve">Derived (v23): opening 2033E PP&amp;E net / Terminal_avg_remaining_life.</t>
  </si>
  <si>
    <t xml:space="preserve">Depreciation_FY2035</t>
  </si>
  <si>
    <t xml:space="preserve">Derived (v23): opening 2034E PP&amp;E net / Terminal_avg_remaining_life.</t>
  </si>
  <si>
    <t xml:space="preserve">Capex_organic_2031</t>
  </si>
  <si>
    <t xml:space="preserve">Derived (v23) per WO: organic capex = D&amp;A + Terminal_fleet_growth × opening PP&amp;E net + (cars sold + cars scrapped) × Terminal_new_car_cost. Taper from 2030E $1,400M via MAX(MIN(raw, prior*1.15), prior*0.85) so no YoY change exceeds 15%.</t>
  </si>
  <si>
    <t xml:space="preserve">Capex_organic_2032</t>
  </si>
  <si>
    <t xml:space="preserve">Derived (v23): 2032E capex, tapered.</t>
  </si>
  <si>
    <t xml:space="preserve">Capex_organic_2033</t>
  </si>
  <si>
    <t xml:space="preserve">Derived (v23): 2033E capex, tapered.</t>
  </si>
  <si>
    <t xml:space="preserve">Capex_organic_2034</t>
  </si>
  <si>
    <t xml:space="preserve">Derived (v23): 2034E capex, tapered.</t>
  </si>
  <si>
    <t xml:space="preserve">Capex_organic_2035</t>
  </si>
  <si>
    <t xml:space="preserve">Derived (v23): 2035E capex, tapered.</t>
  </si>
  <si>
    <t xml:space="preserve">Capex_taper_step_annual (memo)</t>
  </si>
  <si>
    <t xml:space="preserve">DERIVED: annual capex-taper step. (D&amp;A_2035 * (1+g) - Capex_2030) / 5. See extend_fsm_v14_item2.py.</t>
  </si>
  <si>
    <t xml:space="preserve">--- v14 ITEM 4: RRPF AT VALUE (2026-09-24) ---</t>
  </si>
  <si>
    <t xml:space="preserve">RRPF_dividend_growth_terminal</t>
  </si>
  <si>
    <t xml:space="preserve">Assumption, capped at 2% per DCF-methodology conservative terminal for mature affiliate. (Method a is Gordon-style dividend capitalization: g must be &lt; Ke = 9.02%. 2% is a defensible cap for a mature 50/50 rail-affiliate whose growth is bounded by fleet-replacement CAPEX and long-lease escalators.) See dcf-methodology.md; reference/method/M##.md item on Gordon-cap.</t>
  </si>
  <si>
    <t xml:space="preserve">RRPF_valuation_method_selector</t>
  </si>
  <si>
    <t xml:space="preserve">A</t>
  </si>
  <si>
    <t xml:space="preserve">v17 Item 3 (2026-09-26): COMMITTED to Method A (Gordon dividend capitalization). Rationale: (1) RRPF dividend restart is confirmed in the Q2 2026 10-Q (GATX 10-Q Q2 2026, Note 7 'Investments in Affiliated Companies', p. 11): 'Cash dividends received from affiliates during the six months ended June 30, 2026 were $140.0 million' vs zero in prior-year periods. (2) Q2 2026 earnings release 2026-07-30 (research/coverage/rail/gatx-filings/GATX-Q2-2026-earnings-release-2026-07-30.md, line 296): 'RRPF affiliates paid $70.0M dividends in each of Q2 and H1 2026 vs. zero in prior-year periods'. Confirms $280M annualized run-rate; Drivers!B115 conservatively holds FY2026 at $140M actual (H1) rather than annualized. (3) Method A is preferred over Method B because Method A prices RRPF against its own dividend stream (independent input), while Method B applies GATX's own 10y NTM P/E median (16.34x) to RRPF earnings, which compounds two assumptions and treats a mature 50/50 rail-affiliate as if it deserved GATX's full growth multiple. (4) Book value $732.3M (B404) is the floor; both methods produce values above book (A: $1,994M / 2.72x book; B: $2,451M / 3.35x book), so the choice matters for the ~$35/sh uplift above book.</t>
  </si>
  <si>
    <t xml:space="preserve">RRPF_dividend_Q2_2026_qtr</t>
  </si>
  <si>
    <t xml:space="preserve">Q2 2026 earnings release 2026-07-30 (research/coverage/rail/gatx-filings/GATX-Q2-2026-earnings-release-2026-07-30.md), line 296: 'RRPF affiliates paid $70.0M dividends in each of Q2 and H1 2026 vs. zero in prior-year periods.' Confirms dividend restart from zero-flow prior periods.</t>
  </si>
  <si>
    <t xml:space="preserve">RRPF_investment_Q2_2026</t>
  </si>
  <si>
    <t xml:space="preserve">Q2 2026 10-Q Investments in Affiliated Companies (Note 6 or 7). Book value at 6/30/2026 = $721.9M vs FY2025 $732.3M (Drivers!B112). Small decline from dividend distributions net of retained earnings.</t>
  </si>
  <si>
    <t xml:space="preserve">RRPF_valuation_method_A_value_M</t>
  </si>
  <si>
    <t xml:space="preserve">DERIVED Method (a) Dividend capitalization: Div_2026 ($140M, Drivers!B115) / (Ke_DCF 9.02% - terminal g 2%). Gordon-style. Growth rate capped per Drivers!B571.</t>
  </si>
  <si>
    <t xml:space="preserve">RRPF_valuation_method_B_value_M</t>
  </si>
  <si>
    <t xml:space="preserve">DERIVED Method (b) Earnings multiple: RRPF earnings 2027E ($150M after-tax basis per model State C settlement, Drivers!B114) x GATX 10y median NTM P/E (Valuation!B8). RRPF earnings basis: after-tax (net income), per historical convention.</t>
  </si>
  <si>
    <t xml:space="preserve">RRPF_valuation_selected_value_M</t>
  </si>
  <si>
    <t xml:space="preserve">SELECTOR-DRIVEN: returns Method (a) value if Drivers!B572='A', else Method (b) value. This is the value that feeds the primary DCF bridge RRPF line.</t>
  </si>
  <si>
    <t xml:space="preserve">--- v17 ITEM 2: TERMINAL STATE PAYOUT DRIVERS (2026-09-26) ---</t>
  </si>
  <si>
    <t xml:space="preserve">Payout_ratio_dividend_2030</t>
  </si>
  <si>
    <t xml:space="preserve">v17 Item 2: 2030E dividend payout ratio held constant in terminal state (2031-2035). Formula: Div_2030 / NI_attrib_2030.</t>
  </si>
  <si>
    <t xml:space="preserve">Payout_ratio_buyback_2030</t>
  </si>
  <si>
    <t xml:space="preserve">v17 Item 2: 2030E buyback ratio held constant in terminal state (2031-2035). Formula: Buyback_2030 / NI_attrib_2030.</t>
  </si>
  <si>
    <t xml:space="preserve">Debt_to_capital_ratio_2030_target</t>
  </si>
  <si>
    <t xml:space="preserve">v17 Item 2: 2030E debt-to-capital ratio; used as an OUTPUT CHECK to verify terminal state maintains it approximately. Formula: Debt_EOP_2030 / (Debt_EOP_2030 + GATX_Equity_EOP_2030).</t>
  </si>
  <si>
    <t xml:space="preserve">Terminal_state_years_2031_to_2035</t>
  </si>
  <si>
    <t xml:space="preserve">v17 Item 2: number of years in terminal steady-state block (2031-2035 = 5 years). Used as exponent denominator in EPS CAGR calc on 3SF!B85.</t>
  </si>
  <si>
    <t xml:space="preserve">--- v20 LESSOR VALUATION (2026-09-27) ---</t>
  </si>
  <si>
    <t xml:space="preserve">RailIntl_share_of_PPE_book_pct</t>
  </si>
  <si>
    <t xml:space="preserve">Assumption: Rail International ~15% of consolidated Operating Assets net. Cross-check: RailIntl lease rev $366.1M vs total lease $1,486.2M (Historicals!C16, I16 = 24.6%); RailIntl operates ~30K cars vs consolidated ~200K (18%). Lower share reflects older Intl fleet with more depreciation. 10-K p.60 segment note (not explicitly disclosed by segment; approximated).</t>
  </si>
  <si>
    <t xml:space="preserve">NAV_haircut_legacy_pct</t>
  </si>
  <si>
    <t xml:space="preserve">Assumption: 25% haircut on legacy pool mark. Rationale: cars GATX chooses to sell are not a random sample — sold cars are selected, so remarketing M/B is biased upward. 25% haircut per dcf-judgment-calls.md §7 (fleet mark cross-check).</t>
  </si>
  <si>
    <t xml:space="preserve">NAV_haircut_intl_pct</t>
  </si>
  <si>
    <t xml:space="preserve">Assumption: 0% haircut on Rail International — smaller pool, no separate remarketing data disclosed; hold at book absent evidence. Sensitivity in Section F.</t>
  </si>
  <si>
    <t xml:space="preserve">--- NAV: PORTFOLIO PROCEEDS (10-K CFS Portfolio proceeds row) ---</t>
  </si>
  <si>
    <t xml:space="preserve">Portfolio_proceeds_2023</t>
  </si>
  <si>
    <t xml:space="preserve">FY2025 10-K p.60 CFS Portfolio proceeds 2023 (Historicals!G80).</t>
  </si>
  <si>
    <t xml:space="preserve">Portfolio_proceeds_2024</t>
  </si>
  <si>
    <t xml:space="preserve">FY2025 10-K p.60 CFS Portfolio proceeds 2024 (Historicals!H80).</t>
  </si>
  <si>
    <t xml:space="preserve">Portfolio_proceeds_2025</t>
  </si>
  <si>
    <t xml:space="preserve">FY2025 10-K p.60 CFS Portfolio proceeds 2025 (Historicals!I80).</t>
  </si>
  <si>
    <t xml:space="preserve">Portfolio_proceeds_H1_2026</t>
  </si>
  <si>
    <t xml:space="preserve">Q2 2026 10-Q p.5 CFS Portfolio proceeds H1 2026. Derived cross-check: H1 dispositions_gain $120.7M (Drivers!C339) + H1 book value cars sold ~$75M (Dispo_book_2026 $150M annualized / 2) = ~$195.7M. Provenance: 10-Q p.5 direct; approximation flagged in v20-report.md.</t>
  </si>
  <si>
    <t xml:space="preserve">Portfolio_gain_H1_2026</t>
  </si>
  <si>
    <t xml:space="preserve">Q2 2026 earnings release 2026-07-30 Dispositions_H1 (mirrors Drivers!C339).</t>
  </si>
  <si>
    <t xml:space="preserve">RI_fade_years</t>
  </si>
  <si>
    <t xml:space="preserve">Assumption: residual income fades to zero linearly over 10 years after 2035E. Rationale: competitive advantage erodes; not a perpetuity. Sensitivity in Residual Income sheet.</t>
  </si>
  <si>
    <t xml:space="preserve">RI_terminal_g</t>
  </si>
  <si>
    <t xml:space="preserve">LINK: uses DCF terminal growth rate (Drivers!C397 = 3.5%) for consistency with DCF.</t>
  </si>
  <si>
    <t xml:space="preserve">NAV_MB_sensitivity_low_mult</t>
  </si>
  <si>
    <t xml:space="preserve">Sensitivity grid: M/B low = base × 0.80 (−20%). NAV Section F.</t>
  </si>
  <si>
    <t xml:space="preserve">NAV_MB_sensitivity_midlow_mult</t>
  </si>
  <si>
    <t xml:space="preserve">Sensitivity grid: M/B mid-low = base × 0.90 (−10%). NAV Section F.</t>
  </si>
  <si>
    <t xml:space="preserve">NAV_MB_sensitivity_midhigh_mult</t>
  </si>
  <si>
    <t xml:space="preserve">Sensitivity grid: M/B mid-high = base × 1.10 (+10%). NAV Section F.</t>
  </si>
  <si>
    <t xml:space="preserve">NAV_MB_sensitivity_high_mult</t>
  </si>
  <si>
    <t xml:space="preserve">Sensitivity grid: M/B high = base × 1.20 (+20%). NAV Section F.</t>
  </si>
  <si>
    <t xml:space="preserve">GATX_SE_YE2024_M</t>
  </si>
  <si>
    <t xml:space="preserve">FY2024 10-K p.58: Total GATX Shareholders Equity YE2024 (Historicals!H67).</t>
  </si>
  <si>
    <t xml:space="preserve">RI_Ke_sens_100bps</t>
  </si>
  <si>
    <t xml:space="preserve">RI sensitivity: ±100 basis points on Ke. RI Section E.</t>
  </si>
  <si>
    <t xml:space="preserve">RI_Ke_sens_50bps</t>
  </si>
  <si>
    <t xml:space="preserve">RI sensitivity: ±50 basis points on Ke. RI Section E.</t>
  </si>
  <si>
    <t xml:space="preserve">--- v20 PEER P/B vs ROE (2026-09-21) ---</t>
  </si>
  <si>
    <t xml:space="preserve">PEER_GATX_price</t>
  </si>
  <si>
    <t xml:space="preserve">FactSet lessor-rail-comps-2026-09-21.xlsx!GATX-US!C42.</t>
  </si>
  <si>
    <t xml:space="preserve">PEER_GATX_PB_actual</t>
  </si>
  <si>
    <t xml:space="preserve">FactSet lessor-rail-comps-2026-09-21.xlsx!GATX-US!H26 (P/BV Actual).</t>
  </si>
  <si>
    <t xml:space="preserve">PEER_GATX_ROE_trailing</t>
  </si>
  <si>
    <t xml:space="preserve">FactSet lessor-rail-comps-2026-09-21.xlsx!GATX-US!K10 (ROE 13.27%).</t>
  </si>
  <si>
    <t xml:space="preserve">PEER_GATX_DivYield</t>
  </si>
  <si>
    <t xml:space="preserve">FactSet lessor-rail-comps-2026-09-21.xlsx!GATX-US!D26 (Div Yield 1.48%).</t>
  </si>
  <si>
    <t xml:space="preserve">PEER_GATX_DE</t>
  </si>
  <si>
    <t xml:space="preserve">Derived: FactSet Total Debt $12,477.1M / GATX SE 2025A $2,750.5M = 4.54x. Cross-checked to 10-K.</t>
  </si>
  <si>
    <t xml:space="preserve">PEER_AER_price</t>
  </si>
  <si>
    <t xml:space="preserve">FactSet lessor-rail-comps-2026-09-21.xlsx!GATX-US!C43.</t>
  </si>
  <si>
    <t xml:space="preserve">PEER_AER_PB_actual</t>
  </si>
  <si>
    <t xml:space="preserve">FactSet lessor-rail-comps-2026-09-21.xlsx!GATX-US!H27.</t>
  </si>
  <si>
    <t xml:space="preserve">PEER_AER_ROE_trailing</t>
  </si>
  <si>
    <t xml:space="preserve">FactSet lessor-rail-comps-2026-09-21.xlsx!GATX-US!K11.</t>
  </si>
  <si>
    <t xml:space="preserve">PEER_AER_DivYield</t>
  </si>
  <si>
    <t xml:space="preserve">FactSet lessor-rail-comps-2026-09-21.xlsx!GATX-US!D27.</t>
  </si>
  <si>
    <t xml:space="preserve">PEER_AER_DE</t>
  </si>
  <si>
    <t xml:space="preserve">Derived: FactSet Total Debt $42,818.6M / est book equity ($22.7B mkt cap / 1.21 P/B ≈ $18.7B). D/E ≈ 2.29x.</t>
  </si>
  <si>
    <t xml:space="preserve">PEER_TRN_price</t>
  </si>
  <si>
    <t xml:space="preserve">FactSet lessor-rail-comps-2026-09-21.xlsx!GATX-US!D13.</t>
  </si>
  <si>
    <t xml:space="preserve">PEER_TRN_PB_actual</t>
  </si>
  <si>
    <t xml:space="preserve">FactSet lessor-rail-comps-2026-09-21.xlsx!GATX-US!H29.</t>
  </si>
  <si>
    <t xml:space="preserve">PEER_TRN_ROE_trailing</t>
  </si>
  <si>
    <t xml:space="preserve">FactSet ROE cell K13 shows 32.39% (spike) — using normalized 10% (3yr avg per Trinity 10-K, own disclosure). Verification pending; TRN report needed.</t>
  </si>
  <si>
    <t xml:space="preserve">PEER_TRN_DivYield</t>
  </si>
  <si>
    <t xml:space="preserve">FactSet lessor-rail-comps-2026-09-21.xlsx!GATX-US!D29.</t>
  </si>
  <si>
    <t xml:space="preserve">PEER_TRN_DE</t>
  </si>
  <si>
    <t xml:space="preserve">Approx from Trinity 10-K: Total debt ~$5.5B / SE ~$1.2B ≈ 4.6x. Verification pending.</t>
  </si>
  <si>
    <t xml:space="preserve">PEER_GBX_price</t>
  </si>
  <si>
    <t xml:space="preserve">FactSet lessor-rail-comps-2026-09-21.xlsx!GATX-US!D14.</t>
  </si>
  <si>
    <t xml:space="preserve">PEER_GBX_PB_actual</t>
  </si>
  <si>
    <t xml:space="preserve">FactSet lessor-rail-comps-2026-09-21.xlsx!GATX-US!H30.</t>
  </si>
  <si>
    <t xml:space="preserve">PEER_GBX_ROE_trailing</t>
  </si>
  <si>
    <t xml:space="preserve">FactSet lessor-rail-comps-2026-09-21.xlsx!GATX-US!K14.</t>
  </si>
  <si>
    <t xml:space="preserve">PEER_GBX_DivYield</t>
  </si>
  <si>
    <t xml:space="preserve">FactSet lessor-rail-comps-2026-09-21.xlsx!GATX-US!D30.</t>
  </si>
  <si>
    <t xml:space="preserve">PEER_GBX_DE</t>
  </si>
  <si>
    <t xml:space="preserve">Approx from GBX 10-K: Total debt / SE ~1.2x. Verification pending.</t>
  </si>
  <si>
    <t xml:space="preserve">PEER_WLFC_price</t>
  </si>
  <si>
    <t xml:space="preserve">FactSet lessor-rail-comps-2026-09-21.xlsx!GATX-US!D19.</t>
  </si>
  <si>
    <t xml:space="preserve">PEER_WLFC_PB_actual</t>
  </si>
  <si>
    <t xml:space="preserve">FactSet lessor-rail-comps-2026-09-21.xlsx!GATX-US!H35.</t>
  </si>
  <si>
    <t xml:space="preserve">PEER_WLFC_ROE_trailing</t>
  </si>
  <si>
    <t xml:space="preserve">FactSet lessor-rail-comps-2026-09-21.xlsx!GATX-US!K19.</t>
  </si>
  <si>
    <t xml:space="preserve">PEER_WLFC_DivYield</t>
  </si>
  <si>
    <t xml:space="preserve">FactSet lessor-rail-comps-2026-09-21.xlsx!GATX-US!D35.</t>
  </si>
  <si>
    <t xml:space="preserve">PEER_WLFC_DE</t>
  </si>
  <si>
    <t xml:space="preserve">WLFC 10-K: engine finance highly leveraged; approx 6.0x. Verification pending.</t>
  </si>
  <si>
    <t xml:space="preserve">PEER_AL_price</t>
  </si>
  <si>
    <t xml:space="preserve">ESTIMATE 2026-09-21 (StockAnalysis.com; NOT primary). VERIFICATION PENDING — Air Lease AL-US common stock.</t>
  </si>
  <si>
    <t xml:space="preserve">PEER_AL_PB_actual</t>
  </si>
  <si>
    <t xml:space="preserve">ESTIMATE 2026-09-21 (StockAnalysis.com; NOT primary). VERIFICATION PENDING.</t>
  </si>
  <si>
    <t xml:space="preserve">PEER_AL_ROE_trailing</t>
  </si>
  <si>
    <t xml:space="preserve">PEER_AL_DivYield</t>
  </si>
  <si>
    <t xml:space="preserve">PEER_AL_DE</t>
  </si>
  <si>
    <t xml:space="preserve">ESTIMATE 2026-09-21. VERIFICATION PENDING.</t>
  </si>
  <si>
    <t xml:space="preserve">PEER_FTAI_price</t>
  </si>
  <si>
    <t xml:space="preserve">ESTIMATE 2026-09-21 (StockAnalysis.com; NOT primary). VERIFICATION PENDING — FTAI Aviation.</t>
  </si>
  <si>
    <t xml:space="preserve">PEER_FTAI_PB_actual</t>
  </si>
  <si>
    <t xml:space="preserve">ESTIMATE 2026-09-21 — FTAI carries high P/B on aerospace aftermarket. VERIFICATION PENDING.</t>
  </si>
  <si>
    <t xml:space="preserve">PEER_FTAI_ROE_trailing</t>
  </si>
  <si>
    <t xml:space="preserve">PEER_FTAI_DivYield</t>
  </si>
  <si>
    <t xml:space="preserve">PEER_FTAI_DE</t>
  </si>
  <si>
    <t xml:space="preserve">PEER_ATSG_price</t>
  </si>
  <si>
    <t xml:space="preserve">ESTIMATE 2026-09-21 (StockAnalysis.com; NOT primary). VERIFICATION PENDING — ATSG.</t>
  </si>
  <si>
    <t xml:space="preserve">PEER_ATSG_PB_actual</t>
  </si>
  <si>
    <t xml:space="preserve">PEER_ATSG_ROE_trailing</t>
  </si>
  <si>
    <t xml:space="preserve">PEER_ATSG_DivYield</t>
  </si>
  <si>
    <t xml:space="preserve">ESTIMATE 2026-09-21. ATSG does not pay a dividend. VERIFICATION PENDING.</t>
  </si>
  <si>
    <t xml:space="preserve">PEER_ATSG_DE</t>
  </si>
  <si>
    <t xml:space="preserve">PEER_GATX_ROE_forward</t>
  </si>
  <si>
    <t xml:space="preserve">LINK: GATX 2027E ROE from Residual Income sheet F24.</t>
  </si>
  <si>
    <t xml:space="preserve">PEER_prob_weight_NAV</t>
  </si>
  <si>
    <t xml:space="preserve">v20: probability weight on NAV method in Valuation Section C target. Starts 0 to preserve v19 target of $170.25.</t>
  </si>
  <si>
    <t xml:space="preserve">PEER_prob_weight_RI</t>
  </si>
  <si>
    <t xml:space="preserve">v20: probability weight on Residual Income method. Starts 0 to preserve v19 target.</t>
  </si>
  <si>
    <t xml:space="preserve">PEER_prob_weight_PeerPB</t>
  </si>
  <si>
    <t xml:space="preserve">v20: probability weight on Peer P/B fitted method. Starts 0 to preserve v19 target.</t>
  </si>
  <si>
    <t xml:space="preserve">--- v21 NAV VINTAGE + REVERSE NAV + PEER + EARNINGS (2026-09-27) ---</t>
  </si>
  <si>
    <t xml:space="preserve">v21 block. Auditor review of v20 called for vintage NAV, reverse NAV, filings-sourced peers, normalized-gains earnings quality.</t>
  </si>
  <si>
    <t xml:space="preserve">NAV_vintage_age_2021</t>
  </si>
  <si>
    <t xml:space="preserve">Assumption: cars leased in 2021 cohort avg ~5y age (secondary-market or newbuild); 10-K FY2025 p.31 avg age approximately 17 years across whole legacy fleet. Vintage-age spread is a modelling scheme — no per-cohort age disclosure.</t>
  </si>
  <si>
    <t xml:space="preserve">NAV_vintage_age_2022</t>
  </si>
  <si>
    <t xml:space="preserve">Assumption: 2022 lease vintage avg car age ~8y (spread around 17y fleet avg).</t>
  </si>
  <si>
    <t xml:space="preserve">NAV_vintage_age_2023</t>
  </si>
  <si>
    <t xml:space="preserve">Assumption: 2023 lease vintage avg car age ~11y (spread around 17y fleet avg).</t>
  </si>
  <si>
    <t xml:space="preserve">NAV_vintage_age_2024</t>
  </si>
  <si>
    <t xml:space="preserve">Assumption: 2024 lease vintage avg car age ~14y (spread around 17y fleet avg).</t>
  </si>
  <si>
    <t xml:space="preserve">NAV_vintage_age_2025</t>
  </si>
  <si>
    <t xml:space="preserve">Assumption: 2025 lease vintage avg car age ~17y (= fleet avg). Recent adds from secondary market and newbuilds; assumed at fleet avg.</t>
  </si>
  <si>
    <t xml:space="preserve">NAV_vintage_age_base</t>
  </si>
  <si>
    <t xml:space="preserve">Assumption: legacy base fleet (residual 2,493 cars) is oldest cohort at ~25y avg. Weighted-avg with 5 recent cohorts must equal fleet avg 17y from 10-K.</t>
  </si>
  <si>
    <t xml:space="preserve">NAV_vintage_age_intl</t>
  </si>
  <si>
    <t xml:space="preserve">Assumption: Rail International (GRE 36,484 railcars) avg age approximately 17 years per FY2025 10-K p.32.</t>
  </si>
  <si>
    <t xml:space="preserve">NAV_useful_life_yrs</t>
  </si>
  <si>
    <t xml:space="preserve">Assumption: economic useful life midpoint = 36 years (27-45y range per FY2025 10-K p.31 Rail North America railcars).</t>
  </si>
  <si>
    <t xml:space="preserve">NAV_new_cost_per_car_USD</t>
  </si>
  <si>
    <t xml:space="preserve">Anchor: $4,200M WF acquired pool / 98,535 cars ≈ $42,625/car new-cost (Q2 2026 8-K Wells Fargo transaction terms; Drivers!C123).</t>
  </si>
  <si>
    <t xml:space="preserve">NAV_scrap_value_per_car_USD</t>
  </si>
  <si>
    <t xml:space="preserve">Assumption: residual scrap value per car $5,000 (steel scrap value net of teardown). 10-K discloses residual value used in depreciation but does not disclose $/car.</t>
  </si>
  <si>
    <t xml:space="preserve">--- REVERSE NAV: what fleet mark the current price implies ---</t>
  </si>
  <si>
    <t xml:space="preserve">Reverse NAV cross-check per v20 auditor review. Formula: (mktcap+debt+OL+NCI−RRPF−other)/fleet book; 10-K p.32 shows Rail NA fleet on ~5% market-to-book at current price.</t>
  </si>
  <si>
    <t xml:space="preserve">--- RI CHECK-2: NCI tranche premium term ---</t>
  </si>
  <si>
    <t xml:space="preserve">v20 auditor review: GABX tranche premium = 131.09 × (1 − 1/1.547) = 46.35, an ASC 810 equity transaction that IS in the 3SF equity roll but was missing from the RI Check-2 formula. Fixed in v21.</t>
  </si>
  <si>
    <t xml:space="preserve">--- EARNINGS QUALITY: normalized-gains base ---</t>
  </si>
  <si>
    <t xml:space="preserve">v20 auditor review: core EPS ex-gains is a floor (assumes remarketing stops); "EPS at normalized gains" uses 5-year avg from Historicals row 28. Recurring line: 2023A gains $130.3M, 2024A $138.3M, 2025A $136.9M per Historicals!G28:I28.</t>
  </si>
  <si>
    <t xml:space="preserve">Normalized_gains_5yr_avg_2021_2025</t>
  </si>
  <si>
    <t xml:space="preserve">Historicals!D28:I28 = 2020A/2021A/2022A/2023A/2024A/2025A net gain on asset dispositions (10-K FY2020-FY2025). AVG of 5-year window ending 2025A = 2021-2025; use 6-year window (2020-2025 = 6 years).</t>
  </si>
  <si>
    <t xml:space="preserve">--- v21 PEER P/B vs ROE — replacements for FTAI/ATSG (2026-09-27) ---</t>
  </si>
  <si>
    <t xml:space="preserve">v20 auditor review: FTAI is aerospace aftermarket not a lessor, single-point drove slope 29.9 &amp; R² 0.60; without it slope 1.96 R² 0.03 fitted P/B 1.53 implied $133. ATSG delisted (taken private by Stonepeak 2025). Replaced per WO with Ryder (R), McGrath (MGRC), and Global Ship Lease (GSL) — long-lived transport lessors, moderate profile.</t>
  </si>
  <si>
    <t xml:space="preserve">PEER_R_price</t>
  </si>
  <si>
    <t xml:space="preserve">FMP profile-symbol 2026-09-27: Ryder System (R) price. TIER3-aggregator; not TIER1 filing verification.</t>
  </si>
  <si>
    <t xml:space="preserve">PEER_R_PB_actual</t>
  </si>
  <si>
    <t xml:space="preserve">stockanalysis.com/stocks/r/financials/ratios/ 2026-09-27: TTM P/B. TIER3-aggregator.</t>
  </si>
  <si>
    <t xml:space="preserve">PEER_R_ROE_trailing</t>
  </si>
  <si>
    <t xml:space="preserve">stockanalysis.com 2026-09-27: TTM ROE 16.70%. TIER3-aggregator.</t>
  </si>
  <si>
    <t xml:space="preserve">PEER_R_DivYield</t>
  </si>
  <si>
    <t xml:space="preserve">stockanalysis.com 2026-09-27: TTM dividend yield 1.72%. TIER3-aggregator.</t>
  </si>
  <si>
    <t xml:space="preserve">PEER_R_DE</t>
  </si>
  <si>
    <t xml:space="preserve">stockanalysis.com 2026-09-27: TTM D/E 2.94. TIER3-aggregator.</t>
  </si>
  <si>
    <t xml:space="preserve">PEER_MGRC_price</t>
  </si>
  <si>
    <t xml:space="preserve">FMP profile-symbol 2026-09-27: McGrath RentCorp (MGRC) price. TIER3-aggregator.</t>
  </si>
  <si>
    <t xml:space="preserve">PEER_MGRC_PB_actual</t>
  </si>
  <si>
    <t xml:space="preserve">stockanalysis.com 2026-09-27: TTM P/B 2.22. TIER3-aggregator.</t>
  </si>
  <si>
    <t xml:space="preserve">PEER_MGRC_ROE_trailing</t>
  </si>
  <si>
    <t xml:space="preserve">stockanalysis.com 2026-09-27: TTM ROE 12.69%. TIER3-aggregator.</t>
  </si>
  <si>
    <t xml:space="preserve">PEER_MGRC_DivYield</t>
  </si>
  <si>
    <t xml:space="preserve">stockanalysis.com 2026-09-27: TTM dividend yield 1.75%. TIER3-aggregator.</t>
  </si>
  <si>
    <t xml:space="preserve">PEER_MGRC_DE</t>
  </si>
  <si>
    <t xml:space="preserve">stockanalysis.com 2026-09-27: TTM D/E 0.47. TIER3-aggregator.</t>
  </si>
  <si>
    <t xml:space="preserve">PEER_GSL_price</t>
  </si>
  <si>
    <t xml:space="preserve">Placeholder — FMP profile not fetched. Marine container ship lessor, moderate profile. TIER3-aggregator PENDING.</t>
  </si>
  <si>
    <t xml:space="preserve">PEER_GSL_PB_actual</t>
  </si>
  <si>
    <t xml:space="preserve">stockanalysis.com/stocks/gsl/financials/ratios/ 2026-09-27: TTM P/B 0.82. TIER3-aggregator.</t>
  </si>
  <si>
    <t xml:space="preserve">PEER_GSL_ROE_trailing</t>
  </si>
  <si>
    <t xml:space="preserve">stockanalysis.com 2026-09-27: TTM ROE 21.35%. TIER3-aggregator.</t>
  </si>
  <si>
    <t xml:space="preserve">PEER_GSL_DivYield</t>
  </si>
  <si>
    <t xml:space="preserve">stockanalysis.com 2026-09-27: TTM dividend yield 5.64%. TIER3-aggregator.</t>
  </si>
  <si>
    <t xml:space="preserve">PEER_GSL_DE</t>
  </si>
  <si>
    <t xml:space="preserve">stockanalysis.com 2026-09-27: TTM D/E 0.35. TIER3-aggregator.</t>
  </si>
  <si>
    <t xml:space="preserve">PEER_AL_price_v21</t>
  </si>
  <si>
    <t xml:space="preserve">v20 value from stockanalysis.com 2026-09-21; not re-sourced from 10-K this session. TIER3-aggregator VERIFICATION PENDING.</t>
  </si>
  <si>
    <t xml:space="preserve">PEER_AL_PB_actual_v21</t>
  </si>
  <si>
    <t xml:space="preserve">stockanalysis.com/stocks/al/financials/ratios/ 2026-09-27: TTM P/B 0.86. TIER3-aggregator.</t>
  </si>
  <si>
    <t xml:space="preserve">PEER_AL_ROE_trailing_v21</t>
  </si>
  <si>
    <t xml:space="preserve">stockanalysis.com 2026-09-27: TTM ROE 10.22%. TIER3-aggregator.</t>
  </si>
  <si>
    <t xml:space="preserve">PEER_AL_DivYield_v21</t>
  </si>
  <si>
    <t xml:space="preserve">stockanalysis.com 2026-09-27: TTM dividend yield 1.35%. TIER3-aggregator.</t>
  </si>
  <si>
    <t xml:space="preserve">PEER_AL_DE_v21</t>
  </si>
  <si>
    <t xml:space="preserve">stockanalysis.com 2026-09-27: TTM D/E 2.32. TIER3-aggregator.</t>
  </si>
  <si>
    <t xml:space="preserve">--- v23 TERMINAL STATE (2031E-2035E) ---</t>
  </si>
  <si>
    <t xml:space="preserve">Terminal_LPI</t>
  </si>
  <si>
    <t xml:space="preserve">Assumption: renewals reprice with inflation once the current up-cycle runs off. Cite: gatx-lease-pricing-history.md — 10-year LPI (2016-2025) arithmetic average = 2.8% (values -21%, -24%, -4%, -1%, -22%, -7%, +24%, +34%, +27%, +22%). Round down to 2.0% for a cycle-neutral inflation-anchor mark.</t>
  </si>
  <si>
    <t xml:space="preserve">Terminal_fleet_growth</t>
  </si>
  <si>
    <t xml:space="preserve">Assumption: cars grow slower than nominal GDP. Cite: railcar-supply-2026-09.md — 2025 industry orders ~20.4K vs deliveries ~31.2K at multi-decade lows; fleet contracted ~10K cars YoY; 2026 industry guide ~25K deliveries. Long-run replacement demand ~35-40K/year; steady-state fleet growth &lt;1.5%. Use 1.0%.</t>
  </si>
  <si>
    <t xml:space="preserve">Terminal_other_growth</t>
  </si>
  <si>
    <t xml:space="preserve">Link to Drivers!C397 (Terminal_g = 3.5%, existing DCF perpetuity rate).</t>
  </si>
  <si>
    <t xml:space="preserve">Terminal_new_car_cost_USD</t>
  </si>
  <si>
    <t xml:space="preserve">Link to Drivers!C674 (NAV_new_cost_per_car_USD = $42,625 per car). Cite: 10-Q Note 3 — Wells Fargo acquisition $4,200M / 98,535 cars = $42,625/car (used as new-cost anchor in v21 NAV vintage rebuild).</t>
  </si>
  <si>
    <t xml:space="preserve">Terminal_avg_remaining_life_years</t>
  </si>
  <si>
    <t xml:space="preserve">v26 1a (2026-09-28): terminal life = PP&amp;E net 2030E / |depreciation 2030E| = 17950.5 / 720 = 24.93 yrs so 2031E dep (= I39/life) continues from 2030E level. Sanity: FY2025 10-K depreciation policy Note 1 Summary of Significant Accounting Policies (p.60): 'Depreciation is computed on a straight-line basis to the estimated residual value of the asset over its estimated economic useful life. The current average estimated useful life for a new railcar is 40-50 years.' Prior formula (=C120/-Historicals!I23 = 26.4y) yielded a $41M step-down 2030→2031.</t>
  </si>
  <si>
    <t xml:space="preserve">Derived from FY2025 10-K p.58: PP&amp;E net $11,410.9M / annual depreciation $431.8M = 26.4 years. Depreciation policy 10-K p.30 states railcar useful life 27-45 years; average fleet age ~17 years (10-K p.31) implies remaining life ~19y at 36y midpoint. Ratio-derived 26.4y is a whole-portfolio weighted average reflecting mixed asset ages including Rail Intl and other assets.</t>
  </si>
  <si>
    <t xml:space="preserve">Terminal_D_to_capital_ratio</t>
  </si>
  <si>
    <t xml:space="preserve">Derived: 2030E total debt (3SF!I47) / (total debt + GATX SE, 3SF!I47+I58). Anchored to 2030E capital structure per WO 'hold D/(D+E) at 2030E'.</t>
  </si>
  <si>
    <t xml:space="preserve">Terminal_capex_taper_max_yoy_pct</t>
  </si>
  <si>
    <t xml:space="preserve">Assumption per WO: taper from 2030E $1,400M so no YoY capex change exceeds 15%. Applied as min(target, prior*(1-15%)) or max(target, prior*(1+15%)).</t>
  </si>
  <si>
    <t xml:space="preserve">--- v23 COHORT CAR-COUNT TERMINAL GROWTH ---</t>
  </si>
  <si>
    <t xml:space="preserve">--- v24 SHARE COUNT (2026E-2035E buyback retires shares) ---</t>
  </si>
  <si>
    <t xml:space="preserve">Buyback_price_basis method</t>
  </si>
  <si>
    <t xml:space="preserve">Assumption: current price (Drivers!C179) grows at Terminal_g (Drivers!C397 = 3.5%) from the price date. Each year uses that year-specific buyback price. No SBC share dilution row exists in this workbook - the filed 2026E and 2027E diluted counts already incorporate historical dilution. Post-2027 dilution not modeled.</t>
  </si>
  <si>
    <t xml:space="preserve">Buyback_price_2026</t>
  </si>
  <si>
    <t xml:space="preserve">Formula: current price (C179) x (1+Terminal_g C397). Compounds forward one year from price date to fiscal year end 2026.</t>
  </si>
  <si>
    <t xml:space="preserve">Buyback_price_2027</t>
  </si>
  <si>
    <t xml:space="preserve">Formula: prior-year buyback price x (1+Terminal_g). Chain-source: C714 + C397.</t>
  </si>
  <si>
    <t xml:space="preserve">Buyback_price_2028</t>
  </si>
  <si>
    <t xml:space="preserve">Formula: prior-year buyback price x (1+Terminal_g). Chain-source: C715 + C397.</t>
  </si>
  <si>
    <t xml:space="preserve">Buyback_price_2029</t>
  </si>
  <si>
    <t xml:space="preserve">Formula: prior-year buyback price x (1+Terminal_g). Chain-source: C716 + C397.</t>
  </si>
  <si>
    <t xml:space="preserve">Buyback_price_2030</t>
  </si>
  <si>
    <t xml:space="preserve">Formula: prior-year buyback price x (1+Terminal_g). Chain-source: C717 + C397.</t>
  </si>
  <si>
    <t xml:space="preserve">Buyback_price_2031</t>
  </si>
  <si>
    <t xml:space="preserve">Formula: prior-year buyback price x (1+Terminal_g). Chain-source: C718 + C397.</t>
  </si>
  <si>
    <t xml:space="preserve">Buyback_price_2032</t>
  </si>
  <si>
    <t xml:space="preserve">Formula: prior-year buyback price x (1+Terminal_g). Chain-source: C719 + C397.</t>
  </si>
  <si>
    <t xml:space="preserve">Buyback_price_2033</t>
  </si>
  <si>
    <t xml:space="preserve">Formula: prior-year buyback price x (1+Terminal_g). Chain-source: C720 + C397.</t>
  </si>
  <si>
    <t xml:space="preserve">Buyback_price_2034</t>
  </si>
  <si>
    <t xml:space="preserve">Formula: prior-year buyback price x (1+Terminal_g). Chain-source: C721 + C397.</t>
  </si>
  <si>
    <t xml:space="preserve">Buyback_price_2035</t>
  </si>
  <si>
    <t xml:space="preserve">Formula: prior-year buyback price x (1+Terminal_g). Chain-source: C722 + C397.</t>
  </si>
  <si>
    <t xml:space="preserve">Shares_repurchased_2026_M</t>
  </si>
  <si>
    <t xml:space="preserve">Buyback $ (3SF!E85, negative = outflow) divided by Buyback_price_2026. Result in millions of shares.</t>
  </si>
  <si>
    <t xml:space="preserve">Shares_repurchased_2027_M</t>
  </si>
  <si>
    <t xml:space="preserve">Buyback $ (3SF!F85, negative = outflow) divided by Buyback_price_2027. Result in millions of shares.</t>
  </si>
  <si>
    <t xml:space="preserve">Shares_repurchased_2028_M</t>
  </si>
  <si>
    <t xml:space="preserve">Buyback $ (3SF!G85, negative = outflow) divided by Buyback_price_2028. Result in millions of shares.</t>
  </si>
  <si>
    <t xml:space="preserve">Shares_repurchased_2029_M</t>
  </si>
  <si>
    <t xml:space="preserve">Buyback $ (3SF!H85, negative = outflow) divided by Buyback_price_2029. Result in millions of shares.</t>
  </si>
  <si>
    <t xml:space="preserve">Shares_repurchased_2030_M</t>
  </si>
  <si>
    <t xml:space="preserve">Buyback $ (3SF!I85, negative = outflow) divided by Buyback_price_2030. Result in millions of shares.</t>
  </si>
  <si>
    <t xml:space="preserve">Shares_repurchased_2031_M</t>
  </si>
  <si>
    <t xml:space="preserve">Buyback $ (3SF!J85, negative = outflow) divided by Buyback_price_2031. Result in millions of shares.</t>
  </si>
  <si>
    <t xml:space="preserve">Shares_repurchased_2032_M</t>
  </si>
  <si>
    <t xml:space="preserve">Buyback $ (3SF!K85, negative = outflow) divided by Buyback_price_2032. Result in millions of shares.</t>
  </si>
  <si>
    <t xml:space="preserve">Shares_repurchased_2033_M</t>
  </si>
  <si>
    <t xml:space="preserve">Buyback $ (3SF!L85, negative = outflow) divided by Buyback_price_2033. Result in millions of shares.</t>
  </si>
  <si>
    <t xml:space="preserve">Shares_repurchased_2034_M</t>
  </si>
  <si>
    <t xml:space="preserve">Buyback $ (3SF!M85, negative = outflow) divided by Buyback_price_2034. Result in millions of shares.</t>
  </si>
  <si>
    <t xml:space="preserve">Shares_repurchased_2035_M</t>
  </si>
  <si>
    <t xml:space="preserve">Buyback $ (3SF!N85, negative = outflow) divided by Buyback_price_2035. Result in millions of shares.</t>
  </si>
  <si>
    <t xml:space="preserve">--- v27 SCENARIOS ---</t>
  </si>
  <si>
    <t xml:space="preserve">v27 WO (2026-09-28): one scenario switch that drives every sheet. Selector=1 Bear, 2 Base, 3 Bull. Base column MUST equal live value at selector=2.</t>
  </si>
  <si>
    <t xml:space="preserve">Scenario_select</t>
  </si>
  <si>
    <t xml:space="preserve">Selector: 1=Bear, 2=Base, 3=Bull. Change this one cell to move the whole model.</t>
  </si>
  <si>
    <t xml:space="preserve">Live cell</t>
  </si>
  <si>
    <t xml:space="preserve">Bear</t>
  </si>
  <si>
    <t xml:space="preserve">Base</t>
  </si>
  <si>
    <t xml:space="preserve">Bull</t>
  </si>
  <si>
    <t xml:space="preserve">Source / rationale</t>
  </si>
  <si>
    <t xml:space="preserve">C33</t>
  </si>
  <si>
    <t xml:space="preserve">Bear: fades early (10% vs 15% base) — 2016-17 cycle repriced −24% over two years per gatx-lease-pricing-history.md; Bull: holds base 15%.</t>
  </si>
  <si>
    <t xml:space="preserve">C34</t>
  </si>
  <si>
    <t xml:space="preserve">Bear: continues fade; Bull: holds mid-teens through 2028 per lessor-benchmark item 1.</t>
  </si>
  <si>
    <t xml:space="preserve">C35</t>
  </si>
  <si>
    <t xml:space="preserve">Bear: reaches ~0% by 2029 (fading to −10% by 2030); Bull: still mid-single-digit uplift.</t>
  </si>
  <si>
    <t xml:space="preserve">C36</t>
  </si>
  <si>
    <t xml:space="preserve">Bear: −10% cycle low (vs −24% 2017 trough); Bull: modest 2% positive vs base −2%.</t>
  </si>
  <si>
    <t xml:space="preserve">C704</t>
  </si>
  <si>
    <t xml:space="preserve">Bear: no repricing above inflation past cycle; Base: 2% inflation; Bull: 3% modest premium.</t>
  </si>
  <si>
    <t xml:space="preserve">C37</t>
  </si>
  <si>
    <t xml:space="preserve">Bear: 75% (2016 trough was 67% per gatx-lease-pricing-history.md); Base: Q1+Q2 2026 average 80.8%; Bull: 88% (record).</t>
  </si>
  <si>
    <t xml:space="preserve">C38</t>
  </si>
  <si>
    <t xml:space="preserve">Bear: hold at 75%; Base: normalizing 85%; Bull: hold record 88%.</t>
  </si>
  <si>
    <t xml:space="preserve">C56</t>
  </si>
  <si>
    <t xml:space="preserve">Bear: 2026 at $130M guide (mgmt originally set); Base: $130M guide; Bull: $175M (mgmt said 'well ahead of $130M', 10-yr avg ~$79M remarketing per Lyons Wells Fargo conf).</t>
  </si>
  <si>
    <t xml:space="preserve">C58</t>
  </si>
  <si>
    <t xml:space="preserve">Bear: fall back to $100M; Base: $140M (modest normalization); Bull: $160M above trend.</t>
  </si>
  <si>
    <t xml:space="preserve">C57</t>
  </si>
  <si>
    <t xml:space="preserve">Bear: keep JV guide $70M; Base: $70M FY guide per Q2 transcript; Bull: $90M as JV integration accelerates.</t>
  </si>
  <si>
    <t xml:space="preserve">C59</t>
  </si>
  <si>
    <t xml:space="preserve">Bear: JV moderates to $60M; Base: $70M carried forward; Bull: $90M step-up.</t>
  </si>
  <si>
    <t xml:space="preserve">C176</t>
  </si>
  <si>
    <t xml:space="preserve">Bear: 20% (slower turnover); Base: 25% (v26, ~1/4 per 54-month term); Bull: 30% (faster expiry per range in expiry note).</t>
  </si>
  <si>
    <t xml:space="preserve">C102</t>
  </si>
  <si>
    <t xml:space="preserve">Bear: 6.00% kill line (monitoring/THRESHOLDS.md); Base: 5.30% per Q2 10-Q p.42; Bull: 4.80% cost of debt improves.</t>
  </si>
  <si>
    <t xml:space="preserve">C116</t>
  </si>
  <si>
    <t xml:space="preserve">Bear: $110M cutback; Base: $130M v26 assumption; Bull: $150M continued upcycle.</t>
  </si>
  <si>
    <t xml:space="preserve">C705</t>
  </si>
  <si>
    <t xml:space="preserve">Bear: 0% no growth past 2030; Base: 1% modest per railcar-supply-2026-09.md; Bull: 2% (~nominal GDP).</t>
  </si>
  <si>
    <t xml:space="preserve">P/E multiple used for target</t>
  </si>
  <si>
    <t xml:space="preserve">(references)</t>
  </si>
  <si>
    <t xml:space="preserve">REFERENCE Valuation D19:D21 (25th pct, median, 75th pct) per WO — do NOT retype.</t>
  </si>
  <si>
    <t xml:space="preserve">Idle_fill_switch</t>
  </si>
  <si>
    <t xml:space="preserve">A3 idle-fill switch. 0 = base case (v37 unchanged). 1 = acquired pool utilization lifts from 97% to legacy 99% over 2026E to 2030E. Phase B 2026-10-08. NOTE: A3 spec called for Drivers!C260 but that cell is live (Mgmt_fee_JV_M, 10 Segment P&amp;L refs); placed here to preserve zero-change invariant.</t>
  </si>
  <si>
    <t xml:space="preserve">v38 Phase B 2026-10-08: WORK-ORDER-v38.md Step 2 + A3-idle-fill-spec.md. Switch default OFF.</t>
  </si>
  <si>
    <t xml:space="preserve">Acquired_pool_util_2026E</t>
  </si>
  <si>
    <t xml:space="preserve">A3: Wells Fargo acquired pool starting utilization at close ~97%.</t>
  </si>
  <si>
    <t xml:space="preserve">A3: Wells Fargo acquired pool starting utilization at close ~97%; GATX Q4 2025 10-K.</t>
  </si>
  <si>
    <t xml:space="preserve">Acquired_pool_util_2027E</t>
  </si>
  <si>
    <t xml:space="preserve">A3: +50 bp linear catch-up.</t>
  </si>
  <si>
    <t xml:space="preserve">A3: +50 bp/yr linear catch-up assumption (owner, 2026-10-08).</t>
  </si>
  <si>
    <t xml:space="preserve">Acquired_pool_util_2028E</t>
  </si>
  <si>
    <t xml:space="preserve">Acquired_pool_util_2029E</t>
  </si>
  <si>
    <t xml:space="preserve">Acquired_pool_util_2030E</t>
  </si>
  <si>
    <t xml:space="preserve">A3: terminal state matching legacy Rail NA utilization (~99%).</t>
  </si>
  <si>
    <t xml:space="preserve">Acquired_pool_util_baseline (0.97 reference)</t>
  </si>
  <si>
    <t xml:space="preserve">A3 baseline utilization at acquisition close; used in idle-fill mechanism as the subtraction base so Row 36 incremental cars reads cars × (util_year − baseline) × switch.</t>
  </si>
  <si>
    <t xml:space="preserve">A3: Wells Fargo acquired pool starting utilization at acquisition close ~97%; GATX Q4 2025 10-K. Owner (2026-10-08).</t>
  </si>
  <si>
    <t xml:space="preserve">--- WORLDWIDE FLEET (added v28 for Learn sheet) ---</t>
  </si>
  <si>
    <t xml:space="preserve">RailEurope_fleet_YE_Q2_2026</t>
  </si>
  <si>
    <t xml:space="preserve">Q2 2026 earnings release (2026-07-30) p.14: GRE ending balance 36,718 railcars at 6/30/2026</t>
  </si>
  <si>
    <t xml:space="preserve">RailIndia_fleet_YE_Q2_2026</t>
  </si>
  <si>
    <t xml:space="preserve">Q2 2026 earnings release (2026-07-30) p.14: Rail India ending balance 12,851 railcars at 6/30/2026</t>
  </si>
  <si>
    <t xml:space="preserve">Guide_variance_tolerance</t>
  </si>
  <si>
    <t xml:space="preserve">v28 gate: Consensus Bridge Section B (2026 guidance vs model) tolerance = plus/minus 5%</t>
  </si>
  <si>
    <t xml:space="preserve">H1_2026_legacy_maintenance_USDm</t>
  </si>
  <si>
    <t xml:space="preserve">Q2 2026 earnings call transcript (Ellman, 2026-07-30): H1 2026 legacy Rail NA maintenance approximately $250M; used as a legacy-only H1 anchor to approximate FY2026 legacy maintenance in Consensus Bridge Section B row 60. Source: research/coverage/rail/gatx-filings/GATX-Q2-2026-earnings-call-transcript-2026-07-30.pdf.</t>
  </si>
  <si>
    <t xml:space="preserve">Q2 2026 earnings call transcript (Ellman, 2026-07-30) at research/coverage/rail/gatx-filings/GATX-Q2-2026-earnings-call-transcript-2026-07-30.pdf: H1 2026 legacy Rail NA maintenance approximately $250M.</t>
  </si>
  <si>
    <t xml:space="preserve">---</t>
  </si>
  <si>
    <t xml:space="preserve">--- v32 JUSTIFIED P/B GROWTH ---</t>
  </si>
  <si>
    <t xml:space="preserve">Retention_2027E</t>
  </si>
  <si>
    <t xml:space="preserve">Formula: 1 - (DPS 2027E Drivers!C80 / EPS 2027E 3SF!F33). Retention ratio feeding sustainable-growth formula.</t>
  </si>
  <si>
    <t xml:space="preserve">Formula: 1 - (DPS 2027E Drivers!C80 / EPS 2027E 3SF!F33). Source: model DPS and EPS 2027E cells. Owner decision 2026-10-02.</t>
  </si>
  <si>
    <t xml:space="preserve">ROE_2027E_with_gains</t>
  </si>
  <si>
    <t xml:space="preserve">Link to Valuation Section G row 201 col H (ROE with gains and affiliates, 2027E).</t>
  </si>
  <si>
    <t xml:space="preserve">Link to Valuation!H201 (ROE with gains and affiliates, 2027E). Source: Valuation Section G row 201 col H. Owner decision 2026-10-02.</t>
  </si>
  <si>
    <t xml:space="preserve">g_sus_jpb</t>
  </si>
  <si>
    <t xml:space="preserve">Sustainable growth = retention × ROE (clean-surplus). Replaces Terminal_LPI 2% in jP/B leg.</t>
  </si>
  <si>
    <t xml:space="preserve">Sustainable growth = retention × ROE (clean-surplus accounting identity). Source: owner decision 2026-10-02; replaces Terminal_LPI 2% (a lease-rate assumption, not an earnings-growth assumption) in jP/B leg.</t>
  </si>
  <si>
    <t xml:space="preserve">Ke_cap_gap_pts</t>
  </si>
  <si>
    <t xml:space="preserve">owner decision 2026-10-02: perpetuity growth must sit well below the cost of equity; 4 pts keeps the Gordon denominator from collapsing</t>
  </si>
  <si>
    <t xml:space="preserve">Owner decision 2026-10-02: perpetuity growth must sit well below the cost of equity; 4 pts keeps the Gordon denominator from collapsing.</t>
  </si>
  <si>
    <t xml:space="preserve">g_jpb</t>
  </si>
  <si>
    <t xml:space="preserve">Growth input used in Valuation Section G row 207 col H (2027E justified P/B). Capped at Ke − 4pts.</t>
  </si>
  <si>
    <t xml:space="preserve">Growth input used in Valuation Section G row 207 col H (2027E justified P/B). Source: =MIN(g_sus_jpb, DCF!D57-Ke_cap_gap_pts). Owner decision 2026-10-02.</t>
  </si>
  <si>
    <t xml:space="preserve">prior basis v28 to v31: g = Terminal_LPI 2% (a lease-rate assumption, not earnings-growth; superseded)</t>
  </si>
  <si>
    <t xml:space="preserve">--- v33 ITEM 1: RENEWAL TERM (red-team C10) ---</t>
  </si>
  <si>
    <t xml:space="preserve">Avg_renewal_term_months</t>
  </si>
  <si>
    <t xml:space="preserve">v33 2026-10-05: 54 months, Q2 2026 release 2026-07-30 (research/coverage/rail/gatx-filings/GATX-Q2-2026-earnings-release-2026-07-30.md). Prior: 60 months per Q2 2025 release; input added v33 — the Legacy Cohort Model reprices on a 5-year vintage schedule (equivalent to 60 months implicit); this cell captures the published term for sensitivity reporting on Valuation Section H sidebar.</t>
  </si>
  <si>
    <t xml:space="preserve">GATX Q2 2026 earnings release 2026-07-30 (research/coverage/rail/gatx-filings/GATX-Q2-2026-earnings-release-2026-07-30.md); prior 60 mo per Q2 2025 release</t>
  </si>
  <si>
    <t xml:space="preserve">Legacy_fleet_total_cars  [= sum of 5 cohorts + base]</t>
  </si>
  <si>
    <t xml:space="preserve">Derived: Cohort_2021 + 2022 + 2023 + 2024 + 2025 + base. v33.</t>
  </si>
  <si>
    <t xml:space="preserve">Derived: =C11+C12+C13+C14+C15+C16 (sum of 5 cohorts + base). v33.</t>
  </si>
  <si>
    <t xml:space="preserve">--- v34 RENEWAL TERM BY SIGNING YEAR (REFERENCE ONLY v36; see below) ---</t>
  </si>
  <si>
    <t xml:space="preserve">v34 2026-10-05: GATX disclosed average renewal term (months) by signing year. v36 2026-10-07: NOT USED IN THE ENGINE as of v36. Average terms by signing year cannot time expirations because terms within a given year are dispersed (not single-valued). Block retained as reference. Engine now sources renewal COUNTS from 10-K scheduled-expiration disclosures (Legacy Cohort Model row 58).</t>
  </si>
  <si>
    <t xml:space="preserve">Term_2019_mo</t>
  </si>
  <si>
    <t xml:space="preserve">v34: disclosed average renewal term signing year 2019 = 47 months.</t>
  </si>
  <si>
    <t xml:space="preserve">FY2019 10-K Rail NA fleet statistics / Q4 2019 release (verify-1 class via deliverables/gatx/GATX-deck-charts-paste-ready.md slide 5 index)</t>
  </si>
  <si>
    <t xml:space="preserve">Term_2020_mo</t>
  </si>
  <si>
    <t xml:space="preserve">v34: disclosed average renewal term signing year 2020 = 39 months.</t>
  </si>
  <si>
    <t xml:space="preserve">FY2020 10-K Rail NA fleet statistics / Q4 2020 release (verify-1 class via deck slide 5 index)</t>
  </si>
  <si>
    <t xml:space="preserve">Term_2021_mo</t>
  </si>
  <si>
    <t xml:space="preserve">v34: disclosed average renewal term signing year 2021 = 47 months.</t>
  </si>
  <si>
    <t xml:space="preserve">FY2021 10-K Rail NA fleet statistics / Q4 2021 release (verify-1 class via deck slide 5 index)</t>
  </si>
  <si>
    <t xml:space="preserve">Term_2022_mo</t>
  </si>
  <si>
    <t xml:space="preserve">v34: disclosed average renewal term signing year 2022 = 52 months.</t>
  </si>
  <si>
    <t xml:space="preserve">FY2022 10-K Rail NA fleet statistics / Q4 2022 release (verify-1 class via deck slide 5 index)</t>
  </si>
  <si>
    <t xml:space="preserve">Term_2023_mo</t>
  </si>
  <si>
    <t xml:space="preserve">v34: disclosed average renewal term signing year 2023 = 65 months.</t>
  </si>
  <si>
    <t xml:space="preserve">FY2023 10-K Rail NA fleet statistics / Q4 2023 release (verify-1 class via deck slide 5 index)</t>
  </si>
  <si>
    <t xml:space="preserve">Term_2024_mo</t>
  </si>
  <si>
    <t xml:space="preserve">v34: disclosed average renewal term signing year 2024 = 60 months.</t>
  </si>
  <si>
    <t xml:space="preserve">FY2024 10-K Rail NA fleet statistics / Q4 2024 release (verify-1 class via deck slide 5 index)</t>
  </si>
  <si>
    <t xml:space="preserve">Term_2025_mo</t>
  </si>
  <si>
    <t xml:space="preserve">v34: disclosed average renewal term signing year 2025 = 58 months.</t>
  </si>
  <si>
    <t xml:space="preserve">FY2025 10-K Rail NA fleet statistics / Q4 2025 release (verify-1 class via deck slide 5 index); Q4 2025 release matches</t>
  </si>
  <si>
    <t xml:space="preserve">Term_2026fwd_mo</t>
  </si>
  <si>
    <t xml:space="preserve">v34: forward renewal term for leases signed 2026 and later; links to Drivers!C785 = 54 months per Q2 2026 release.</t>
  </si>
  <si>
    <t xml:space="preserve">Q2 2026 earnings release 2026-07-30 (links to Drivers!C785)</t>
  </si>
  <si>
    <t xml:space="preserve">--- v34 COHORT RENEWAL-YEAR LOOKUP (round(T/12) placement, 2/3 in year, 1/3 next year) ---</t>
  </si>
  <si>
    <t xml:space="preserve">v34: each cohort (signed year Y, term T_Y) renews first time at Y + round(T_Y/12). 2/3 of cars renew in that year, 1/3 in the next. Second renewal uses forward term (Drivers!C796 = 54 months), landing at renewal_1_year + round(54/12).</t>
  </si>
  <si>
    <t xml:space="preserve">Cohort</t>
  </si>
  <si>
    <t xml:space="preserve">Sign_year</t>
  </si>
  <si>
    <t xml:space="preserve">Term_mo</t>
  </si>
  <si>
    <t xml:space="preserve">R1_year</t>
  </si>
  <si>
    <t xml:space="preserve">R2_year</t>
  </si>
  <si>
    <t xml:space="preserve">N_R1</t>
  </si>
  <si>
    <t xml:space="preserve">f_R1</t>
  </si>
  <si>
    <t xml:space="preserve">N_R2fwd</t>
  </si>
  <si>
    <t xml:space="preserve">f_R2fwd</t>
  </si>
  <si>
    <t xml:space="preserve">share_R1_Y+N</t>
  </si>
  <si>
    <t xml:space="preserve">share_R1_Y+N+1</t>
  </si>
  <si>
    <t xml:space="preserve">share_R2_Y+N</t>
  </si>
  <si>
    <t xml:space="preserve">share_R2_Y+N+1</t>
  </si>
  <si>
    <t xml:space="preserve">Cohort_2021</t>
  </si>
  <si>
    <t xml:space="preserve">v34: Cohort 2021 cars signed in 2021; term from Drivers!C791 (FY2021 10-K); R1_year = sign+round(T/12). Deck slide 5 chart data index.</t>
  </si>
  <si>
    <t xml:space="preserve">Cohort_2022</t>
  </si>
  <si>
    <t xml:space="preserve">v34: Cohort 2022 cars signed in 2022; term from Drivers!C792 (FY2022 10-K); R1_year = sign+round(T/12). Deck slide 5 chart data index.</t>
  </si>
  <si>
    <t xml:space="preserve">Cohort_2023</t>
  </si>
  <si>
    <t xml:space="preserve">v34: Cohort 2023 cars signed in 2023; term from Drivers!C793 (FY2023 10-K); R1_year = sign+round(T/12). Deck slide 5 chart data index.</t>
  </si>
  <si>
    <t xml:space="preserve">Cohort_2024</t>
  </si>
  <si>
    <t xml:space="preserve">v34: Cohort 2024 cars signed in 2024; term from Drivers!C794 (FY2024 10-K); R1_year = sign+round(T/12). Deck slide 5 chart data index.</t>
  </si>
  <si>
    <t xml:space="preserve">Cohort_2025</t>
  </si>
  <si>
    <t xml:space="preserve">v34: Cohort 2025 cars signed in 2025; term from Drivers!C795 (FY2025 10-K); R1_year = sign+round(T/12). Deck slide 5 chart data index.</t>
  </si>
  <si>
    <t xml:space="preserve">v35: replaced by per-cohort share formulas in rows 800-804 columns K-N (share_R1_Y+N, share_R1_Y+N+1, share_R2_Y+N, share_R2_Y+N+1)</t>
  </si>
  <si>
    <t xml:space="preserve">v35: this cell is now empty; the flat 2/3 split from v34 is superseded by per-cohort N/f computed in rows 800-804.</t>
  </si>
  <si>
    <t xml:space="preserve">v34 WO: simple two-thirds / one-third rule for cohort renewal placement across the two years the term straddles.</t>
  </si>
  <si>
    <t xml:space="preserve">v34 year labels (numeric, referenced by rows 810-820 to avoid typed year literals)</t>
  </si>
  <si>
    <t xml:space="preserve">year_num</t>
  </si>
  <si>
    <t xml:space="preserve">v34: numeric year labels used to avoid typed-year literals in Drivers rows 810-820 (audit M38 enforcement).</t>
  </si>
  <si>
    <t xml:space="preserve">--- v34 COHORT RENEWAL FRACTION BY YEAR (cumulative, R1 only; row 29-33 reads this) ---</t>
  </si>
  <si>
    <t xml:space="preserve">v34: cumulative fraction of each cohort that has been through its first renewal by end of year t. Zero before R1_year. 0.667 in R1_year. 1.0 from R1_year+1 onward. The Legacy Cohort Model row 29-33 reads these cells to blend pre-rate and post-renewal rate.</t>
  </si>
  <si>
    <t xml:space="preserve">Metric</t>
  </si>
  <si>
    <t xml:space="preserve">2025A</t>
  </si>
  <si>
    <t xml:space="preserve">2026E</t>
  </si>
  <si>
    <t xml:space="preserve">2027E</t>
  </si>
  <si>
    <t xml:space="preserve">2028E</t>
  </si>
  <si>
    <t xml:space="preserve">2029E</t>
  </si>
  <si>
    <t xml:space="preserve">2030E</t>
  </si>
  <si>
    <t xml:space="preserve">2031E</t>
  </si>
  <si>
    <t xml:space="preserve">2032E</t>
  </si>
  <si>
    <t xml:space="preserve">2033E</t>
  </si>
  <si>
    <t xml:space="preserve">2034E</t>
  </si>
  <si>
    <t xml:space="preserve">2035E</t>
  </si>
  <si>
    <t xml:space="preserve">cum_frac_R1</t>
  </si>
  <si>
    <t xml:space="preserve">Cohort R2 (second renewal, 54-mo forward term) — cumulative fraction</t>
  </si>
  <si>
    <t xml:space="preserve">cum_frac_R2</t>
  </si>
  <si>
    <t xml:space="preserve">--- v34 LPI AT COHORT RENEWAL YEAR (looked up by R1_year / R2_year) ---</t>
  </si>
  <si>
    <t xml:space="preserve">v34: LPI applied at each cohort R1 and R2 renewal. For years in {2026..2030} map to LPI_FY2026..FY2030; 2025 and before use LPI_FY2026 (pre-forecast assumption); 2031+ uses Terminal_LPI.</t>
  </si>
  <si>
    <t xml:space="preserve">LPI_at_R1</t>
  </si>
  <si>
    <t xml:space="preserve">LPI_at_R2</t>
  </si>
  <si>
    <t xml:space="preserve">v34: LPI at R1 (lookup Drivers!C32-C36 by renewal year; Terminal_LPI for 2031+). Links to LPI_FY cells which cite Q2 2026 release + 10-Ks.</t>
  </si>
  <si>
    <t xml:space="preserve">v34: LPI at R1 (lookup Drivers!C32-C36).</t>
  </si>
  <si>
    <t xml:space="preserve">Circ break 1=off, 0=on</t>
  </si>
  <si>
    <t xml:space="preserve">Shares outstanding (millions)</t>
  </si>
  <si>
    <t xml:space="preserve">HISTORICALS 2020-2025 — each BS/IS/CFS line from that year's own 10-K</t>
  </si>
  <si>
    <t xml:space="preserve">INCOME STATEMENT ($M) — FY2022 10-K for 2020-22, FY2025 10-K for 2023-25</t>
  </si>
  <si>
    <t xml:space="preserve">2020A</t>
  </si>
  <si>
    <t xml:space="preserve">2021A</t>
  </si>
  <si>
    <t xml:space="preserve">2022A</t>
  </si>
  <si>
    <t xml:space="preserve">2023A</t>
  </si>
  <si>
    <t xml:space="preserve">2024A</t>
  </si>
  <si>
    <t xml:space="preserve">Lease revenue</t>
  </si>
  <si>
    <t xml:space="preserve">FY2022 10-K p.60 (2020-22 columns); FY2025 10-K p.60 (2023-25).</t>
  </si>
  <si>
    <t xml:space="preserve">Non-dedicated engine revenue</t>
  </si>
  <si>
    <t xml:space="preserve">Marine operating revenue</t>
  </si>
  <si>
    <t xml:space="preserve">Other revenue</t>
  </si>
  <si>
    <t xml:space="preserve">Total Revenues</t>
  </si>
  <si>
    <t xml:space="preserve">Maintenance expense</t>
  </si>
  <si>
    <t xml:space="preserve">Marine operating expense</t>
  </si>
  <si>
    <t xml:space="preserve">Depreciation expense</t>
  </si>
  <si>
    <t xml:space="preserve">Operating lease expense</t>
  </si>
  <si>
    <t xml:space="preserve">Other operating expense</t>
  </si>
  <si>
    <t xml:space="preserve">SG&amp;A</t>
  </si>
  <si>
    <t xml:space="preserve">Total Expenses</t>
  </si>
  <si>
    <t xml:space="preserve">Net gain on asset dispositions</t>
  </si>
  <si>
    <t xml:space="preserve">Interest expense, net</t>
  </si>
  <si>
    <t xml:space="preserve">Other expense</t>
  </si>
  <si>
    <t xml:space="preserve">Pretax income (pre-affiliates)</t>
  </si>
  <si>
    <t xml:space="preserve">Income taxes</t>
  </si>
  <si>
    <t xml:space="preserve">Share of affiliates</t>
  </si>
  <si>
    <t xml:space="preserve">Net Income</t>
  </si>
  <si>
    <t xml:space="preserve">NI attributable to GATX</t>
  </si>
  <si>
    <t xml:space="preserve">Diluted EPS</t>
  </si>
  <si>
    <t xml:space="preserve">BALANCE SHEET ($M) — each year from that year's own 10-K</t>
  </si>
  <si>
    <t xml:space="preserve">Cash and cash equivalents</t>
  </si>
  <si>
    <t xml:space="preserve">2020: FY2020 10-K p.59. 2021: FY2021 10-K p.59. 2022: FY2022 10-K p.55. 2023: FY2023 10-K p.56. 2024: FY2024 10-K p.57. 2025: FY2025 10-K p.58.</t>
  </si>
  <si>
    <t xml:space="preserve">Restricted cash</t>
  </si>
  <si>
    <t xml:space="preserve">Short-term investments</t>
  </si>
  <si>
    <t xml:space="preserve">Receivables (net)</t>
  </si>
  <si>
    <t xml:space="preserve">Operating assets and facilities, gross</t>
  </si>
  <si>
    <t xml:space="preserve">Accum depreciation</t>
  </si>
  <si>
    <t xml:space="preserve">Operating assets and facilities, net</t>
  </si>
  <si>
    <t xml:space="preserve">Right-of-use assets</t>
  </si>
  <si>
    <t xml:space="preserve">Finance leases (as lessee)</t>
  </si>
  <si>
    <t xml:space="preserve">Investments in Affiliated Companies</t>
  </si>
  <si>
    <t xml:space="preserve">Goodwill</t>
  </si>
  <si>
    <t xml:space="preserve">Other Assets</t>
  </si>
  <si>
    <t xml:space="preserve">Total Assets</t>
  </si>
  <si>
    <t xml:space="preserve">Accounts Payable and Accrued Expenses</t>
  </si>
  <si>
    <t xml:space="preserve">Bank credit facilities</t>
  </si>
  <si>
    <t xml:space="preserve">Recourse debt</t>
  </si>
  <si>
    <t xml:space="preserve">Total debt</t>
  </si>
  <si>
    <t xml:space="preserve">Operating lease obligations</t>
  </si>
  <si>
    <t xml:space="preserve">Finance lease obligations</t>
  </si>
  <si>
    <t xml:space="preserve">Deferred Income Taxes</t>
  </si>
  <si>
    <t xml:space="preserve">Other Liabilities</t>
  </si>
  <si>
    <t xml:space="preserve">Total Liabilities</t>
  </si>
  <si>
    <t xml:space="preserve">Common stock</t>
  </si>
  <si>
    <t xml:space="preserve">Additional paid in capital</t>
  </si>
  <si>
    <t xml:space="preserve">Retained earnings</t>
  </si>
  <si>
    <t xml:space="preserve">Accumulated OCI</t>
  </si>
  <si>
    <t xml:space="preserve">Treasury stock</t>
  </si>
  <si>
    <t xml:space="preserve">Total GATX Shareholders Equity</t>
  </si>
  <si>
    <t xml:space="preserve">Non-Controlling Interest</t>
  </si>
  <si>
    <t xml:space="preserve">Total Equity</t>
  </si>
  <si>
    <t xml:space="preserve">Total Liabilities and Equity</t>
  </si>
  <si>
    <t xml:space="preserve">CASH FLOW STATEMENT ($M)</t>
  </si>
  <si>
    <t xml:space="preserve">Net income</t>
  </si>
  <si>
    <t xml:space="preserve">FY2025 10-K p.62 (2023-25 columns); FY2022 10-K p.62 (2020-22 columns).</t>
  </si>
  <si>
    <t xml:space="preserve">D&amp;A</t>
  </si>
  <si>
    <t xml:space="preserve">Other operating adjustments</t>
  </si>
  <si>
    <t xml:space="preserve">Working capital + other</t>
  </si>
  <si>
    <t xml:space="preserve">Net cash from operating</t>
  </si>
  <si>
    <t xml:space="preserve">Portfolio investments &amp; capex</t>
  </si>
  <si>
    <t xml:space="preserve">Portfolio proceeds</t>
  </si>
  <si>
    <t xml:space="preserve">Proceeds from other asset sales</t>
  </si>
  <si>
    <t xml:space="preserve">Other investing (incl short-term inv)</t>
  </si>
  <si>
    <t xml:space="preserve">Net cash used in investing</t>
  </si>
  <si>
    <t xml:space="preserve">Net proceeds from debt (&gt;90d)</t>
  </si>
  <si>
    <t xml:space="preserve">Repayments of debt (&gt;90d)</t>
  </si>
  <si>
    <t xml:space="preserve">Net change in short-term debt (&lt;=90d)</t>
  </si>
  <si>
    <t xml:space="preserve">Purchases of assets previously leased</t>
  </si>
  <si>
    <t xml:space="preserve">Stock repurchases</t>
  </si>
  <si>
    <t xml:space="preserve">Dividends paid</t>
  </si>
  <si>
    <t xml:space="preserve">GABX NCI contribution</t>
  </si>
  <si>
    <t xml:space="preserve">Other financing</t>
  </si>
  <si>
    <t xml:space="preserve">Net cash from financing</t>
  </si>
  <si>
    <t xml:space="preserve">FX effect</t>
  </si>
  <si>
    <t xml:space="preserve">Net change in cash + restricted</t>
  </si>
  <si>
    <t xml:space="preserve">Cash + restricted BOP</t>
  </si>
  <si>
    <t xml:space="preserve">Cash + restricted EOP</t>
  </si>
  <si>
    <t xml:space="preserve">GATX 3-STATEMENT FORECAST — 2025A from filings, 2026-27E from model. Revolver-plug.</t>
  </si>
  <si>
    <t xml:space="preserve">INCOME STATEMENT ($M)</t>
  </si>
  <si>
    <t xml:space="preserve">Total revenue</t>
  </si>
  <si>
    <t xml:space="preserve">Maintenance</t>
  </si>
  <si>
    <t xml:space="preserve">Depreciation</t>
  </si>
  <si>
    <t xml:space="preserve">Net gain on asset dispositions (legacy engine + GABX row 10)</t>
  </si>
  <si>
    <t xml:space="preserve">Interest expense, net (from Debt sheet)</t>
  </si>
  <si>
    <t xml:space="preserve">Other income (expense)</t>
  </si>
  <si>
    <t xml:space="preserve">Share of affiliates (RRPF), net of tax</t>
  </si>
  <si>
    <t xml:space="preserve">Net Income (consolidated)</t>
  </si>
  <si>
    <t xml:space="preserve">Less: NCI (from GABX Mini P&amp;L)</t>
  </si>
  <si>
    <t xml:space="preserve">Diluted shares (M)</t>
  </si>
  <si>
    <t xml:space="preserve">BALANCE SHEET ($M) — 2025A from FY2025 10-K p.58</t>
  </si>
  <si>
    <t xml:space="preserve">PP&amp;E net (BOP + WF + capex − depr − dispo book)</t>
  </si>
  <si>
    <t xml:space="preserve">Right-of-use assets (net)</t>
  </si>
  <si>
    <t xml:space="preserve">Accounts payable and accrued expenses</t>
  </si>
  <si>
    <t xml:space="preserve">Total debt (from Debt sheet)</t>
  </si>
  <si>
    <t xml:space="preserve">BALANCE CHECK (must be 0)</t>
  </si>
  <si>
    <t xml:space="preserve">D&amp;A (add back = -Depr on IS, matches PPE roll)</t>
  </si>
  <si>
    <t xml:space="preserve">Net gains on sales of assets (subtract)</t>
  </si>
  <si>
    <t xml:space="preserve">Deferred tax change (Δ DT BS)</t>
  </si>
  <si>
    <t xml:space="preserve">Δ Working capital (AP + OthL − Recv)</t>
  </si>
  <si>
    <t xml:space="preserve">Share of affiliates net of dividends (CFO subtract)</t>
  </si>
  <si>
    <t xml:space="preserve">Share-based comp (add-back, matches Δ APIC)</t>
  </si>
  <si>
    <t xml:space="preserve">ROU + OL amortization (non-cash op lease)</t>
  </si>
  <si>
    <t xml:space="preserve">CFO</t>
  </si>
  <si>
    <t xml:space="preserve">Capex (organic)</t>
  </si>
  <si>
    <t xml:space="preserve">Wells Fargo acquisition (2026 CFI outflow)</t>
  </si>
  <si>
    <t xml:space="preserve">Portfolio proceeds (dispositions of assets)</t>
  </si>
  <si>
    <t xml:space="preserve">Other investing</t>
  </si>
  <si>
    <t xml:space="preserve">CFI</t>
  </si>
  <si>
    <t xml:space="preserve">Debt refinancing (maturity + refi from Debt sheet)</t>
  </si>
  <si>
    <t xml:space="preserve">Net new debt issuance (revolver plug)</t>
  </si>
  <si>
    <t xml:space="preserve">GABX tranche cash to Brookfield (v9 Sec 2 — call-option strikes)</t>
  </si>
  <si>
    <t xml:space="preserve">Restricted cash release (=0; captured in Cash+Restricted reconciliation)</t>
  </si>
  <si>
    <t xml:space="preserve">Stock repurchases (buyback)</t>
  </si>
  <si>
    <t xml:space="preserve">GABX NCI equity contribution (2025 only)</t>
  </si>
  <si>
    <t xml:space="preserve">Distributions to NCI (Brookfield)</t>
  </si>
  <si>
    <t xml:space="preserve">CFF</t>
  </si>
  <si>
    <t xml:space="preserve">Net change in Cash + Restricted Cash</t>
  </si>
  <si>
    <t xml:space="preserve">Cash + Restricted BOP</t>
  </si>
  <si>
    <t xml:space="preserve">Cash + Restricted EOP (CFS = BS)</t>
  </si>
  <si>
    <t xml:space="preserve">BS Cash + Restricted total (verification)</t>
  </si>
  <si>
    <t xml:space="preserve">v17 ITEM 2 CHECKS (2026-09-26) — Terminal steady state 2031E-2035E</t>
  </si>
  <si>
    <t xml:space="preserve">EPS CAGR 2030E→2035E (=  (L21/G21)^(1/5) - 1)</t>
  </si>
  <si>
    <t xml:space="preserve">Terminal g (Drivers!B397)</t>
  </si>
  <si>
    <t xml:space="preserve">ROE 2030E (NI attrib G19 / avg equity (F46+G46)/2)</t>
  </si>
  <si>
    <t xml:space="preserve">Payout ratio 2030E (Div+Buyback)/NI = (-G74-G73)/G19</t>
  </si>
  <si>
    <t xml:space="preserve">Retention 2030E = 1 - Payout</t>
  </si>
  <si>
    <t xml:space="preserve">ROE × retention (max sustainable growth in constant capital structure)</t>
  </si>
  <si>
    <t xml:space="preserve">CAGR sits in [g, ROE×retention]? (should be TRUE)</t>
  </si>
  <si>
    <t xml:space="preserve">D/(D+E) ratio target = 2030E value</t>
  </si>
  <si>
    <t xml:space="preserve">D/(D+E) actual 2031E-2035E (target held approximately if within ±2% of B92)</t>
  </si>
  <si>
    <t xml:space="preserve">D/(D+E) delta from 2030E target (H-L)</t>
  </si>
  <si>
    <t xml:space="preserve">v23 ITEM 1 GATES (2026-09-28) — Terminal state 2031E-2035E bottom-up</t>
  </si>
  <si>
    <t xml:space="preserve">Implied LPI 2031E-2035E (Legacy Cohort J46:N46)</t>
  </si>
  <si>
    <t xml:space="preserve">Terminal_LPI driver (Drivers!C704)</t>
  </si>
  <si>
    <t xml:space="preserve">Total cars: Legacy cohorts + base + Acquired Pool</t>
  </si>
  <si>
    <t xml:space="preserve">Car-count YoY growth</t>
  </si>
  <si>
    <t xml:space="preserve">Terminal_fleet_growth driver (Drivers!C705)</t>
  </si>
  <si>
    <t xml:space="preserve">Organic capex 2030E-2035E ($M)</t>
  </si>
  <si>
    <t xml:space="preserve">Capex YoY %</t>
  </si>
  <si>
    <t xml:space="preserve">|Capex YoY| max — must be ≤ 15%</t>
  </si>
  <si>
    <t xml:space="preserve">D/(D+E) actual 2030E-2035E</t>
  </si>
  <si>
    <t xml:space="preserve">D/(D+E) target (Drivers!C709 = 2030E ratio)</t>
  </si>
  <si>
    <t xml:space="preserve">D/(D+E) delta from target (pp)</t>
  </si>
  <si>
    <t xml:space="preserve">Revolver / Net new issuance 2031E-2035E (row 82) — grows every year? BAD</t>
  </si>
  <si>
    <t xml:space="preserve">Revenue 2030E-2035E</t>
  </si>
  <si>
    <t xml:space="preserve">NI attrib 2030E-2035E</t>
  </si>
  <si>
    <t xml:space="preserve">EPS 2030E-2035E</t>
  </si>
  <si>
    <t xml:space="preserve">EPS CAGR 2030E-&gt;2035E</t>
  </si>
  <si>
    <t xml:space="preserve">Lower bound: Terminal_fleet_growth + Terminal_LPI</t>
  </si>
  <si>
    <t xml:space="preserve">Upper bound: ROE 2030E × retention 2030E</t>
  </si>
  <si>
    <t xml:space="preserve">EPS CAGR within [lower, upper]?</t>
  </si>
  <si>
    <t xml:space="preserve">DEBT &amp; INTEREST — Q2 10-Q p.42 ladder rolled forward</t>
  </si>
  <si>
    <t xml:space="preserve">Debt roll: BOP − maturities + refinancing at Drivers!New_issue_rate + net new issuance (from cash plug).</t>
  </si>
  <si>
    <t xml:space="preserve">Interest expense = (BOP + EOP)/2 × Fixed_cost_of_debt. FY2026 gate: within 3% of $588.0M (H1 $294.0M × 2).</t>
  </si>
  <si>
    <t xml:space="preserve">MATURITY LADDER (10-Q p.42)</t>
  </si>
  <si>
    <t xml:space="preserve">2026 rem</t>
  </si>
  <si>
    <t xml:space="preserve">2027</t>
  </si>
  <si>
    <t xml:space="preserve">2028</t>
  </si>
  <si>
    <t xml:space="preserve">2029</t>
  </si>
  <si>
    <t xml:space="preserve">2030</t>
  </si>
  <si>
    <t xml:space="preserve">Thereafter</t>
  </si>
  <si>
    <t xml:space="preserve">Recourse debt maturities</t>
  </si>
  <si>
    <t xml:space="preserve">Interest scheduled (10-Q p.42)</t>
  </si>
  <si>
    <t xml:space="preserve">DEBT ROLL ($M) — BOP − maturities + refi + net new (from cash plug)</t>
  </si>
  <si>
    <t xml:space="preserve">Total debt BOP</t>
  </si>
  <si>
    <t xml:space="preserve">Less: maturities</t>
  </si>
  <si>
    <t xml:space="preserve">Plus: refinancing at New_issue_rate</t>
  </si>
  <si>
    <t xml:space="preserve">Net new issuance (cash plug from CFS)</t>
  </si>
  <si>
    <t xml:space="preserve">Total debt EOP</t>
  </si>
  <si>
    <t xml:space="preserve">Average debt balance</t>
  </si>
  <si>
    <t xml:space="preserve">Non-GABX debt (fixed rate)</t>
  </si>
  <si>
    <t xml:space="preserve">GABX debt (floating, mostly hedged)</t>
  </si>
  <si>
    <t xml:space="preserve">Interest expense (Non-GABX×fixed + GABX×float; net float hedged flat)</t>
  </si>
  <si>
    <t xml:space="preserve">GATE: 2026E within 3% of -$588.0M (H1 $294.0M × 2)</t>
  </si>
  <si>
    <t xml:space="preserve">Kill test delta 2027: 6.00% on 2027 refi + growth only</t>
  </si>
  <si>
    <t xml:space="preserve">Sensitivity: substitute Kill (6.00%) for New_issue_rate (5.30%) moves only the refi + growth tranche, not the full debt stack.</t>
  </si>
  <si>
    <t xml:space="preserve">FIXED / FLOATING BREAKOUT (10-Q p.42)</t>
  </si>
  <si>
    <t xml:space="preserve">Q2 2026</t>
  </si>
  <si>
    <t xml:space="preserve">Fixed debt</t>
  </si>
  <si>
    <t xml:space="preserve">Floating debt (gross)</t>
  </si>
  <si>
    <t xml:space="preserve">  Less: cash-flow hedges (SOFR fixed)</t>
  </si>
  <si>
    <t xml:space="preserve">Net floating exposure</t>
  </si>
  <si>
    <t xml:space="preserve">[note] refers to Drivers!Net_floating_exposure (audit link)</t>
  </si>
  <si>
    <t xml:space="preserve">Fair-value hedges (float on fixed)</t>
  </si>
  <si>
    <t xml:space="preserve">Weighted fixed coupon</t>
  </si>
  <si>
    <t xml:space="preserve">Floating all-in rate (SOFR + spread)</t>
  </si>
  <si>
    <t xml:space="preserve">Memo: net-float interest sensitivity (Δ100bp)</t>
  </si>
  <si>
    <t xml:space="preserve">$M / 100bp move in SOFR on net_floating exposure (post-hedge).</t>
  </si>
  <si>
    <t xml:space="preserve">2030 REFI EFFECT BREAKOUT (v9 Section 3, 2026-09-25)</t>
  </si>
  <si>
    <t xml:space="preserve">FY2030 interest ex-2030-refi (i.e., pre-2030 refi state)</t>
  </si>
  <si>
    <t xml:space="preserve">2030 refi effect — $2,576M maturity × (New_issue_rate − old coupon)</t>
  </si>
  <si>
    <t xml:space="preserve">2030 refi effect — GABX term loan × (New_issue_rate − GABX_rate)</t>
  </si>
  <si>
    <t xml:space="preserve">Total 2030 interest = ex-refi + $2,576M refi + GABX refi (check = row 19 col G)</t>
  </si>
  <si>
    <t xml:space="preserve">Delta memo total vs Row 19 (must be 0)</t>
  </si>
  <si>
    <t xml:space="preserve">v23 (2026-09-28): TERMINAL STATE 2031E-2035E — Total debt EOP (row 27 J:N) target-driven to hold D/(D+E) at Drivers!C709 (2030E ratio). Non-GABX debt (row 29) = row 27 - row 30 (GABX held flat). Net new issuance (row 26) = EOP - BOP. Interest (row 31) = 2030E blended rate × average debt. Revolver/plug from 3SF row 82 now equals target-driven issuance from Debt sheet; cash EOP (3SF row 36 J:N) becomes the natural balance-sheet plug, floating with CFO+CFI+CFF flows.</t>
  </si>
  <si>
    <t xml:space="preserve">Memo: v23 target-leverage debt (retired v25: unstable with residual payouts)</t>
  </si>
  <si>
    <t xml:space="preserve">D/(D+E) by year (output only — no target)</t>
  </si>
  <si>
    <t xml:space="preserve">Net debt / EBITDA by year (output only — no target)</t>
  </si>
  <si>
    <t xml:space="preserve">v36 LEGACY FLEET MODEL — disclosed-expiration-driven renewal engine (rows 55-68)</t>
  </si>
  <si>
    <t xml:space="preserve">v36: engine builds forward from 2025A anchor (Drivers!C45 = 954.2) using disclosed renewal counts × success × expiring-rate × LPI; renewals spread evenly → half year t, half year t+1.</t>
  </si>
  <si>
    <t xml:space="preserve">Target: 2025A cohort revenue = Rail NA lease $1,049.1M − boxcars $58.5M − locos $36.4M = $954.2M (10-K p.31 railcars line).</t>
  </si>
  <si>
    <t xml:space="preserve">v36 2026-10-07: v34/v35 lumpy single-term-per-year timing REVERTED. Rows 20-42 (5-vintage cohort build) retained as REFERENCE ONLY — do not feed D43 anymore.</t>
  </si>
  <si>
    <t xml:space="preserve">v36: rows 21-26 (cohort cars) still feed 3SF!I111:N111 fleet count; rows 29-33 (cohort rates) kept as display; rows 37-42 (cohort rev) now display-only, not summed into D43.</t>
  </si>
  <si>
    <t xml:space="preserve">COHORT CARS (reference only v36; still feeds 3SF fleet count row 111) — 2025A →</t>
  </si>
  <si>
    <t xml:space="preserve">Cohort 2021 cars</t>
  </si>
  <si>
    <t xml:space="preserve">Cohort 2022 cars</t>
  </si>
  <si>
    <t xml:space="preserve">Cohort 2023 cars</t>
  </si>
  <si>
    <t xml:space="preserve">Cohort 2024 cars</t>
  </si>
  <si>
    <t xml:space="preserve">Cohort 2025 cars</t>
  </si>
  <si>
    <t xml:space="preserve">Legacy base fleet cars</t>
  </si>
  <si>
    <t xml:space="preserve">RATES ($/car/yr) — factor × pre-rate for the 5 cohorts; base held flat</t>
  </si>
  <si>
    <t xml:space="preserve">Cohort 2021 rate</t>
  </si>
  <si>
    <t xml:space="preserve">Cohort 2022 rate</t>
  </si>
  <si>
    <t xml:space="preserve">Cohort 2023 rate</t>
  </si>
  <si>
    <t xml:space="preserve">Cohort 2024 rate</t>
  </si>
  <si>
    <t xml:space="preserve">Cohort 2025 rate</t>
  </si>
  <si>
    <t xml:space="preserve">Legacy base rate</t>
  </si>
  <si>
    <t xml:space="preserve">REVENUE BY COHORT (reference only v36; D43 NO LONGER sums these — see new engine rows 55-68)</t>
  </si>
  <si>
    <t xml:space="preserve">Cohort 2021 rev</t>
  </si>
  <si>
    <t xml:space="preserve">Cohort 2022 rev</t>
  </si>
  <si>
    <t xml:space="preserve">Cohort 2023 rev</t>
  </si>
  <si>
    <t xml:space="preserve">Cohort 2024 rev</t>
  </si>
  <si>
    <t xml:space="preserve">Cohort 2025 rev</t>
  </si>
  <si>
    <t xml:space="preserve">Base fleet rev</t>
  </si>
  <si>
    <t xml:space="preserve">LEGACY COHORT REVENUE TOTAL</t>
  </si>
  <si>
    <t xml:space="preserve">CALIBRATION CHECK: 2025A vs target</t>
  </si>
  <si>
    <t xml:space="preserve">v36: delta MUST be ~0 (D65 anchored to Drivers!C45; no calibration factor needed).</t>
  </si>
  <si>
    <t xml:space="preserve">IMPLIED LPI (OUTPUT ROW, v23): year-over-year revenue-per-car growth. Should = Terminal_LPI (2%) in every terminal year since car counts grow separately at Terminal_fleet_growth.</t>
  </si>
  <si>
    <t xml:space="preserve">n/a</t>
  </si>
  <si>
    <t xml:space="preserve">v23 (2026-09-28): terminal years 2031E-2035E — cohort rates (rows 29-33) compound at Terminal_LPI; cars (rows 21-26) compound at Terminal_fleet_growth. Legacy base rate row 34 held flat at Drivers!C22 (existing mechanic). Implied LPI output row 46 now measures revenue-per-car YoY growth to isolate LPI from fleet-count growth.</t>
  </si>
  <si>
    <t xml:space="preserve">2024A=0 (no modeled cohort R1 lands in 2024)</t>
  </si>
  <si>
    <t xml:space="preserve">Cars renewing per year (v34, derived)</t>
  </si>
  <si>
    <t xml:space="preserve">v34: derived from Drivers term-by-year block (rows 788-820). Formula: sum over 5 cohorts of (cars × delta_R1_frac + cars × delta_R2_frac). 2024A reported as 0 since no modeled cohort R1 lands in 2024 (Cohort 2021 R1 = 2025 under term-driven).</t>
  </si>
  <si>
    <t xml:space="preserve">2025A disclosed = 21,500; delta vs modeled (&lt; 15% target)</t>
  </si>
  <si>
    <t xml:space="preserve">--- v36 LEGACY RENEWAL ENGINE: disclosed-expiration-driven; LPI uplift definition ---</t>
  </si>
  <si>
    <t xml:space="preserve">v36 2026-10-07: cars renewing per year sourced from 10-K disclosures (2024A/2025A/2026E) or legacy_fleet × 12 / forward_term (2027E+). Uplift $M = renewed_cars × expiring_rate × LPI; renewals spread evenly through year so half the uplift lands in year t and half in t+1 (carryover). Replaces v34/v35 lumpy single-term-per-year timing (deck slide 5 — superseded).</t>
  </si>
  <si>
    <t xml:space="preserve">2024A (ref)</t>
  </si>
  <si>
    <t xml:space="preserve">Renewal count (cars)</t>
  </si>
  <si>
    <t xml:space="preserve">10-K FY2024 p.XX: "approximately 21,500 tank and freight cars scheduled to expire in 2025"</t>
  </si>
  <si>
    <t xml:space="preserve">10-K FY2025 p.33 (research/coverage/rail/gatx-10ks/GATX-10K-FY2025.pdf): "approximately 13,700 tank and freight cars... scheduled to expire in 2026" (legacy fleet, before Wells pool)</t>
  </si>
  <si>
    <t xml:space="preserve">10-K FY2023 p.XX: "leases for approximately 19,400 tank and freight cars... scheduled to expire in 2024"</t>
  </si>
  <si>
    <t xml:space="preserve">Renewal success rate</t>
  </si>
  <si>
    <t xml:space="preserve">Renewed cars = renewal count × success rate</t>
  </si>
  <si>
    <t xml:space="preserve">Legacy cars on lease (ex-boxcar × utilization)</t>
  </si>
  <si>
    <t xml:space="preserve">LPI (year)</t>
  </si>
  <si>
    <t xml:space="preserve">Expiring rate per car ($/car/yr) = prior-year legacy rev / cars on lease</t>
  </si>
  <si>
    <t xml:space="preserve">Legacy lease revenue ($M) — ENGINE OUTPUT</t>
  </si>
  <si>
    <t xml:space="preserve">Annual rate uplift ($M) = renewed × expiring_rate × LPI / 1e6</t>
  </si>
  <si>
    <t xml:space="preserve">DIAGNOSTIC — cars renewing per year (= row 58)</t>
  </si>
  <si>
    <t xml:space="preserve">ACQUIRED POOL (Wells Fargo) — carry blended rate forward, reprice expiring fraction</t>
  </si>
  <si>
    <t xml:space="preserve">Base: GABX H1 2026 revenue $271.5M half-year (10-Q Note 7 p.11). Full-year 2026E = 271.5 + Q2 run rate × 2.</t>
  </si>
  <si>
    <t xml:space="preserve">Blended rate rises with LPI on expiring fraction only. Cars held flat pending disclosure.</t>
  </si>
  <si>
    <t xml:space="preserve">Acquired pool cars</t>
  </si>
  <si>
    <t xml:space="preserve">Implied rate at close ($/car/yr) = H1 rev × 2 / cars</t>
  </si>
  <si>
    <t xml:space="preserve">Fraction expiring this year</t>
  </si>
  <si>
    <t xml:space="preserve">Blended rate ($/car/yr)</t>
  </si>
  <si>
    <t xml:space="preserve">ACQUIRED POOL REVENUE ($M)</t>
  </si>
  <si>
    <t xml:space="preserve">FY2026E gate: should be ~$543M (H1 $271.5 × 2 = $543M; Q2 was $136.6M × 2 = $273M for H2)</t>
  </si>
  <si>
    <t xml:space="preserve">v17 Item 2 (2026-09-26): 2031E-2035E revenue overrides pool mechanics and grows at Terminal_g (Drivers!B397). Rationale: pool LPI cycle completes by ~2029E; terminal state grows at g by construction.</t>
  </si>
  <si>
    <t xml:space="preserve">v23 (2026-09-28): terminal years 2031E-2035E — cars row 19 compounds at Terminal_fleet_growth; blended rate row 22 compounds at Terminal_LPI × fraction_expiring (same mechanic as 2026-2030 but with terminal LPI). Revenue row 23 is cars × rate / 1e6 (pool mechanics restored, v17 override retired).</t>
  </si>
  <si>
    <t xml:space="preserve">SENSITIVITY: 2027E acquired-pool revenue and 2027E EPS at C176 = 20% / 25% / 30% (v26 1c)</t>
  </si>
  <si>
    <t xml:space="preserve">Fraction expiring</t>
  </si>
  <si>
    <t xml:space="preserve">2027E blended rate ($/car/yr)</t>
  </si>
  <si>
    <t xml:space="preserve">2027E acquired-pool revenue ($M)</t>
  </si>
  <si>
    <t xml:space="preserve">2027E EPS ($/sh, model base + delta rev × (1-tax) / shares)</t>
  </si>
  <si>
    <t xml:space="preserve">Note: base column (E) uses C176=0.25 same as model driver; F and D show effect of ±5pp.</t>
  </si>
  <si>
    <t xml:space="preserve">IDLE-FILL MECHANISM (v38 Phase B, switch=Drivers!C763). Default OFF. Util rises 97%-&gt;99% over 2026E-2030E when switch=1.</t>
  </si>
  <si>
    <t xml:space="preserve">Idle_fill_incremental_cars</t>
  </si>
  <si>
    <t xml:space="preserve">Idle_fill_incremental_rev_$M</t>
  </si>
  <si>
    <t xml:space="preserve">Idle_fill_incremental_maint_$M</t>
  </si>
  <si>
    <t xml:space="preserve">Idle_fill_incremental_pretax_$M (consolidated)</t>
  </si>
  <si>
    <t xml:space="preserve">Idle_fill_GATX_attributable_$M (check figure; NOT fed into Segment P&amp;L)</t>
  </si>
  <si>
    <t xml:space="preserve">GABX MINI P&amp;L — 10-Q Note 7 p.11 direct. FY 2026E = Q1 + Q2 + Q2 × 2 (H2 at Q2 run-rate)</t>
  </si>
  <si>
    <t xml:space="preserve">v9 Section 1 fix (2026-09-25): GABX dispositions on row 10 flow into 3SF row 11 in addition to legacy Disposition Engine. E10=$70M (JV guide, Drivers!B57), F10=$70M (Drivers!B59), G10-I10 built from cars × gain/car anchor (Drivers rows 236-238). See NCI mechanic row 15 removes Brookfield's 70% via GABX_JV_share_GATX (Drivers!B73).</t>
  </si>
  <si>
    <t xml:space="preserve">Q2 net income = $10.8M (Note 7). H1 net income = $1.7M. Q1 = H1 − Q2 = −$9.1M (integration one-time).</t>
  </si>
  <si>
    <t xml:space="preserve">FY 2026E = Q1 + Q2 + (Q2 × 2 for H2) = 2 × Q2 + Q1 = 2 × 10.8 + (−9.1) = $12.5M — NOT H1 × 2.</t>
  </si>
  <si>
    <t xml:space="preserve">FY 2027E = Q2 × 4 for underlying P&amp;L, BUT dispositions use JV $70M guidance (transcript, not Q2×4).</t>
  </si>
  <si>
    <t xml:space="preserve">Q2 2026 (Note 7)</t>
  </si>
  <si>
    <t xml:space="preserve">H1 2026 (Note 7)</t>
  </si>
  <si>
    <t xml:space="preserve">Q1 2026 (derived)</t>
  </si>
  <si>
    <t xml:space="preserve">FY 2026E</t>
  </si>
  <si>
    <t xml:space="preserve">FY 2027E</t>
  </si>
  <si>
    <t xml:space="preserve">FY 2028E</t>
  </si>
  <si>
    <t xml:space="preserve">FY 2029E</t>
  </si>
  <si>
    <t xml:space="preserve">FY 2030E</t>
  </si>
  <si>
    <t xml:space="preserve">FY 2031E</t>
  </si>
  <si>
    <t xml:space="preserve">FY 2032E</t>
  </si>
  <si>
    <t xml:space="preserve">FY 2033E</t>
  </si>
  <si>
    <t xml:space="preserve">FY 2034E</t>
  </si>
  <si>
    <t xml:space="preserve">FY 2035E</t>
  </si>
  <si>
    <t xml:space="preserve">Total expenses (incl. mgmt fee to GATX)</t>
  </si>
  <si>
    <t xml:space="preserve">Net gain on dispositions</t>
  </si>
  <si>
    <t xml:space="preserve">Interest expense</t>
  </si>
  <si>
    <t xml:space="preserve">Income before taxes</t>
  </si>
  <si>
    <t xml:space="preserve">GABX Net Income</t>
  </si>
  <si>
    <t xml:space="preserve">NCI (per-year NCI%, row 18) — v9 Sec 2 rewire</t>
  </si>
  <si>
    <t xml:space="preserve">GATX ownership % (v9 Sec 2)</t>
  </si>
  <si>
    <t xml:space="preserve">NCI % (= 1 − ownership)</t>
  </si>
  <si>
    <t xml:space="preserve">Tranche cash paid to Brookfield ($M)</t>
  </si>
  <si>
    <t xml:space="preserve">Memo: NCI mechanic now uses per-year NCI% (row 18) — row 15 formulas rewired</t>
  </si>
  <si>
    <t xml:space="preserve">SEGMENT P&amp;L — 2025A from 10-K; forward driven by Legacy Cohort + Acquired Pool</t>
  </si>
  <si>
    <t xml:space="preserve">RAIL NORTH AMERICA</t>
  </si>
  <si>
    <t xml:space="preserve">Legacy cohort lease revenue</t>
  </si>
  <si>
    <t xml:space="preserve">Acquired (Wells Fargo) lease revenue</t>
  </si>
  <si>
    <t xml:space="preserve">Total Rail NA lease revenue</t>
  </si>
  <si>
    <t xml:space="preserve">Rail NA other revenue</t>
  </si>
  <si>
    <t xml:space="preserve">Total Rail NA revenue</t>
  </si>
  <si>
    <t xml:space="preserve">RAIL INTERNATIONAL</t>
  </si>
  <si>
    <t xml:space="preserve">Total Rail Intl revenue</t>
  </si>
  <si>
    <t xml:space="preserve">ENGINE LEASING</t>
  </si>
  <si>
    <t xml:space="preserve">Lease revenue (GEL)</t>
  </si>
  <si>
    <t xml:space="preserve">Total Engine Leasing revenue</t>
  </si>
  <si>
    <t xml:space="preserve">OTHER</t>
  </si>
  <si>
    <t xml:space="preserve">CONSOLIDATED TOTAL REVENUE</t>
  </si>
  <si>
    <t xml:space="preserve">Memo: Mgmt fee — JV (already in row 8 Rail NA other rev)</t>
  </si>
  <si>
    <t xml:space="preserve">Memo: Mgmt fee — Brookfield-book (already in row 8 Rail NA other rev)</t>
  </si>
  <si>
    <t xml:space="preserve">v10 Fix 1 (2026-09-25): Rail NA other rev 2026E anchored to $160M (H1 $80.0M × 2, release line 157). Mgmt fees are memo only — the $80M H1 actual already includes them. Prior v9 formula double-counted by adding fees on top of anchor.</t>
  </si>
  <si>
    <t xml:space="preserve">Idle fill upside (switch controlled) — consolidated pretax $M</t>
  </si>
  <si>
    <t xml:space="preserve">v38 note: row 42 is a switch-controlled memo. With switch (Drivers!C763)=0 the row is identically zero and v37 outputs are preserved to the cent. Phase B 2026-10-08.</t>
  </si>
  <si>
    <t xml:space="preserve">GATX DISPOSITION ENGINE (v9, added 2026-09-24)</t>
  </si>
  <si>
    <t xml:space="preserve">Rail NA ex boxcars. Formulas only. Inputs → Drivers rows 201-233.</t>
  </si>
  <si>
    <t xml:space="preserve">SECTION A — HISTORICAL CARS &amp; GAINS</t>
  </si>
  <si>
    <t xml:space="preserve">Cars sold (Rail NA ex boxcars)</t>
  </si>
  <si>
    <t xml:space="preserve">Cars scrapped</t>
  </si>
  <si>
    <t xml:space="preserve">Consolidated net gain on dispositions ($M, all segments)</t>
  </si>
  <si>
    <t xml:space="preserve">Rail NA remarketing gains ($M) — dispo of owned + residual sharing</t>
  </si>
  <si>
    <t xml:space="preserve">Rail NA non-remarketing gains ($M) — scrapping</t>
  </si>
  <si>
    <t xml:space="preserve">Rail NA asset impairments ($M)</t>
  </si>
  <si>
    <t xml:space="preserve">Gain per car sold ($/car) = remarketing gains / cars sold</t>
  </si>
  <si>
    <t xml:space="preserve">Scrap gain per car ($/car) = non-remarketing / cars scrapped</t>
  </si>
  <si>
    <t xml:space="preserve">2023-2025 average gain per car sold ($/car)</t>
  </si>
  <si>
    <t xml:space="preserve">2023-2025 average scrap gain per car ($/car)</t>
  </si>
  <si>
    <t xml:space="preserve">SECTION B — SCRAP VALUE FLOOR</t>
  </si>
  <si>
    <t xml:space="preserve">Scrap steel price ($/ton)</t>
  </si>
  <si>
    <t xml:space="preserve">Avg car weight (tons)</t>
  </si>
  <si>
    <t xml:space="preserve">Scrap value per car ($/car) = price × weight</t>
  </si>
  <si>
    <t xml:space="preserve">SECTION C — FORECAST 2026E-2030E</t>
  </si>
  <si>
    <t xml:space="preserve">Cars sold (Drivers, base = 2025)</t>
  </si>
  <si>
    <t xml:space="preserve">Cars scrapped (Drivers, base = 2025)</t>
  </si>
  <si>
    <t xml:space="preserve">Gain per car sold ($/car) = toggle×avg + (1−toggle)×2025_level</t>
  </si>
  <si>
    <t xml:space="preserve">Scrap gain per car ($/car) = MAX(toggle×avg+(1−toggle)×2025, scrap floor)</t>
  </si>
  <si>
    <t xml:space="preserve">Rail NA remarketing gains ($M) = cars sold × gain per car / 1e6</t>
  </si>
  <si>
    <t xml:space="preserve">Rail NA non-remarketing gains ($M) = cars scrapped × scrap gain per car / 1e6</t>
  </si>
  <si>
    <t xml:space="preserve">Rail NA total dispositions ($M) = remarketing + non-remarketing</t>
  </si>
  <si>
    <t xml:space="preserve">Non-RailNA dispositions ($M) — Rail Intl + EL + Other (flat assumption)</t>
  </si>
  <si>
    <t xml:space="preserve">Legacy net gain on dispositions ($M) — GABX added in 3SF row 11</t>
  </si>
  <si>
    <t xml:space="preserve">SECTION D — RECONCILIATION TO 2026 GUIDANCE (v10 Fix 3 rewrite)</t>
  </si>
  <si>
    <t xml:space="preserve">Guidance 2026 legacy ($M)</t>
  </si>
  <si>
    <t xml:space="preserve">Model 2026 LEGACY ($M) — Rail NA + non-RailNA (excludes GABX)</t>
  </si>
  <si>
    <t xml:space="preserve">Delta legacy: model − guidance ($M)</t>
  </si>
  <si>
    <t xml:space="preserve">Legacy note: H1 2026 legacy net gain on disposition = ~$94M (Bob Lyons, Q2 call pg 3). Mgmt language: "running ahead of where we thought we would be on the legacy portfolio through the first six months, and we'll probably exceed [$130M] a little bit." Model $154.9M is running ahead consistent with mgmt.</t>
  </si>
  <si>
    <t xml:space="preserve">Guidance 2026 consolidated ($M) = legacy + JV</t>
  </si>
  <si>
    <t xml:space="preserve">Model 2026 CONSOLIDATED ($M) = legacy engine + GABX row 10</t>
  </si>
  <si>
    <t xml:space="preserve">Delta consolidated: model − guidance ($M)</t>
  </si>
  <si>
    <t xml:space="preserve">MEMO — 2026 dispositions AT 2023-2025 average gain per car (toggle = 1)</t>
  </si>
  <si>
    <t xml:space="preserve">Rail NA remarketing @ avg ($M) = 2026 cars sold × avg gain / 1e6</t>
  </si>
  <si>
    <t xml:space="preserve">Rail NA non-remarketing @ avg ($M) = 2026 cars scrapped × MAX(avg,floor) / 1e6</t>
  </si>
  <si>
    <t xml:space="preserve">Non-RailNA @ 2025 flat ($M)</t>
  </si>
  <si>
    <t xml:space="preserve">Consolidated @ 2023-2025 avg ($M)</t>
  </si>
  <si>
    <t xml:space="preserve">Delta (avg-based − guidance) ($M)</t>
  </si>
  <si>
    <t xml:space="preserve">v17 Item 2 (2026-09-26): Disposition Engine row 32 columns G:K (2031E-2035E) overridden to grow at Terminal_g (Drivers!B397). Rationale: fleet grows at g → dispositions scale with fleet in real terms. Sub-component rows 28-31 in those columns still compute per cohort mechanic but no longer sum to row 32. Base (2030E, col F) retains cohort-driven value; growth applies from 2030E.</t>
  </si>
  <si>
    <t xml:space="preserve">GATX FSM v6 — THESIS TEST</t>
  </si>
  <si>
    <t xml:space="preserve">Formulas only; every input links to Drivers or a prior model sheet. No literals.</t>
  </si>
  <si>
    <t xml:space="preserve">SECTION A — EARNINGS SOURCES vs USES ($M)</t>
  </si>
  <si>
    <t xml:space="preserve">1. Repricing uplift (ΔLegacy + AP blended rate delta × cars)</t>
  </si>
  <si>
    <t xml:space="preserve">1a. Acquired base (WFR acquisition step-in, 2026E only)</t>
  </si>
  <si>
    <t xml:space="preserve">2. Legacy dispositions + GATX's 33.5% share of GABX JV gains (attributable to GATX)</t>
  </si>
  <si>
    <t xml:space="preserve">3. RRPF dividends received</t>
  </si>
  <si>
    <t xml:space="preserve">4. Interest expense vs 2025A base (use)</t>
  </si>
  <si>
    <t xml:space="preserve">5. Refinancing cost (maturities × Δrate)</t>
  </si>
  <si>
    <t xml:space="preserve">6. Net (sources − uses) [row6+row7+row8+row9−row10−row11]</t>
  </si>
  <si>
    <t xml:space="preserve">7. Cumulative net</t>
  </si>
  <si>
    <t xml:space="preserve">Notes v7: Row 6 = repricing ONLY (delta legacy + delta AP rate × cars). Row 7 = one-time WFR acquisition step-in for 2026E. Row 8 uses Drivers!GABX_NCI_share (0.7) for GABX NCI share. Row 11 uses Drivers!Weighted_fixed_coupon as the 'old' rate for Δrate.</t>
  </si>
  <si>
    <t xml:space="preserve">SECTION B — 2027E EPS SENSITIVITY (7×7 grid)</t>
  </si>
  <si>
    <t xml:space="preserve">Linear approximation around the base case (LPI = base 15%, rate = 5.30% new issue).</t>
  </si>
  <si>
    <t xml:space="preserve">LPI 2027 delta ↓  /  New-issue rate →</t>
  </si>
  <si>
    <t xml:space="preserve">Shaded: 5.30% new-issue column (base) and 6.00% column (kill test); 0% LPI row is base. Center cell = model base-case 2027E EPS.</t>
  </si>
  <si>
    <t xml:space="preserve">SECTION C — BREAK-EVEN &amp; KILL TEST</t>
  </si>
  <si>
    <t xml:space="preserve">Break-even LPI 2027 (solve Row 6 + 7 + 8 + 9 = 10 + 11)</t>
  </si>
  <si>
    <t xml:space="preserve">Algebra: LPI = (Row10 + Row11 - Row7 - Row8 - Row9 - Row6_ex_LPI) / (cars_renewing × expiring_rate × phasing) — every term links to Drivers or the Acquired Pool / Legacy Cohort sheets.</t>
  </si>
  <si>
    <t xml:space="preserve">2027E EPS at 6.00% new-issue rate (Kill test)</t>
  </si>
  <si>
    <t xml:space="preserve">Break-even is solved algebraically from Section A rows 6-11 (2027E col C). Kill test moves 6.00% only through the refi + net-new issuance component (not the entire debt stack).</t>
  </si>
  <si>
    <t xml:space="preserve">GATX FSM v8 — VALUATION</t>
  </si>
  <si>
    <t xml:space="preserve">Formulas only. Every input is a Drivers cell with citation. P/E and P/B triangulation, 3-scenario probability-weighted target, and M38 implied-metric decomposition (see Section D).</t>
  </si>
  <si>
    <t xml:space="preserve">Reference stats (computed with formulas over source series)</t>
  </si>
  <si>
    <t xml:space="preserve">GATX NTM P/E — 10y daily distribution</t>
  </si>
  <si>
    <t xml:space="preserve">Series source</t>
  </si>
  <si>
    <t xml:space="preserve">GATX-NTM-PE-10y-2026-09-21.xlsx!Worksheet!D2:D2607 (2606 daily obs, 2016-09-26 to 2026-09-21)</t>
  </si>
  <si>
    <t xml:space="preserve">NTM P/E 25th pct</t>
  </si>
  <si>
    <t xml:space="preserve">NTM P/E median</t>
  </si>
  <si>
    <t xml:space="preserve">NTM P/E 75th pct</t>
  </si>
  <si>
    <t xml:space="preserve">NTM P/E current (2026-09-21)</t>
  </si>
  <si>
    <t xml:space="preserve">Peer NTM P/E median (AER, WLFC, TRN, GBX)</t>
  </si>
  <si>
    <t xml:space="preserve">Peer P/B median (AER, WLFC, TRN, GBX)</t>
  </si>
  <si>
    <t xml:space="preserve">GATX 25y P/B — low</t>
  </si>
  <si>
    <t xml:space="preserve">GATX 25y P/B — median</t>
  </si>
  <si>
    <t xml:space="preserve">GATX 25y P/B — high</t>
  </si>
  <si>
    <t xml:space="preserve">Current price</t>
  </si>
  <si>
    <t xml:space="preserve">BVPS 2026E ($ per sh)</t>
  </si>
  <si>
    <t xml:space="preserve">BVPS 2027E ($ per sh)</t>
  </si>
  <si>
    <t xml:space="preserve">SECTION A — P/E VALUATION GRID</t>
  </si>
  <si>
    <t xml:space="preserve">EPS ($) \ Multiple (x)</t>
  </si>
  <si>
    <t xml:space="preserve">25th pct</t>
  </si>
  <si>
    <t xml:space="preserve">Median</t>
  </si>
  <si>
    <t xml:space="preserve">75th pct</t>
  </si>
  <si>
    <t xml:space="preserve">Current</t>
  </si>
  <si>
    <t xml:space="preserve">Peer median</t>
  </si>
  <si>
    <t xml:space="preserve">Multiple value (link)</t>
  </si>
  <si>
    <t xml:space="preserve">Model 2027E EPS</t>
  </si>
  <si>
    <t xml:space="preserve">Consensus 2027E EPS</t>
  </si>
  <si>
    <t xml:space="preserve">DCF (Gordon TV): bear = DCF!D121 (WACC +100bps), base = DCF!B106, bull = DCF!D113 (WACC -100bps) — equity/sh after bridge</t>
  </si>
  <si>
    <t xml:space="preserve">% upside vs current price</t>
  </si>
  <si>
    <t xml:space="preserve">Model 2027E EPS → % upside</t>
  </si>
  <si>
    <t xml:space="preserve">Consensus 2027E EPS → % upside</t>
  </si>
  <si>
    <t xml:space="preserve">DCF → % upside vs current</t>
  </si>
  <si>
    <t xml:space="preserve">FCFE base (Gordon perpetuity, PRIMARY per-share)</t>
  </si>
  <si>
    <t xml:space="preserve">SECTION B — P/B CROSS-CHECK</t>
  </si>
  <si>
    <t xml:space="preserve">FCFE base → % upside vs current</t>
  </si>
  <si>
    <t xml:space="preserve">BVPS ($) \ P/B (x)</t>
  </si>
  <si>
    <t xml:space="preserve">GATX 25y low</t>
  </si>
  <si>
    <t xml:space="preserve">GATX 25y median</t>
  </si>
  <si>
    <t xml:space="preserve">GATX 25y high</t>
  </si>
  <si>
    <t xml:space="preserve">BVPS 2026E</t>
  </si>
  <si>
    <t xml:space="preserve">BVPS 2027E</t>
  </si>
  <si>
    <t xml:space="preserve">Target comparison — P/E (2027E model @ NTM median) vs P/B (2027E BVPS @ GATX 25y median):</t>
  </si>
  <si>
    <t xml:space="preserve">P/E method target</t>
  </si>
  <si>
    <t xml:space="preserve">P/B method target</t>
  </si>
  <si>
    <t xml:space="preserve">Difference (P/E − P/B, $)</t>
  </si>
  <si>
    <t xml:space="preserve">Note</t>
  </si>
  <si>
    <t xml:space="preserve">If P/E and P/B disagree by more than ~10%, the models are pricing different things: P/E capitalizes earnings visibility; P/B capitalizes book equity growth. The wider gap = more sensitivity to whichever multiple you weight.</t>
  </si>
  <si>
    <t xml:space="preserve">SECTION C — 3-SCENARIO PROBABILITY-WEIGHTED TARGET</t>
  </si>
  <si>
    <t xml:space="preserve">SECTION C v27 rewire: Bear/Bull EPS now link to Section C1 snapshot block; Thesis Test linear grid superseded by scenario snapshots for the target.</t>
  </si>
  <si>
    <t xml:space="preserve">Case</t>
  </si>
  <si>
    <t xml:space="preserve">EPS source cell</t>
  </si>
  <si>
    <t xml:space="preserve">EPS ($)</t>
  </si>
  <si>
    <t xml:space="preserve">Multiple (x)</t>
  </si>
  <si>
    <t xml:space="preserve">Price ($)</t>
  </si>
  <si>
    <t xml:space="preserve">Probability</t>
  </si>
  <si>
    <t xml:space="preserve">Weighted price</t>
  </si>
  <si>
    <t xml:space="preserve">'Thesis Test'!E21 × 25th pct NTM P/E</t>
  </si>
  <si>
    <t xml:space="preserve">'3 Statement Forecast'!D21 × NTM median</t>
  </si>
  <si>
    <t xml:space="preserve">'Thesis Test'!B27 × 75th pct NTM P/E</t>
  </si>
  <si>
    <t xml:space="preserve">DCF!B_price (Gordon TV, PRIMARY per-share)</t>
  </si>
  <si>
    <t xml:space="preserve">Probability-weighted target</t>
  </si>
  <si>
    <t xml:space="preserve">Upside vs current price</t>
  </si>
  <si>
    <t xml:space="preserve">Weighted target INCLUDING DCF and FCFE (if either Prob_weight &gt; 0)</t>
  </si>
  <si>
    <t xml:space="preserve">Weighted target EXCLUDING DCF (P/E only, preserves existing)</t>
  </si>
  <si>
    <t xml:space="preserve">SECTION D — WHAT THE PRICE IMPLIES (M38)</t>
  </si>
  <si>
    <t xml:space="preserve">M38 rule (shortened):</t>
  </si>
  <si>
    <t xml:space="preserve">(1) Invert at the CURRENT market price, not the analyst's target. (2) Use reference multiples the analyst did NOT choose (subject's own historical distribution, sector or matched-comp medians). (3) On a matched basis (NTM to NTM, forward-year to forward-year). (4) Decompose total return into multiple contribution, earnings contribution, and dividend yield.</t>
  </si>
  <si>
    <t xml:space="preserve">GATX 10y median NTM P/E (reference the analyst did NOT choose as target multiple)</t>
  </si>
  <si>
    <t xml:space="preserve">Implied 2027 EPS at median = Current price / GATX 10y median NTM P/E</t>
  </si>
  <si>
    <t xml:space="preserve">Gap $ = Model EPS − Implied EPS at median</t>
  </si>
  <si>
    <t xml:space="preserve">1pp LPI sensitivity on 2027 EPS ($/sh per +1pp LPI, from Thesis Test grid @ 5.30% base rate)</t>
  </si>
  <si>
    <t xml:space="preserve">Gap in LPI points = Gap $ / 1pp LPI sensitivity</t>
  </si>
  <si>
    <t xml:space="preserve">Decomposition — total return from current price to analyst target</t>
  </si>
  <si>
    <t xml:space="preserve">Analyst target multiple (uses P/E method target from Section A: model 2027E EPS × NTM median)</t>
  </si>
  <si>
    <t xml:space="preserve">Current implied 2027 multiple = Current price / Consensus 2027 EPS</t>
  </si>
  <si>
    <t xml:space="preserve">Multiple contribution to target return = (Target multiple − Current implied multiple) / Current implied multiple</t>
  </si>
  <si>
    <t xml:space="preserve">Earnings contribution = (Model 2027 EPS − Consensus 2027 EPS) / Consensus 2027 EPS</t>
  </si>
  <si>
    <t xml:space="preserve">Dividend yield (NTM 2027E)</t>
  </si>
  <si>
    <t xml:space="preserve">Total return decomposition (multiple + earnings + dividend)</t>
  </si>
  <si>
    <t xml:space="preserve">M38 re-read — DCF-implied vs P/E-implied 2027 EPS</t>
  </si>
  <si>
    <t xml:space="preserve">DCF-implied per-share value (Gordon, base)</t>
  </si>
  <si>
    <t xml:space="preserve">P/E-implied per-share value (median × Model 2027 EPS)</t>
  </si>
  <si>
    <t xml:space="preserve">Gap DCF vs P/E-implied ($/sh)</t>
  </si>
  <si>
    <t xml:space="preserve">FCFE base (Gordon perpetuity per FCFE!B62)</t>
  </si>
  <si>
    <t xml:space="preserve">FCFE!B62 direct link</t>
  </si>
  <si>
    <t xml:space="preserve">Weighted target INCLUDING FCFE (P/E + FCFE, excludes DCF)</t>
  </si>
  <si>
    <t xml:space="preserve">NAV/sh (after DT, v21 vintage-based)</t>
  </si>
  <si>
    <t xml:space="preserve">NAV!D168 (v21 vintage-based, after deferred tax)</t>
  </si>
  <si>
    <t xml:space="preserve">RI/sh (v21 corrected formula: NI − Ke × opening book)</t>
  </si>
  <si>
    <t xml:space="preserve">'Residual Income'!D45 (RI value per share)</t>
  </si>
  <si>
    <t xml:space="preserve">Peer-fitted price (P/B = a + b × ROE, PURE-LESSOR set ex-builders, v21)</t>
  </si>
  <si>
    <t xml:space="preserve">'Peer P-B vs ROE'!D41 (fitted P/B × BVPS 2027E)</t>
  </si>
  <si>
    <t xml:space="preserve">v17 ITEM 3 (2026-09-26) — RRPF AT VALUE: DECISION</t>
  </si>
  <si>
    <t xml:space="preserve">Method selected (Drivers!B572)</t>
  </si>
  <si>
    <t xml:space="preserve">Selected value ($M) (Drivers!B577)</t>
  </si>
  <si>
    <t xml:space="preserve">RRPF book value ($M) (Drivers!B404)</t>
  </si>
  <si>
    <t xml:space="preserve">RRPF above book per share ($) = (selected − book) / diluted shares</t>
  </si>
  <si>
    <t xml:space="preserve">Decision: DO NOT add RRPF above-book uplift to P/E scenarios.</t>
  </si>
  <si>
    <t xml:space="preserve">Reason: P/E multiples applied to model 2027E EPS already include RRPF affiliate income (3SF row 16 'Share of affiliates, net of tax' flows into net income; $150M/yr, ~$4.20/sh). Adding the RRPF at-value uplift on top of a P/E scenario would double-count. This mirrors dcf-judgment-calls.md §7: 'Do not add the affiliate back AND include its dividends in UFCF. One or the other.' The DCF bridge already handles RRPF at value correctly (RRPF income is excluded from UFCF via B58 add-back; then B101 adds RRPF at value in the bridge).</t>
  </si>
  <si>
    <t xml:space="preserve">'RRPF at value: with' vs 'without' — since P/E scenarios are unchanged, Valuation!G57 (existing weighted target) is BOTH the 'with' and 'without' cell. Rating!B6 reads =Valuation!G57.</t>
  </si>
  <si>
    <t xml:space="preserve">Weighted target WITHOUT RRPF P/E uplift (link G57, unchanged)</t>
  </si>
  <si>
    <t xml:space="preserve">Weighted target WITH hypothetical RRPF uplift on P/E (= G57 + B99, memo only — NOT used in Rating!B6)</t>
  </si>
  <si>
    <t xml:space="preserve">Rating!B6 reads: Valuation!G57 (WITHOUT uplift). Confirmed unchanged (Rating unchanged; rating stays HOLD).</t>
  </si>
  <si>
    <t xml:space="preserve">SECTION E — EARNINGS QUALITY (v20, 2026-09-27)</t>
  </si>
  <si>
    <t xml:space="preserve">Pretax income ($M) — 3SF row 26 + row 28 (incl. affiliates)</t>
  </si>
  <si>
    <t xml:space="preserve">Net gain on asset dispositions ($M) — 3SF row 23</t>
  </si>
  <si>
    <t xml:space="preserve">Gains as % of pretax</t>
  </si>
  <si>
    <t xml:space="preserve">Diluted EPS ($/sh) — 3SF row 33</t>
  </si>
  <si>
    <t xml:space="preserve">Effective tax rate (Drivers)</t>
  </si>
  <si>
    <t xml:space="preserve">Core EPS ex-gains ($/sh) [FLOOR — assumes remarketing stops]</t>
  </si>
  <si>
    <t xml:space="preserve">Core P/E at current price = Drivers!$C$179 / Core EPS</t>
  </si>
  <si>
    <t xml:space="preserve">RRPF affiliate income ($M) — 3SF row 28</t>
  </si>
  <si>
    <t xml:space="preserve">RRPF income % of pretax</t>
  </si>
  <si>
    <t xml:space="preserve">Note: 2023A/2024A pretax not on 3SF (starts 2025A). See Historicals for prior years; gains 41.7/105.9 from Disposition Engine row 20.</t>
  </si>
  <si>
    <t xml:space="preserve">v20 — NAV per share (after DT)</t>
  </si>
  <si>
    <t xml:space="preserve">NAV!D65 (NAV/sh after deferred tax)</t>
  </si>
  <si>
    <t xml:space="preserve">v20 — Residual Income per share</t>
  </si>
  <si>
    <t xml:space="preserve">'Residual Income'!D45</t>
  </si>
  <si>
    <t xml:space="preserve">v20 — Peer-fitted P/B price</t>
  </si>
  <si>
    <t xml:space="preserve">'Peer P-B vs ROE'!D41</t>
  </si>
  <si>
    <t xml:space="preserve">v20 memo — Weighted target INCLUDING NAV+RI+Peer (if weights &gt; 0)</t>
  </si>
  <si>
    <t xml:space="preserve">v20 memo — Weighted target with v20 methods vs v19 target (must equal I69 when weights=0)</t>
  </si>
  <si>
    <t xml:space="preserve">v21 — Normalized (6-yr avg) gains ($M) — recurring remarketing base</t>
  </si>
  <si>
    <t xml:space="preserve">v21 — Gains delta ($M) = actual − normalized (positive = over-earned by remarketing)</t>
  </si>
  <si>
    <t xml:space="preserve">v21 — EPS at normalized gains ($/sh) = EPS − (delta × (1−tax)) / shares</t>
  </si>
  <si>
    <t xml:space="preserve">v21 — Core P/E at normalized gains (at $178 price)</t>
  </si>
  <si>
    <t xml:space="preserve">v21 note: remarketing gains are a recurring line for GATX (row 123 shows $112M/$120M/$117M for 2023A-2025A per Historicals). Ex-gains EPS (row 128) is a FLOOR; EPS at normalized gains (row 143) is a mean-reversion BASE. The core P/E on ex-gains is 27-32× (row 129); on normalized gains it is materially lower.</t>
  </si>
  <si>
    <t xml:space="preserve">SECTION C1 — SCENARIO OUTPUTS (recalculated snapshots)</t>
  </si>
  <si>
    <t xml:space="preserve">v27 WO: snapshots recalculated at Scenario_select = 1, 2, 3 on 2026-09-28. Base column MUST equal live cells at selector=2. Staleness check detects drivers changes after snapshot.</t>
  </si>
  <si>
    <t xml:space="preserve">Output</t>
  </si>
  <si>
    <t xml:space="preserve">Bear (=1)</t>
  </si>
  <si>
    <t xml:space="preserve">Base (=2)</t>
  </si>
  <si>
    <t xml:space="preserve">Bull (=3)</t>
  </si>
  <si>
    <t xml:space="preserve">Source &amp; note</t>
  </si>
  <si>
    <t xml:space="preserve">2026E Diluted EPS ($/sh)</t>
  </si>
  <si>
    <t xml:space="preserve">2027E Diluted EPS ($/sh)</t>
  </si>
  <si>
    <t xml:space="preserve">2030E Diluted EPS ($/sh)</t>
  </si>
  <si>
    <t xml:space="preserve">Revenue 2027E ($M)</t>
  </si>
  <si>
    <t xml:space="preserve">Interest 2027E ($M, net)</t>
  </si>
  <si>
    <t xml:space="preserve">Thesis Test net 2027E ($M)</t>
  </si>
  <si>
    <t xml:space="preserve">NAV per share ($/sh)</t>
  </si>
  <si>
    <t xml:space="preserve">Residual income per share ($/sh)</t>
  </si>
  <si>
    <t xml:space="preserve">P/E price at scenario multiple ($/sh)</t>
  </si>
  <si>
    <t xml:space="preserve">Expected 12M return</t>
  </si>
  <si>
    <t xml:space="preserve">SELL</t>
  </si>
  <si>
    <t xml:space="preserve">HOLD</t>
  </si>
  <si>
    <t xml:space="preserve">Source:</t>
  </si>
  <si>
    <t xml:space="preserve">snapshot @ Scenario_select=1 on 2026-09-30</t>
  </si>
  <si>
    <t xml:space="preserve">snapshot @ Scenario_select=2 on 2026-09-30</t>
  </si>
  <si>
    <t xml:space="preserve">snapshot @ Scenario_select=3 on 2026-09-30</t>
  </si>
  <si>
    <t xml:space="preserve">Drivers col C sum @ snapshot</t>
  </si>
  <si>
    <t xml:space="preserve">Snapshot-time SUM of Drivers column C (numeric cells). Used to detect assumption changes after snapshot.</t>
  </si>
  <si>
    <t xml:space="preserve">Drivers col C sum @ live (Base)</t>
  </si>
  <si>
    <t xml:space="preserve">Live sum recomputed each recalc. Compared to Base snapshot below.</t>
  </si>
  <si>
    <t xml:space="preserve">STALE check (Base col vs live)</t>
  </si>
  <si>
    <t xml:space="preserve">If STALE, re-run scenario snapshots (change selector, save, soffice recalc, re-read into C1 block). Tolerance ±$10M on Drivers col C sum.</t>
  </si>
  <si>
    <t xml:space="preserve">Base snapshot equals live check (2027E EPS)</t>
  </si>
  <si>
    <t xml:space="preserve">Must = 0. Compares Base column 2027E EPS snapshot to live 3SF!F33 at selector=2.</t>
  </si>
  <si>
    <t xml:space="preserve">SECTION G — ROE and spread (buy-side decomposition)</t>
  </si>
  <si>
    <t xml:space="preserve">Per lessor-benchmark items 3, 7. Gross yield less cost lines gives operating spread; less funding cost times leverage gives ROE. Compare vs Ke.</t>
  </si>
  <si>
    <t xml:space="preserve">Line</t>
  </si>
  <si>
    <t xml:space="preserve">Lease revenue ($M)</t>
  </si>
  <si>
    <t xml:space="preserve">Depreciation expense ($M, positive)</t>
  </si>
  <si>
    <t xml:space="preserve">Maintenance expense ($M, positive)</t>
  </si>
  <si>
    <t xml:space="preserve">SG&amp;A ($M, positive)</t>
  </si>
  <si>
    <t xml:space="preserve">Interest expense, net ($M, positive)</t>
  </si>
  <si>
    <t xml:space="preserve">Net gain on dispositions ($M)</t>
  </si>
  <si>
    <t xml:space="preserve">Share of affiliates, net of tax ($M)</t>
  </si>
  <si>
    <t xml:space="preserve">NI attributable to GATX ($M)</t>
  </si>
  <si>
    <t xml:space="preserve">Net operating assets and facilities ($M)</t>
  </si>
  <si>
    <t xml:space="preserve">Total debt ($M)</t>
  </si>
  <si>
    <t xml:space="preserve">GATX shareholders equity ($M)</t>
  </si>
  <si>
    <t xml:space="preserve">Averages (BOP+EOP)/2</t>
  </si>
  <si>
    <t xml:space="preserve">Average net operating assets ($M)</t>
  </si>
  <si>
    <t xml:space="preserve">Average debt ($M)</t>
  </si>
  <si>
    <t xml:space="preserve">Average GATX equity ($M)</t>
  </si>
  <si>
    <t xml:space="preserve">ROE decomposition (per lessor-benchmark item 3, 7)</t>
  </si>
  <si>
    <t xml:space="preserve">Gross lease yield = lease revenue / avg NOA</t>
  </si>
  <si>
    <t xml:space="preserve">Less: depreciation rate = depr / avg NOA</t>
  </si>
  <si>
    <t xml:space="preserve">Less: maintenance rate = maintenance / avg NOA</t>
  </si>
  <si>
    <t xml:space="preserve">Less: SG&amp;A rate = SG&amp;A / avg NOA</t>
  </si>
  <si>
    <t xml:space="preserve">Operating spread before funding</t>
  </si>
  <si>
    <t xml:space="preserve">Less: cost of funds = interest / avg debt</t>
  </si>
  <si>
    <t xml:space="preserve">Leverage = avg NOA / avg GATX equity</t>
  </si>
  <si>
    <t xml:space="preserve">ROE (with gains and affiliates) = NI to GATX / avg GATX equity</t>
  </si>
  <si>
    <t xml:space="preserve">ROE (core, ex-gains ex-affiliates) = (NI - after-tax gains - affiliates) / avg equity</t>
  </si>
  <si>
    <t xml:space="preserve">Cost of equity Ke (link DCF!D57)</t>
  </si>
  <si>
    <t xml:space="preserve">ROE gap = ROE (with gains) - Ke</t>
  </si>
  <si>
    <t xml:space="preserve">Justified P/B analysis (per lessor-benchmark item 3)</t>
  </si>
  <si>
    <t xml:space="preserve">Justified P/B = (ROE - g) / (Ke - g); 2027E col H uses g_jpb (Drivers), history cols D-G keep g=Terminal_LPI for continuity</t>
  </si>
  <si>
    <t xml:space="preserve">BVPS = GATX equity / diluted shares</t>
  </si>
  <si>
    <t xml:space="preserve">Actual P/B = current price (Drivers!C179) / BVPS</t>
  </si>
  <si>
    <t xml:space="preserve">P/B gap: actual minus justified</t>
  </si>
  <si>
    <t xml:space="preserve">NTM P/E series (helper — do not edit)</t>
  </si>
  <si>
    <t xml:space="preserve">GATX 25y P/B annual (helper)</t>
  </si>
  <si>
    <t xml:space="preserve">Takeaways (text, no numbers typed)</t>
  </si>
  <si>
    <t xml:space="preserve">What ROE is made of</t>
  </si>
  <si>
    <t xml:space="preserve">ROE = (gross lease yield minus depreciation, maintenance, and SG&amp;A rates) minus cost of funds, then multiplied by leverage. Gains and affiliate income add on top and swing the with-gains number vs core.</t>
  </si>
  <si>
    <t xml:space="preserve">Whether it clears Ke</t>
  </si>
  <si>
    <t xml:space="preserve">Compare with-gains ROE to Ke (Rf plus beta times ERP). Gap positive means the business earns above its cost of equity and justified P/B above 1.0x. Gap negative means the opposite.</t>
  </si>
  <si>
    <t xml:space="preserve">Source: research/methodology/lessor-model-benchmark-2026-09-28.md items 3 and 7. Ke from DCF!D57 (Rf + beta * ERP).</t>
  </si>
  <si>
    <t xml:space="preserve">SECTION H — TARGET BY METHOD (v31)</t>
  </si>
  <si>
    <t xml:space="preserve">Owner decision 2026-10-01: weights set on method quality, not on output. jP/B 35%, NAV 35%, P/E 30%; RI/Peer/DCF 0%. All four legs visible at the time weights were set.</t>
  </si>
  <si>
    <t xml:space="preserve">Leg</t>
  </si>
  <si>
    <t xml:space="preserve">Value ($/sh)</t>
  </si>
  <si>
    <t xml:space="preserve">Weight</t>
  </si>
  <si>
    <t xml:space="preserve">Weighted contribution</t>
  </si>
  <si>
    <t xml:space="preserve">Rationale / source</t>
  </si>
  <si>
    <t xml:space="preserve">P/E, 10-yr median, bear/base/bull probability-weighted</t>
  </si>
  <si>
    <t xml:space="preserve">Section C prob-weighted P/E target (Valuation!I69)</t>
  </si>
  <si>
    <t xml:space="preserve">NAV per share (after deferred tax)</t>
  </si>
  <si>
    <t xml:space="preserve">NAV!D168 (vintage mark, calibration factor 1)</t>
  </si>
  <si>
    <t xml:space="preserve">Justified P/B × BVPS 2027E</t>
  </si>
  <si>
    <t xml:space="preserve">Section G: jP/B 2027E (Valuation!H207 using Drivers g_jpb per owner decision 2026-10-02); BVPS 2027E = Valuation!H208</t>
  </si>
  <si>
    <t xml:space="preserve">Residual income value per share</t>
  </si>
  <si>
    <t xml:space="preserve">Same math as justified P/B — avoids double-count</t>
  </si>
  <si>
    <t xml:space="preserve">Peer fit (pure-lessor regression implied price)</t>
  </si>
  <si>
    <t xml:space="preserve">R² 0.03 — regression on 6-8 names is a sketch, not a fit</t>
  </si>
  <si>
    <t xml:space="preserve">DCF per share (unlevered FCF, Gordon TV)</t>
  </si>
  <si>
    <t xml:space="preserve">Unlevered DCF is the wrong tool for a lessor (financial-business asset-light bias)</t>
  </si>
  <si>
    <t xml:space="preserve">Weight sum (must equal 1.00)</t>
  </si>
  <si>
    <t xml:space="preserve">Weighted target ($/sh) — PRIMARY (Rating!D18 reads this)</t>
  </si>
  <si>
    <t xml:space="preserve">Prior method (v27 to v30): P/E only</t>
  </si>
  <si>
    <t xml:space="preserve">Kept for history. v30 target 169.76 = P/E prob-weighted alone.</t>
  </si>
  <si>
    <t xml:space="preserve">Section H sub-block — Ke sensitivity for justified P/B leg</t>
  </si>
  <si>
    <t xml:space="preserve">Ke</t>
  </si>
  <si>
    <t xml:space="preserve">8.0%</t>
  </si>
  <si>
    <t xml:space="preserve">9.0% (model, DCF!D57)</t>
  </si>
  <si>
    <t xml:space="preserve">10.0%</t>
  </si>
  <si>
    <t xml:space="preserve">Justified P/B leg value ($/sh)</t>
  </si>
  <si>
    <t xml:space="preserve">Section H weighted target at that Ke ($/sh)</t>
  </si>
  <si>
    <t xml:space="preserve">Ke test value (blue input, used by row 234/235 formulas above)</t>
  </si>
  <si>
    <t xml:space="preserve">8%/9%/10% chosen as -100bp/model/+100bp around DCF!D57 Ke</t>
  </si>
  <si>
    <t xml:space="preserve">Section H sub-block — growth sensitivity for justified P/B leg (v32)</t>
  </si>
  <si>
    <t xml:space="preserve">g value</t>
  </si>
  <si>
    <t xml:space="preserve">2.0% (prior basis)</t>
  </si>
  <si>
    <t xml:space="preserve">4.0%</t>
  </si>
  <si>
    <t xml:space="preserve">g_jpb (Drivers)</t>
  </si>
  <si>
    <t xml:space="preserve">5.0%</t>
  </si>
  <si>
    <t xml:space="preserve">g test value</t>
  </si>
  <si>
    <t xml:space="preserve">Section H weighted target at that g ($/sh)</t>
  </si>
  <si>
    <t xml:space="preserve">2% column labeled 'prior basis' = v28-v31 Terminal_LPI setting. g_jpb column links to Drivers row for the owner-decision 2026-10-02 input.</t>
  </si>
  <si>
    <t xml:space="preserve">Section H sidebar — RENEWAL-TERM SENSITIVITY (v33 Item 1; red-team C10)</t>
  </si>
  <si>
    <t xml:space="preserve">Term in months: 48 / 54 (Q2 2026 release 2026-07-30) / 60 (Q2 2025). Legacy repricing per year = Legacy_fleet × (success × 12 / term). ΔEPS from term uses a linear coefficient around the model base (2027E) for the net rate uplift from LPI_FY2027 at base renewal rate; downstream of 3SF through Section H uses the same leg weights (0.30 P/E_leg, 0.35 NAV_leg, 0.35 jP/B_leg).</t>
  </si>
  <si>
    <t xml:space="preserve">Renewal term (months)</t>
  </si>
  <si>
    <t xml:space="preserve">Legacy fleet total (cars) — Drivers!C786</t>
  </si>
  <si>
    <t xml:space="preserve">Renewal success rate 2027E — Drivers!C38</t>
  </si>
  <si>
    <t xml:space="preserve">Legacy cars renewing per year = fleet × (success × 12 / term)</t>
  </si>
  <si>
    <t xml:space="preserve">Base cars renewing (model, cohort = 1/5 of 5-cohort fleet, success-weighted) — equivalent to 60-month implicit term</t>
  </si>
  <si>
    <t xml:space="preserve">Delta cars vs model-base (model base cohort at implicit 60-mo) [row 250 - row 251]</t>
  </si>
  <si>
    <t xml:space="preserve">LPI_FY2027 (Drivers!C33)</t>
  </si>
  <si>
    <t xml:space="preserve">Blended cohort rate 2027 ($/car/yr) = Cohort_2022_rate_pre × calibration</t>
  </si>
  <si>
    <t xml:space="preserve">Rate uplift per renewed car ($/car/yr) = LPI × rate</t>
  </si>
  <si>
    <t xml:space="preserve">Delta revenue from term vs base ($M) = (Δcars × uplift) / 1,000,000</t>
  </si>
  <si>
    <t xml:space="preserve">After-tax EPS delta ($/sh) = ΔRev × (1 − tax) / shares</t>
  </si>
  <si>
    <t xml:space="preserve">2027E EPS at scenario ($/sh) = model F33 + delta</t>
  </si>
  <si>
    <t xml:space="preserve">ROE 2027E at scenario = EPS_scenario / BVPS 2027E (Valuation!H208)</t>
  </si>
  <si>
    <t xml:space="preserve">Justified P/B leg ($/sh) at scenario ROE = ((ROE−g)/(Ke−g)) × BVPS</t>
  </si>
  <si>
    <t xml:space="preserve">P/E leg ($/sh) at scenario EPS × 10y-median P/E (Valuation!D20)</t>
  </si>
  <si>
    <t xml:space="preserve">NAV leg ($/sh) — invariant (NAV!D168 is book-based)</t>
  </si>
  <si>
    <t xml:space="preserve">Section H weighted target ($/sh) = 0.30 × P/E_leg + 0.35 × NAV + 0.35 × jP/B</t>
  </si>
  <si>
    <t xml:space="preserve">Expected return at $183.73 = (target + NTM div − price) / price; NTM div = DPS 2027E (Drivers!C80)</t>
  </si>
  <si>
    <t xml:space="preserve">Rating (BUY &gt; +15%, SELL &lt; −5%, else HOLD)</t>
  </si>
  <si>
    <t xml:space="preserve">Notes: Linear substitution — Legacy Cohort Model operates on 5-year vintage reprice schedule (equivalent to 60 months implicit). ΔEPS computed above is the delta from the per-year renewing cars changing with term, with the model LPI uplift applied linearly. The live Drivers!C785 = 54 is for reporting; it does not re-drive the Legacy Cohort Model (which would require refactoring the cohort schedule). The 54 scenario in this block IS the stated term; the 60 scenario reproduces the model-base math within rounding.</t>
  </si>
  <si>
    <t xml:space="preserve">GATX QUARTERLY 2026 — Q1A + Q2A (from Q2 release) + Q3E + Q4E (H2 split) + FY2026E link</t>
  </si>
  <si>
    <t xml:space="preserve">Q1A = H1 - Q2 (release provides both). FY2026E from 3 Statement Forecast. Q3+Q4 split H2 = FY - H1 using Drivers seasonality assumptions. Identity: Q1 + Q2 + Q3 + Q4 = FY for every row (constrained by construction).</t>
  </si>
  <si>
    <t xml:space="preserve">Line ($M except EPS)</t>
  </si>
  <si>
    <t xml:space="preserve">Q1A</t>
  </si>
  <si>
    <t xml:space="preserve">Q2A</t>
  </si>
  <si>
    <t xml:space="preserve">Q3E</t>
  </si>
  <si>
    <t xml:space="preserve">Q4E</t>
  </si>
  <si>
    <t xml:space="preserve">FY2026E (model)</t>
  </si>
  <si>
    <t xml:space="preserve">Sum Q1+Q2+Q3+Q4</t>
  </si>
  <si>
    <t xml:space="preserve">Identity check (col G − col F)</t>
  </si>
  <si>
    <t xml:space="preserve">Revenue</t>
  </si>
  <si>
    <t xml:space="preserve">Dispositions</t>
  </si>
  <si>
    <t xml:space="preserve">Interest</t>
  </si>
  <si>
    <t xml:space="preserve">Other income</t>
  </si>
  <si>
    <t xml:space="preserve">Tax</t>
  </si>
  <si>
    <t xml:space="preserve">RRPF</t>
  </si>
  <si>
    <t xml:space="preserve">NCI</t>
  </si>
  <si>
    <t xml:space="preserve">Memo: Rail NA revenue ($M; even quarterly split of annual Segment P&amp;L!E21)</t>
  </si>
  <si>
    <t xml:space="preserve">v36 memo: no quarterly Rail NA breakout in release; using 25% of FY2026E as proxy for Q3 preview.</t>
  </si>
  <si>
    <t xml:space="preserve">OUTPUT — Q3E EPS vs consensus</t>
  </si>
  <si>
    <t xml:space="preserve">Model Q3E diluted EPS (link)</t>
  </si>
  <si>
    <t xml:space="preserve">Consensus Q3 2026 EPS — low ($2.458, FactSet)</t>
  </si>
  <si>
    <t xml:space="preserve">Consensus Q3 2026 EPS — high ($2.458, FactSet)</t>
  </si>
  <si>
    <t xml:space="preserve">Consensus Q3 2026 EPS — midpoint ($2.458)</t>
  </si>
  <si>
    <t xml:space="preserve">Delta: Model Q3 − consensus mid ($)</t>
  </si>
  <si>
    <t xml:space="preserve">Delta: Model Q3 − consensus mid (%)</t>
  </si>
  <si>
    <t xml:space="preserve">Named drivers of delta (model vs consensus $2.48):</t>
  </si>
  <si>
    <t xml:space="preserve">(1) Dispositions Q3E — model runs above consensus because Drivers!Q3_pct_of_H2_dispo=0.55 reflects Q2 call 'legacy tracking ahead of plan' + strong secondary market; Street typically assumes flatter split. See Q3E dispo row 9 vs $50M implied share of $200M FY.</t>
  </si>
  <si>
    <t xml:space="preserve">(2) Interest expense Q3E — model refi at 5.30% (Drivers!B102) already flowing through; if Street uses lower refi assumption, Q3 interest gap narrows. See row 10.</t>
  </si>
  <si>
    <t xml:space="preserve">(3) Other income Q3E — Q2 call flagged 'lumpy' maintenance-reserve releases; consensus may not model persistence. See row 11 with Q3_pct_of_H2_otherincome = 0.50.</t>
  </si>
  <si>
    <t xml:space="preserve">(4) Fee income (JV + Brookfield-book) is baked into RailNA other rev at $160M FY26 (Drivers!B320) — even split into Q3 (steady). Cadence relative to Street unknown.</t>
  </si>
  <si>
    <t xml:space="preserve">GATE — Q1+Q2+Q3+Q4 EPS sum vs FY2026E ($10.53 pre-registered)</t>
  </si>
  <si>
    <t xml:space="preserve">Sum Q1+Q2+Q3+Q4 EPS</t>
  </si>
  <si>
    <t xml:space="preserve">FY2026E EPS from model</t>
  </si>
  <si>
    <t xml:space="preserve">Delta — reconcile check</t>
  </si>
  <si>
    <t xml:space="preserve">Gate status (PASS if ABS(delta) &lt;= tolerance in Drivers)</t>
  </si>
  <si>
    <t xml:space="preserve">GATX CONSENSUS BRIDGE — Model 2027E EPS $10.37 → FactSet consensus $11.27 ($0.90 gap)</t>
  </si>
  <si>
    <t xml:space="preserve">Row = (Our_assumption − Street_implied_assumption) × sensitivity_from_model_cells × (1 − tax_rate) / diluted_shares. Street-implied values are new Drivers rows cited to 02-consensus-anatomy.md.</t>
  </si>
  <si>
    <t xml:space="preserve">Reference cells</t>
  </si>
  <si>
    <t xml:space="preserve">Consensus 2027E EPS (FactSet)</t>
  </si>
  <si>
    <t xml:space="preserve">Target gap ($/sh)</t>
  </si>
  <si>
    <t xml:space="preserve">Diluted shares 2027 (M)</t>
  </si>
  <si>
    <t xml:space="preserve">Effective tax rate 2027</t>
  </si>
  <si>
    <t xml:space="preserve">(1 − tax)</t>
  </si>
  <si>
    <t xml:space="preserve">Bridge (per share, 2027)</t>
  </si>
  <si>
    <t xml:space="preserve">Our 2027 assumption</t>
  </si>
  <si>
    <t xml:space="preserve">Street-implied 2027</t>
  </si>
  <si>
    <t xml:space="preserve">Delta (Street − Our)</t>
  </si>
  <si>
    <t xml:space="preserve">$M pretax impact</t>
  </si>
  <si>
    <t xml:space="preserve">After-tax $M</t>
  </si>
  <si>
    <t xml:space="preserve">$/sh contribution (Street − Our)</t>
  </si>
  <si>
    <t xml:space="preserve">1. Legacy dispositions</t>
  </si>
  <si>
    <t xml:space="preserve">2. GABX dispositions</t>
  </si>
  <si>
    <t xml:space="preserve">3. LPI 2027</t>
  </si>
  <si>
    <t xml:space="preserve">4. Wells Fargo second-year accretion (Street incremental)</t>
  </si>
  <si>
    <t xml:space="preserve">5. Interest expense</t>
  </si>
  <si>
    <t xml:space="preserve">6. RRPF</t>
  </si>
  <si>
    <t xml:space="preserve">7. Share count</t>
  </si>
  <si>
    <t xml:space="preserve">8. Tax rate</t>
  </si>
  <si>
    <t xml:space="preserve">9. Other income</t>
  </si>
  <si>
    <t xml:space="preserve">Sum of explained rows (1-9)</t>
  </si>
  <si>
    <t xml:space="preserve">10. Residual — unexplained</t>
  </si>
  <si>
    <t xml:space="preserve">Total explained + residual</t>
  </si>
  <si>
    <t xml:space="preserve">GATE — Sum (1-9) vs $0.90 target</t>
  </si>
  <si>
    <t xml:space="preserve">Sum of bridge rows 1-9 ($/sh)</t>
  </si>
  <si>
    <t xml:space="preserve">Residual ($/sh) — reconcile check</t>
  </si>
  <si>
    <t xml:space="preserve">Gate status (PASS if ABS(residual) &lt;= tolerance in Drivers)</t>
  </si>
  <si>
    <t xml:space="preserve">SECTION B — 2026 guidance vs model</t>
  </si>
  <si>
    <t xml:space="preserve">Per lessor-benchmark item 4. One row per FY2026 guided item; sources: Q4 2025 earnings release 2026-02-19 and Q2 2026 earnings call transcript 2026-07-30.</t>
  </si>
  <si>
    <t xml:space="preserve">Guided item</t>
  </si>
  <si>
    <t xml:space="preserve">Guide value</t>
  </si>
  <si>
    <t xml:space="preserve">BMG 2026E consolidated</t>
  </si>
  <si>
    <t xml:space="preserve">Scope</t>
  </si>
  <si>
    <t xml:space="preserve">Model, same scope</t>
  </si>
  <si>
    <t xml:space="preserve">Variance (same scope)</t>
  </si>
  <si>
    <t xml:space="preserve">Variance % (same scope)</t>
  </si>
  <si>
    <t xml:space="preserve">One-line reason</t>
  </si>
  <si>
    <t xml:space="preserve">Adjusted EPS 2026 midpoint ($/sh)</t>
  </si>
  <si>
    <t xml:space="preserve">consolidated</t>
  </si>
  <si>
    <t xml:space="preserve">Model above midpoint driven by remarketing gains running ahead in H1.</t>
  </si>
  <si>
    <t xml:space="preserve">Q4 2025 release 2026-02-19: $9.50 to $10.10; raised Q2 2026 call to $9.90 to $10.30, midpoint $10.10.</t>
  </si>
  <si>
    <t xml:space="preserve">Rail NA lease revenue 2026E ($M)</t>
  </si>
  <si>
    <t xml:space="preserve">legacy-only</t>
  </si>
  <si>
    <t xml:space="preserve">legacy-only guide vs legacy-only model (Rail NA lease revenue ex acquired Wells Fargo pool).</t>
  </si>
  <si>
    <t xml:space="preserve">Q2 2026 call: Rail NA lease revenue about $1.0B for 2026.</t>
  </si>
  <si>
    <t xml:space="preserve">Remarketing income consolidated 2026E ($M)</t>
  </si>
  <si>
    <t xml:space="preserve">Model consolidated dispo gains include legacy plus GABX per Q2 call split.</t>
  </si>
  <si>
    <t xml:space="preserve">Q2 2026 call (Bob Lyons): about $200M consolidated remarketing, $130M legacy plus $70M JV.</t>
  </si>
  <si>
    <t xml:space="preserve">Interest expense 2026E ($M)</t>
  </si>
  <si>
    <t xml:space="preserve">legacy-only guide vs legacy-only model (consolidated interest minus GABX interest).</t>
  </si>
  <si>
    <t xml:space="preserve">Q2 2026 call: interest about $440M for 2026.</t>
  </si>
  <si>
    <t xml:space="preserve">Depreciation 2026E ($M)</t>
  </si>
  <si>
    <t xml:space="preserve">not comparable — GABX depreciation not separately reported on GABX Mini P&amp;L (rolled into row 21 total expenses)</t>
  </si>
  <si>
    <t xml:space="preserve">not comparable — no GABX depreciation split</t>
  </si>
  <si>
    <t xml:space="preserve">Q2 2026 call: depreciation about $520M for 2026.</t>
  </si>
  <si>
    <t xml:space="preserve">Maintenance 2026E ($M)</t>
  </si>
  <si>
    <t xml:space="preserve">legacy-only (approximation)</t>
  </si>
  <si>
    <t xml:space="preserve">legacy-only approximation: H1 legacy $250M per Ellman × 2; non-legacy portion = 2×(H1 consolidated $292.5M − H1 legacy $250M).</t>
  </si>
  <si>
    <t xml:space="preserve">Q2 2026 call: maintenance in the $500M range for 2026.</t>
  </si>
  <si>
    <t xml:space="preserve">SG&amp;A 2026E ($M)</t>
  </si>
  <si>
    <t xml:space="preserve">Model SG&amp;A rate on revenue matches full-year guide.</t>
  </si>
  <si>
    <t xml:space="preserve">Q2 2026 call: SG&amp;A about $275M for 2026.</t>
  </si>
  <si>
    <t xml:space="preserve">LPI FY2026 band midpoint</t>
  </si>
  <si>
    <t xml:space="preserve">not comparable — LPI reported on legacy Rail NA renewals only; Wells Fargo pool cohort not in the LPI metric per Q2 call</t>
  </si>
  <si>
    <t xml:space="preserve">not comparable — LPI is legacy-fleet metric</t>
  </si>
  <si>
    <t xml:space="preserve">Q2 2026 call (Paul Titterton): high teens to low 20s LPI for remainder of 2026 (Q2 was 16.8%, sand-heavy).</t>
  </si>
  <si>
    <t xml:space="preserve">Utilization FY2026 (98 to 99%)</t>
  </si>
  <si>
    <t xml:space="preserve">Model utilization at reported YE2025 level (99%) held flat forward.</t>
  </si>
  <si>
    <t xml:space="preserve">Q2 2026 call: fleet utilization 98% at quarter end; guide implies 98 to 99% range for year.</t>
  </si>
  <si>
    <t xml:space="preserve">Gate summary: comparable items where |Variance %| &gt; tolerance (Drivers!C773)</t>
  </si>
  <si>
    <t xml:space="preserve">Rows excluded as not comparable (no same-scope model value)</t>
  </si>
  <si>
    <t xml:space="preserve">Sources: research/coverage/rail/gatx-filings/GATX-Q4-2025-earnings-release.md; GATX-Q2-2026-earnings-release-2026-07-30.md; GATX-Q2-2026-earnings-call-transcript-2026-07-30.pdf. Guide values in blue; BMG values green-linked to live model cells.</t>
  </si>
  <si>
    <t xml:space="preserve">GATX RATING — expected 12M total return + flip points + kill status</t>
  </si>
  <si>
    <t xml:space="preserve">Default rating rule (METHOD.md has no rating threshold as of 2026-09-24): BUY if expected 12M total return &gt; +15%; SELL if &lt; -5%; HOLD otherwise. Pre-registered.</t>
  </si>
  <si>
    <t xml:space="preserve">Formula: expected_return = (probability_weighted_target + NTM_dividend − current_price) / current_price. Target from Valuation!G57; current price from Drivers!B179; NTM dividend from Drivers!B181 × current price.</t>
  </si>
  <si>
    <t xml:space="preserve">Inputs</t>
  </si>
  <si>
    <t xml:space="preserve">Weighted target ($/sh)  [Valuation Section H: Valuation!D229]</t>
  </si>
  <si>
    <t xml:space="preserve">Published target $165.54 (v32) held until the Q3 2026 review; model target v37 = $166.02 (v36 was $165.94; the $0.08 drift is the price-cascade through buyback share count — no leg logic changed).</t>
  </si>
  <si>
    <t xml:space="preserve">Current price ($/sh)  [Drivers!B179]</t>
  </si>
  <si>
    <t xml:space="preserve">NTM dividend yield  [Drivers!B181]</t>
  </si>
  <si>
    <t xml:space="preserve">NTM dividend ($/sh) = declared quarterly $0.66 x 4 = $2.64 [v39 2026-10-09; model 2027E full-year DPS = $2.74 from Drivers!C80, used as a footnote only]</t>
  </si>
  <si>
    <t xml:space="preserve">Model 2027E DPS = Drivers!C80 = $2.74. Return calc uses $2.64 per the declared quarterly rate per v39 2026-10-09.</t>
  </si>
  <si>
    <t xml:space="preserve">Expected return = (target + dividend − current) / current</t>
  </si>
  <si>
    <t xml:space="preserve">BUY threshold  [Drivers!B378]</t>
  </si>
  <si>
    <t xml:space="preserve">SELL threshold  [Drivers!B379]</t>
  </si>
  <si>
    <t xml:space="preserve">Flip points</t>
  </si>
  <si>
    <t xml:space="preserve">LPI flip point (BUY→HOLD): what LPI at Street's implied 2027 EPS gives expected_return = +15%? Reads: at what target price does expected_return = 15%? Then back-solve LPI.</t>
  </si>
  <si>
    <t xml:space="preserve">Target price to hit BUY threshold (+15% total return)</t>
  </si>
  <si>
    <t xml:space="preserve">Base scenario price (Valuation!E54)</t>
  </si>
  <si>
    <t xml:space="preserve">Base 2027 EPS (Valuation!C54)</t>
  </si>
  <si>
    <t xml:space="preserve">NTM P/E median multiple (Valuation!B8)</t>
  </si>
  <si>
    <t xml:space="preserve">EPS needed at target price = target_price / NTM P/E median</t>
  </si>
  <si>
    <t xml:space="preserve">EPS sensitivity per +1pp LPI 2027 ($/sh)</t>
  </si>
  <si>
    <t xml:space="preserve">Additional EPS needed (base scenario) = EPS_needed − base_EPS</t>
  </si>
  <si>
    <t xml:space="preserve">LPI flip = current LPI + (Additional EPS) / EPS-per-pp × base_prob_weight adjustment</t>
  </si>
  <si>
    <t xml:space="preserve">LPI flip point (2027): base LPI + Additional EPS / sensitivity (approximate; base scenario)</t>
  </si>
  <si>
    <t xml:space="preserve">Disposition flip point (HOLD→SELL): at what legacy disposition level does expected return = -5%? Same algebraic approach: back-solve target price then EPS.</t>
  </si>
  <si>
    <t xml:space="preserve">Target price to hit SELL threshold (-5% total return)</t>
  </si>
  <si>
    <t xml:space="preserve">EPS at SELL-threshold target price = target_price / NTM P/E median</t>
  </si>
  <si>
    <t xml:space="preserve">Additional EPS delta needed (SELL) = EPS_at_SELL − base_EPS</t>
  </si>
  <si>
    <t xml:space="preserve">Legacy disposition sensitivity: $M dispositions → $/sh after-tax = (1-tax)/shares</t>
  </si>
  <si>
    <t xml:space="preserve">Δ legacy disposition needed ($M) = Additional EPS ÷ ($/sh per $M)</t>
  </si>
  <si>
    <t xml:space="preserve">Legacy disposition flip point ($M) = current legacy dispo + Δ needed</t>
  </si>
  <si>
    <t xml:space="preserve">Kill-criteria status board (pulled from Thesis Test + Drivers via cell links)</t>
  </si>
  <si>
    <t xml:space="preserve">Kill criterion</t>
  </si>
  <si>
    <t xml:space="preserve">Threshold</t>
  </si>
  <si>
    <t xml:space="preserve">Status</t>
  </si>
  <si>
    <t xml:space="preserve">New-issue rate reaches 6.00% (Drivers!B105)</t>
  </si>
  <si>
    <t xml:space="preserve">2027E EPS at 6.00% new-issue rate (Thesis Test B34)</t>
  </si>
  <si>
    <t xml:space="preserve">Break-even LPI 2027 (Thesis Test B33) — kill if model LPI (Drivers!B33) below BE</t>
  </si>
  <si>
    <t xml:space="preserve">--- v13 addition (2026-09-24) ---</t>
  </si>
  <si>
    <t xml:space="preserve">Prob-weighted target INCLUDING DCF (Valuation!G60)</t>
  </si>
  <si>
    <t xml:space="preserve">Prob-weighted target EXCLUDING DCF (Valuation!G61, same as B6)</t>
  </si>
  <si>
    <t xml:space="preserve">Price at which SELL returns to HOLD = (target + dividend) / (1 + SELL threshold)</t>
  </si>
  <si>
    <t xml:space="preserve">Source: pre-registered rating rule at Rating!D28-D29 and calibration/METHOD.md. SELL rating fires when expected return &lt; Drivers!C379 (-5%). At the price computed here, expected return equals -5% and rating returns from SELL to HOLD.</t>
  </si>
  <si>
    <t xml:space="preserve">Expected return INCLUDING DCF weight (Prob_weight_DCF from Drivers)</t>
  </si>
  <si>
    <t xml:space="preserve">GATX DCF — Unlevered Two-Stage (v13, 2026-09-24)</t>
  </si>
  <si>
    <t xml:space="preserve">Formulas only. Every input is a Drivers cell with source, or a link to another sheet. Methodology: research/methodology/dcf-{mechanics,wacc-and-inputs,judgment-calls}.md.</t>
  </si>
  <si>
    <t xml:space="preserve">Year</t>
  </si>
  <si>
    <t xml:space="preserve">2036E (term)</t>
  </si>
  <si>
    <t xml:space="preserve">SECTION 1 — Unlevered Free Cash Flow ($M)</t>
  </si>
  <si>
    <t xml:space="preserve">Disposition treatment: gains stay inside EBIT (row 11 of 3SF); we add ONLY the return-of-capital piece (proceeds − gain = Drivers!Dispo_book_202x). RRPF equity dividends shown as SEPARATE memo (valued in bridge). Wells Fargo 2026 acquisition ($4.2B) EXCLUDED from run-rate FCF (memo only).</t>
  </si>
  <si>
    <t xml:space="preserve">EBIT ($M) = Pretax (pre-affiliates) + Interest add-back (financing)</t>
  </si>
  <si>
    <t xml:space="preserve">Effective tax rate (link)</t>
  </si>
  <si>
    <t xml:space="preserve">Less: Taxes on EBIT = EBIT × tax rate</t>
  </si>
  <si>
    <t xml:space="preserve">NOPAT (EBIAT)</t>
  </si>
  <si>
    <t xml:space="preserve">Plus: D&amp;A (link 3SF row 7, sign-flipped)</t>
  </si>
  <si>
    <t xml:space="preserve">Less: Organic capex (link 3SF row 63; WFR excluded)</t>
  </si>
  <si>
    <t xml:space="preserve">Less: Δ Working capital (link 3SF row 57)</t>
  </si>
  <si>
    <t xml:space="preserve">Plus: Return of capital on dispositions (proceeds − gain)</t>
  </si>
  <si>
    <t xml:space="preserve">UFCF = NOPAT + D&amp;A + Capex + ΔWC + RoC</t>
  </si>
  <si>
    <t xml:space="preserve">MEMO — WFR acquisition ($4.2B, 2026 only; EXCLUDED)</t>
  </si>
  <si>
    <t xml:space="preserve">MEMO — RRPF dividend inflow (valued in bridge, not UFCF)</t>
  </si>
  <si>
    <t xml:space="preserve">GATE 1 — UFCF 2026 tie to CFO-based reconciliation</t>
  </si>
  <si>
    <t xml:space="preserve">  UFCF 2026 (Section 1)</t>
  </si>
  <si>
    <t xml:space="preserve">  CFO 2026</t>
  </si>
  <si>
    <t xml:space="preserve">  + Organic capex</t>
  </si>
  <si>
    <t xml:space="preserve">  + Portfolio proceeds</t>
  </si>
  <si>
    <t xml:space="preserve">  = Raw CFO + Capex + Proceeds</t>
  </si>
  <si>
    <t xml:space="preserve">  Adjustments to convert to unlevered UFCF:</t>
  </si>
  <si>
    <t xml:space="preserve">    (a) −(1−t) × (Interest + Other income)</t>
  </si>
  <si>
    <t xml:space="preserve">    (b) − RRPF earnings (not in UFCF)</t>
  </si>
  <si>
    <t xml:space="preserve">    (c) − SBC add-back (embedded in EBIT)</t>
  </si>
  <si>
    <t xml:space="preserve">    (d) − Deferred tax change</t>
  </si>
  <si>
    <t xml:space="preserve">    (e) − ROU/OL amortization</t>
  </si>
  <si>
    <t xml:space="preserve">  Total adjustments</t>
  </si>
  <si>
    <t xml:space="preserve">  Reconciled UFCF</t>
  </si>
  <si>
    <t xml:space="preserve">  Reconciled delta (UFCF − Reconciled)</t>
  </si>
  <si>
    <t xml:space="preserve">  Gate status</t>
  </si>
  <si>
    <t xml:space="preserve">SECTION 2 — WACC Build</t>
  </si>
  <si>
    <t xml:space="preserve">Risk-free rate (10y Treasury, 2026-09-23)</t>
  </si>
  <si>
    <t xml:space="preserve">Equity risk premium (Damodaran implied)</t>
  </si>
  <si>
    <t xml:space="preserve">Beta — adjusted (Blume, FactSet 3Y)</t>
  </si>
  <si>
    <t xml:space="preserve">Beta — raw (derived from Blume) = (adj − w_mkt)/w_raw</t>
  </si>
  <si>
    <t xml:space="preserve">Beta used in CAPM (Blume-adjusted — default)</t>
  </si>
  <si>
    <t xml:space="preserve">Ke = Rf + Beta × ERP</t>
  </si>
  <si>
    <t xml:space="preserve">Cost of debt pre-tax (2035 bond YTW)</t>
  </si>
  <si>
    <t xml:space="preserve">Tax rate for WACC</t>
  </si>
  <si>
    <t xml:space="preserve">Kd after-tax = Kd × (1−t)</t>
  </si>
  <si>
    <t xml:space="preserve">Market cap ($M)</t>
  </si>
  <si>
    <t xml:space="preserve">Debt (book, $M)</t>
  </si>
  <si>
    <t xml:space="preserve">W_e = MktCap / (MktCap + Debt)</t>
  </si>
  <si>
    <t xml:space="preserve">W_d = 1 − W_e</t>
  </si>
  <si>
    <t xml:space="preserve">WACC = W_e × Ke + W_d × Kd_at</t>
  </si>
  <si>
    <t xml:space="preserve">SECTION 3 — Terminal Value</t>
  </si>
  <si>
    <t xml:space="preserve">Terminal-year normalization: capex_terminal = D&amp;A_terminal × (1+g); dispositions grow at g. Note: mean-reversion toggle in Disposition Engine is NOT flipped (task requires no changes there); terminal dispositions extrapolate from Drivers B290 by g. This is an approximation — a true mean-reversion terminal would require flipping the Disposition Engine toggle in a copy.</t>
  </si>
  <si>
    <t xml:space="preserve">Method A — Gordon Perpetuity</t>
  </si>
  <si>
    <t xml:space="preserve">  Terminal g</t>
  </si>
  <si>
    <t xml:space="preserve">  FCF_2036 (year-11 UFCF, terminal)</t>
  </si>
  <si>
    <t xml:space="preserve">  TV_Gordon = FCF31 / (WACC − g)</t>
  </si>
  <si>
    <t xml:space="preserve">Method B — Exit multiple on Terminal EBITDA</t>
  </si>
  <si>
    <t xml:space="preserve">  Terminal EBITDA = EBIT_2035 + D&amp;A_2035</t>
  </si>
  <si>
    <t xml:space="preserve">  Exit multiple (GATX 25y median)</t>
  </si>
  <si>
    <t xml:space="preserve">  TV_Exit = EBITDA × mult</t>
  </si>
  <si>
    <t xml:space="preserve">Cross-checks</t>
  </si>
  <si>
    <t xml:space="preserve">  Implied g from TV_Exit</t>
  </si>
  <si>
    <t xml:space="preserve">  Implied mult from TV_Gordon</t>
  </si>
  <si>
    <t xml:space="preserve">SECTION 4 — Bridge to Equity Value</t>
  </si>
  <si>
    <t xml:space="preserve">Discounted stage-1 UFCF (end-of-year discounting, val date = YE 2025)</t>
  </si>
  <si>
    <t xml:space="preserve">  Discount period (yr)</t>
  </si>
  <si>
    <t xml:space="preserve">  Discount factor</t>
  </si>
  <si>
    <t xml:space="preserve">  PV of UFCF</t>
  </si>
  <si>
    <t xml:space="preserve">  Sum PV Stage 1</t>
  </si>
  <si>
    <t xml:space="preserve">PV of Terminal Value</t>
  </si>
  <si>
    <t xml:space="preserve">  PV(TV_Gordon)</t>
  </si>
  <si>
    <t xml:space="preserve">  PV(TV_Exit)</t>
  </si>
  <si>
    <t xml:space="preserve">Enterprise Value ($M)</t>
  </si>
  <si>
    <t xml:space="preserve">  EV — Gordon (PRIMARY)</t>
  </si>
  <si>
    <t xml:space="preserve">  EV — Exit (cross-check)</t>
  </si>
  <si>
    <t xml:space="preserve">TV as % of EV (flag if &gt;75%)</t>
  </si>
  <si>
    <t xml:space="preserve">  TV%/EV — Gordon</t>
  </si>
  <si>
    <t xml:space="preserve">  TV%/EV — Exit</t>
  </si>
  <si>
    <t xml:space="preserve">Bridge — Gordon EV → Equity</t>
  </si>
  <si>
    <t xml:space="preserve">  EV (Gordon)</t>
  </si>
  <si>
    <t xml:space="preserve">  Less: Recourse debt</t>
  </si>
  <si>
    <t xml:space="preserve">  Less: Bank borrowings</t>
  </si>
  <si>
    <t xml:space="preserve">  Less: Operating lease liab</t>
  </si>
  <si>
    <t xml:space="preserve">  Less: NCI at sourced 1.547x book (10-Q Note 15)</t>
  </si>
  <si>
    <t xml:space="preserve">  MEMO ONLY — prior 1.55x derivation (not comparable to Note 15 basis; see Drivers N403)</t>
  </si>
  <si>
    <t xml:space="preserve">  Plus: Cash</t>
  </si>
  <si>
    <t xml:space="preserve">  Plus: RRPF Method (a) — Div_2026 / (Ke − g) [Gordon]</t>
  </si>
  <si>
    <t xml:space="preserve">  Plus: RRPF Method (b) — Earnings × NTM P/E median</t>
  </si>
  <si>
    <t xml:space="preserve">  Plus: RRPF selector-driven value (PRIMARY bridge line — method per Drivers!B572)</t>
  </si>
  <si>
    <t xml:space="preserve">Equity value ($M) — PRIMARY (selector-driven RRPF; NCI at sourced 1.547×)</t>
  </si>
  <si>
    <t xml:space="preserve">Equity value ($M) — SENSITIVITY (NCI 1.55×, RRPF Method (b))</t>
  </si>
  <si>
    <t xml:space="preserve">Note: Treasury stock method NOT applied — no options tranche data in Drivers; assumed immaterial (~35.8M diluted vs 35.3M basic per Q2 2026 → ~1.4% dilution already reflected).</t>
  </si>
  <si>
    <t xml:space="preserve">DCF equity value per share — PRIMARY (Gordon TV)</t>
  </si>
  <si>
    <t xml:space="preserve">DCF price/sh — SENSITIVITY (NCI 1.55×, RRPF 1.5×)</t>
  </si>
  <si>
    <t xml:space="preserve">Note (v14 item 4, 2026-09-24): DCF price/sh — EXIT-mult TV cross-check w/ selector-driven RRPF</t>
  </si>
  <si>
    <t xml:space="preserve">SECTION 5 — Sensitivity Grids</t>
  </si>
  <si>
    <t xml:space="preserve">Grid A — WACC (rows) × Terminal g (cols) → equity value per share (after bridge)</t>
  </si>
  <si>
    <t xml:space="preserve">WACC \ g</t>
  </si>
  <si>
    <t xml:space="preserve">Grid B — WACC × Exit multiple → equity value per share (after bridge)</t>
  </si>
  <si>
    <t xml:space="preserve">WACC \ Exit mult</t>
  </si>
  <si>
    <t xml:space="preserve">Grid C — WACC × new-issue rate → equity/sh (first-order approximation)</t>
  </si>
  <si>
    <t xml:space="preserve">Note: first-order adjustment ΔUFCF = −(rate − base_rate) × Debt × (1−t) applied each year. Full re-run requires editing 3SF Debt &amp; Interest.</t>
  </si>
  <si>
    <t xml:space="preserve">  Base new-issue rate (Drivers!B102)</t>
  </si>
  <si>
    <t xml:space="preserve">WACC \ NIR</t>
  </si>
  <si>
    <t xml:space="preserve">  Equity/share at 6.00% NIR (kill row, base WACC)</t>
  </si>
  <si>
    <t xml:space="preserve">  Equity/share at BASE (5.30% NIR, base WACC)</t>
  </si>
  <si>
    <t xml:space="preserve">SECTION 6 — Gate Summary</t>
  </si>
  <si>
    <t xml:space="preserve">  DCF equity/share (Gordon, PRIMARY)</t>
  </si>
  <si>
    <t xml:space="preserve">  DCF equity/share (Exit multiple, check)</t>
  </si>
  <si>
    <t xml:space="preserve">  Gap DCF vs P/E prob-weighted target (Valuation!G57)</t>
  </si>
  <si>
    <t xml:space="preserve">  Implied g from Exit</t>
  </si>
  <si>
    <t xml:space="preserve">  Implied Exit mult from Gordon</t>
  </si>
  <si>
    <t xml:space="preserve">  Terminal EBITDA ($M)</t>
  </si>
  <si>
    <t xml:space="preserve">SECTION 7 — RRPF memos (informational only; not additive to equity)</t>
  </si>
  <si>
    <t xml:space="preserve">  MEMO — RRPF at book (prior primary, informational)</t>
  </si>
  <si>
    <t xml:space="preserve">  MEMO — RRPF at 1.5× book (prior alternate, informational)</t>
  </si>
  <si>
    <t xml:space="preserve">  MEMO — Method (a) selected? (TRUE if Drivers!B572='A')</t>
  </si>
  <si>
    <t xml:space="preserve">  MEMO — Method (a) Div input ($M, 2026)</t>
  </si>
  <si>
    <t xml:space="preserve">  MEMO — Method (a) Ke (link DCF!B45)</t>
  </si>
  <si>
    <t xml:space="preserve">  MEMO — Method (a) terminal g (Drivers!B571; capped at 2%)</t>
  </si>
  <si>
    <t xml:space="preserve">  MEMO — Method (b) RRPF earnings 2027E ($M)</t>
  </si>
  <si>
    <t xml:space="preserve">  MEMO — Method (b) NTM P/E 10y median (Valuation!B8)</t>
  </si>
  <si>
    <t xml:space="preserve">  MEMO — Method selector value (Drivers!B572)</t>
  </si>
  <si>
    <t xml:space="preserve">GATX FCFE — Cash-to-Equity-Holders (v14, 2026-09-24)</t>
  </si>
  <si>
    <t xml:space="preserve">Formulas only. Links to 3SF, Drivers, DCF, and Valuation sheets. Stage 1 = 2026E-2030E (5 years). Discount at Ke.</t>
  </si>
  <si>
    <t xml:space="preserve">Reference: dcf-mechanics.md §6 (bridge); dcf-judgment-calls.md §7, §8, §10 (lessor FCFE cross-check).</t>
  </si>
  <si>
    <t xml:space="preserve">SECTION 1 — FCFE build ($M)</t>
  </si>
  <si>
    <t xml:space="preserve">Convention: positive = cash inflow to common equity; negative = outflow. All non-cash items reversed.</t>
  </si>
  <si>
    <t xml:space="preserve">CFO (3SF row 61: consolidated NI + D&amp;A, gains reclass, deferred tax, working capital, affiliates net of dividends, SBC, ROU)</t>
  </si>
  <si>
    <t xml:space="preserve">− Organic capex (3SF row 63; Wells Fargo acquisition excluded here, see identity block)</t>
  </si>
  <si>
    <t xml:space="preserve">+ Disposition proceeds + other investing (3SF rows 65, 66)</t>
  </si>
  <si>
    <t xml:space="preserve">+ Net borrowing (3SF rows 69, 70, 72: refi + net new issuance + restricted release)</t>
  </si>
  <si>
    <t xml:space="preserve">− NCI tranche purchases, cash to Brookfield (3SF row 71)</t>
  </si>
  <si>
    <t xml:space="preserve">+ NCI equity contributions − distributions to NCI (3SF rows 75, 76)</t>
  </si>
  <si>
    <t xml:space="preserve">− SBC treated as a cash-equivalent cost for valuation (reverses the 3SF row 59 add-back; work order item 5)</t>
  </si>
  <si>
    <t xml:space="preserve">(memo) Acquisitions excluded from valuation FCFE; included in the cash identity below</t>
  </si>
  <si>
    <t xml:space="preserve">FCFE for valuation ($M) = sum of rows 10 to 17 (ex-acquisition, SBC as cost)</t>
  </si>
  <si>
    <t xml:space="preserve">SECTION 2 — Cash identity: FCFE (cash basis) = Dividends + Buybacks + ΔCash. Cash-basis FCFE = row 18 + SBC add-back (row 16 reversed) + acquisition (3SF row 64).</t>
  </si>
  <si>
    <t xml:space="preserve">This ties by construction of the cash flow statement: CFO + CFI + all financing except dividends and buybacks.</t>
  </si>
  <si>
    <t xml:space="preserve">Dividends paid ($M; 3SF!row 74 is negative, flip sign for "use of cash" convention)</t>
  </si>
  <si>
    <t xml:space="preserve">Buybacks ($M; 3SF!row 73 negative, flip sign)</t>
  </si>
  <si>
    <t xml:space="preserve">ΔCash+Restricted (3SF!row 81 EOP − row 80 BOP)</t>
  </si>
  <si>
    <t xml:space="preserve">Sum: Div + BB + ΔCash</t>
  </si>
  <si>
    <t xml:space="preserve">Δ = cash-basis FCFE − (Div + BB + ΔCash); must be 0.00</t>
  </si>
  <si>
    <t xml:space="preserve">Gate status per year (|Δ| &lt; $0.5M = PASS)</t>
  </si>
  <si>
    <t xml:space="preserve">SECTION 3 — Cost of equity (Ke)</t>
  </si>
  <si>
    <t xml:space="preserve">Ke (from DCF!B45 — CAPM: Rf + Beta_adj × ERP)</t>
  </si>
  <si>
    <t xml:space="preserve">SECTION 4 — Terminal value</t>
  </si>
  <si>
    <t xml:space="preserve">Method (a) — Perpetuity growth on year-10 FCFE (2035)</t>
  </si>
  <si>
    <t xml:space="preserve">  Terminal g (link Drivers!B433)</t>
  </si>
  <si>
    <t xml:space="preserve">  FCFE_2036 (year-10 FCFE × (1+g))</t>
  </si>
  <si>
    <t xml:space="preserve">  TV_perpetuity = FCFE_2031 / (Ke − g)</t>
  </si>
  <si>
    <t xml:space="preserve">Method (b) — P/B multiple on year-10 book equity (2035)</t>
  </si>
  <si>
    <t xml:space="preserve">  Book equity (GATX excl NCI) 2035E ($M) — link 3SF!L46</t>
  </si>
  <si>
    <t xml:space="preserve">  Diluted shares 2035E (M) — link Drivers!Diluted_shares_2035</t>
  </si>
  <si>
    <t xml:space="preserve">  BVPS 2030E ($/sh)</t>
  </si>
  <si>
    <t xml:space="preserve">  P/B multiple (link Drivers!B434 = Valuation!B15 25y median)</t>
  </si>
  <si>
    <t xml:space="preserve">  TV_PB per share ($)</t>
  </si>
  <si>
    <t xml:space="preserve">  TV_PB total ($M) = TV_PB × shares</t>
  </si>
  <si>
    <t xml:space="preserve">SECTION 5 — Present value at Ke</t>
  </si>
  <si>
    <t xml:space="preserve">Discount period (yr, end-of-year, val date = 2026 start)</t>
  </si>
  <si>
    <t xml:space="preserve">Discount factor = 1/(1+Ke)^t</t>
  </si>
  <si>
    <t xml:space="preserve">PV of FCFE ($M)</t>
  </si>
  <si>
    <t xml:space="preserve">Sum PV stage 1 ($M)</t>
  </si>
  <si>
    <t xml:space="preserve">PV of terminal value ($M)</t>
  </si>
  <si>
    <t xml:space="preserve">  PV(TV_perpetuity)</t>
  </si>
  <si>
    <t xml:space="preserve">  PV(TV_PB)</t>
  </si>
  <si>
    <t xml:space="preserve">Equity value ($M)</t>
  </si>
  <si>
    <t xml:space="preserve">  Equity value — perpetuity (a) PRIMARY</t>
  </si>
  <si>
    <t xml:space="preserve">  Equity value — P/B (b) cross-check</t>
  </si>
  <si>
    <t xml:space="preserve">Diluted shares (M) — base year, link Drivers!B77</t>
  </si>
  <si>
    <t xml:space="preserve">Equity value per share ($)</t>
  </si>
  <si>
    <t xml:space="preserve">  Per share — perpetuity (a) PRIMARY</t>
  </si>
  <si>
    <t xml:space="preserve">  Per share — P/B (b) cross-check</t>
  </si>
  <si>
    <t xml:space="preserve">Terminal share of value (flag if &gt; 75%)</t>
  </si>
  <si>
    <t xml:space="preserve">  TV share — perpetuity</t>
  </si>
  <si>
    <t xml:space="preserve">  TV share — P/B</t>
  </si>
  <si>
    <t xml:space="preserve">Flag status</t>
  </si>
  <si>
    <t xml:space="preserve">SECTION 6 — Sensitivity grid: Ke (rows) × g (cols) → equity per share (perpetuity method)</t>
  </si>
  <si>
    <t xml:space="preserve">Base cell in middle (row 5, col 5). ±100bp Ke × ±100bp g in 25bp steps.</t>
  </si>
  <si>
    <t xml:space="preserve">Ke \ g</t>
  </si>
  <si>
    <t xml:space="preserve">SECTION 7 — Gate summary</t>
  </si>
  <si>
    <t xml:space="preserve">Ke used</t>
  </si>
  <si>
    <t xml:space="preserve">Per-share — perpetuity (a) PRIMARY</t>
  </si>
  <si>
    <t xml:space="preserve">Per-share — P/B (b) cross-check</t>
  </si>
  <si>
    <t xml:space="preserve">TV share — perpetuity</t>
  </si>
  <si>
    <t xml:space="preserve">TV share — P/B</t>
  </si>
  <si>
    <t xml:space="preserve">Sensitivity center cell (row 5, col 5) = base equity/sh</t>
  </si>
  <si>
    <t xml:space="preserve">Identity delta 2026 ($M)</t>
  </si>
  <si>
    <t xml:space="preserve">Identity delta 2027 ($M)</t>
  </si>
  <si>
    <t xml:space="preserve">Identity delta 2028 ($M)</t>
  </si>
  <si>
    <t xml:space="preserve">Identity delta 2029 ($M)</t>
  </si>
  <si>
    <t xml:space="preserve">Identity delta 2030 ($M)</t>
  </si>
  <si>
    <t xml:space="preserve">SECTION 8 — RRPF at-value cross-check (MEMO ONLY, not additive to FCFE equity)</t>
  </si>
  <si>
    <t xml:space="preserve">RRPF is captured in FCFE via dividends received (row 17); the two RRPF-at-value methods below are cross-checks, not additive to equity value.</t>
  </si>
  <si>
    <t xml:space="preserve">  MEMO — RRPF Method (a) value ($M) [Gordon Div / (Ke-g)]</t>
  </si>
  <si>
    <t xml:space="preserve">  MEMO — RRPF Method (b) value ($M) [Earnings × NTM P/E]</t>
  </si>
  <si>
    <t xml:space="preserve">  MEMO — RRPF selector value ($M) [Drivers!B572-driven]</t>
  </si>
  <si>
    <t xml:space="preserve">  MEMO — Method selector (Drivers!B572)</t>
  </si>
  <si>
    <t xml:space="preserve">GATX NAV — fleet at market less claims (v20, 2026-09-27)</t>
  </si>
  <si>
    <t xml:space="preserve">Formulas only. Fleet book from 3SF PP&amp;E net; mark from Disposition Engine proceeds/book; haircut driver.</t>
  </si>
  <si>
    <t xml:space="preserve">Reference: dcf-judgment-calls.md §7 §8 §10; fairness-opinion-reference-ranges.md; gatx-valuation.md.</t>
  </si>
  <si>
    <t xml:space="preserve">SECTION A — FLEET BOOK BY POOL ($M)</t>
  </si>
  <si>
    <t xml:space="preserve">Rail North America — Legacy (pre-WF acquired)</t>
  </si>
  <si>
    <t xml:space="preserve">Rail International</t>
  </si>
  <si>
    <t xml:space="preserve">Wells Fargo acquired pool (added 1/1/2026 at cost)</t>
  </si>
  <si>
    <t xml:space="preserve">Total fleet book (operating assets net)</t>
  </si>
  <si>
    <t xml:space="preserve">CHECK: pool sum equals 3SF PP&amp;E net (must be 0)</t>
  </si>
  <si>
    <t xml:space="preserve">SECTION B — MARKET MARK FROM DISPOSITION ENGINE</t>
  </si>
  <si>
    <t xml:space="preserve">H1 2026</t>
  </si>
  <si>
    <t xml:space="preserve">Rail NA remarketing proceeds ($M)</t>
  </si>
  <si>
    <t xml:space="preserve">Rail NA remarketing gains ($M)</t>
  </si>
  <si>
    <t xml:space="preserve">Book value of cars sold ($M) = proceeds − gain</t>
  </si>
  <si>
    <t xml:space="preserve">Market-to-book on cars sold = proceeds / book</t>
  </si>
  <si>
    <t xml:space="preserve">3yr avg M/B (2023A-2025A)</t>
  </si>
  <si>
    <t xml:space="preserve">M/B used for mark (link to avg unless overridden)</t>
  </si>
  <si>
    <t xml:space="preserve">SECTION C — v20 MEMO: whole-fleet at sold-car M/B (NOT USED IN v21; see auditor review)</t>
  </si>
  <si>
    <t xml:space="preserve">Legacy haircut (Drivers!C585)</t>
  </si>
  <si>
    <t xml:space="preserve">International haircut (Drivers!C586)</t>
  </si>
  <si>
    <t xml:space="preserve">Memo: Legacy mark v20 formula (whole fleet at 1.63×)</t>
  </si>
  <si>
    <t xml:space="preserve">Memo: International mark v20 formula (1.84× — unusable per v20 auditor)</t>
  </si>
  <si>
    <t xml:space="preserve">WF acquired mark (at cost — bought at market 1/1/26)</t>
  </si>
  <si>
    <t xml:space="preserve">SECTION D — v20 MEMO: fleet at mark ($M, 2026E book × v20 marks) — NOT USED IN v21</t>
  </si>
  <si>
    <t xml:space="preserve">Memo: Rail NA Legacy at v20 mark</t>
  </si>
  <si>
    <t xml:space="preserve">Memo: Rail International at v20 mark</t>
  </si>
  <si>
    <t xml:space="preserve">Memo: Wells Fargo acquired at cost (retained in v21)</t>
  </si>
  <si>
    <t xml:space="preserve">Memo: Total fleet at v20 mark</t>
  </si>
  <si>
    <t xml:space="preserve">Memo: Uplift over book v20 ($M)</t>
  </si>
  <si>
    <t xml:space="preserve">SECTION E — NAV BRIDGE ($M)</t>
  </si>
  <si>
    <t xml:space="preserve">Fleet at mark (from Section D)</t>
  </si>
  <si>
    <t xml:space="preserve">Plus: RRPF at selected method value (Drivers!C577)</t>
  </si>
  <si>
    <t xml:space="preserve">Plus: Other assets at book (Cash + Restricted + Receivables + ROU + Goodwill + Other)</t>
  </si>
  <si>
    <t xml:space="preserve">Less: Total debt (2026E)</t>
  </si>
  <si>
    <t xml:space="preserve">Less: Operating lease liabilities (2026E)</t>
  </si>
  <si>
    <t xml:space="preserve">Less: NCI at sourced strike (Drivers!C401 × Drivers!C402)</t>
  </si>
  <si>
    <t xml:space="preserve">NAV before deferred tax on markup</t>
  </si>
  <si>
    <t xml:space="preserve">Less: Deferred tax on markup (tax rate × uplift)</t>
  </si>
  <si>
    <t xml:space="preserve">NAV after deferred tax on markup</t>
  </si>
  <si>
    <t xml:space="preserve">Diluted shares (M) — 2026E</t>
  </si>
  <si>
    <t xml:space="preserve">NAV per share — before deferred tax</t>
  </si>
  <si>
    <t xml:space="preserve">NAV per share — after deferred tax</t>
  </si>
  <si>
    <t xml:space="preserve">P / NAV (after DT)</t>
  </si>
  <si>
    <t xml:space="preserve">P / NAV (before DT)</t>
  </si>
  <si>
    <t xml:space="preserve">SECTION F — SENSITIVITY GRID: NAV/sh (after DT) — haircut (rows) × M/B (cols)</t>
  </si>
  <si>
    <t xml:space="preserve">Haircut \ M/B</t>
  </si>
  <si>
    <t xml:space="preserve">GATES (v20-report)</t>
  </si>
  <si>
    <t xml:space="preserve">M/B 2023A / 2024A / 2025A / H1 2026</t>
  </si>
  <si>
    <t xml:space="preserve">Fleet-book-ties-to-3SF PP&amp;E — 2025A (must be 0)</t>
  </si>
  <si>
    <t xml:space="preserve">Fleet-book-ties-to-3SF PP&amp;E — 2026E (must be 0)</t>
  </si>
  <si>
    <t xml:space="preserve">NAV/sh — before DT</t>
  </si>
  <si>
    <t xml:space="preserve">NAV/sh — after DT</t>
  </si>
  <si>
    <t xml:space="preserve">SECTION C1 (v21) — VINTAGE-BASED MARK (age-adjusted linear depreciation)</t>
  </si>
  <si>
    <t xml:space="preserve">Method: for each vintage, book_per_car = new_cost × (1 − age/useful_life); market_per_car = new_cost × (life−age)/life ANCHORED so weighted M/B ties to sold-car M/B (calibration factor). Cap: mark ≤ sold-car M/B (NAV!D33).</t>
  </si>
  <si>
    <t xml:space="preserve">Vintage / pool</t>
  </si>
  <si>
    <t xml:space="preserve">Cars</t>
  </si>
  <si>
    <t xml:space="preserve">Age (yrs)</t>
  </si>
  <si>
    <t xml:space="preserve">Life (yrs)</t>
  </si>
  <si>
    <t xml:space="preserve">New cost / car ($)</t>
  </si>
  <si>
    <t xml:space="preserve">Book / car ($)</t>
  </si>
  <si>
    <t xml:space="preserve">Market / car ($)</t>
  </si>
  <si>
    <t xml:space="preserve">Cohort 2021</t>
  </si>
  <si>
    <t xml:space="preserve">Cohort 2022</t>
  </si>
  <si>
    <t xml:space="preserve">Cohort 2023</t>
  </si>
  <si>
    <t xml:space="preserve">Cohort 2024</t>
  </si>
  <si>
    <t xml:space="preserve">Cohort 2025</t>
  </si>
  <si>
    <t xml:space="preserve">Legacy base</t>
  </si>
  <si>
    <t xml:space="preserve">Rail International (mark = 1.00, per v20 auditor: no disposition data)</t>
  </si>
  <si>
    <t xml:space="preserve">Uncalibrated M/B per vintage (memo, before calibration)</t>
  </si>
  <si>
    <t xml:space="preserve">  M/B raw — Cohort 2021</t>
  </si>
  <si>
    <t xml:space="preserve">  M/B raw — Cohort 2022</t>
  </si>
  <si>
    <t xml:space="preserve">  M/B raw — Cohort 2023</t>
  </si>
  <si>
    <t xml:space="preserve">  M/B raw — Cohort 2024</t>
  </si>
  <si>
    <t xml:space="preserve">  M/B raw — Cohort 2025</t>
  </si>
  <si>
    <t xml:space="preserve">  M/B raw — Legacy base</t>
  </si>
  <si>
    <t xml:space="preserve">Uncalibrated weighted-avg M/B (cars-weighted)</t>
  </si>
  <si>
    <t xml:space="preserve">Sold-car M/B anchor (from NAV!D33, 3-yr avg 2023-2025)</t>
  </si>
  <si>
    <t xml:space="preserve">Calibration factor applied to vintage marks (1 = uncalibrated, PRIMARY; see memo E124)</t>
  </si>
  <si>
    <t xml:space="preserve">Memo: v21 calibration (anchor / uncalibrated). Retired 2026-09-28: forcing the fleet total to the sold-car M/B reintroduces the v20 error.</t>
  </si>
  <si>
    <t xml:space="preserve">Calibrated mark per vintage (capped at sold-car M/B)</t>
  </si>
  <si>
    <t xml:space="preserve">  Mark — Cohort 2021</t>
  </si>
  <si>
    <t xml:space="preserve">  Mark — Cohort 2022</t>
  </si>
  <si>
    <t xml:space="preserve">  Mark — Cohort 2023</t>
  </si>
  <si>
    <t xml:space="preserve">  Mark — Cohort 2024</t>
  </si>
  <si>
    <t xml:space="preserve">  Mark — Cohort 2025</t>
  </si>
  <si>
    <t xml:space="preserve">  Mark — Legacy base</t>
  </si>
  <si>
    <t xml:space="preserve">  Mark — Rail International (fixed 1.00)</t>
  </si>
  <si>
    <t xml:space="preserve">SECTION D1 (v21) — FLEET AT VINTAGE MARK ($M, 2026E book)</t>
  </si>
  <si>
    <t xml:space="preserve">Total legacy cars (from cohort model)</t>
  </si>
  <si>
    <t xml:space="preserve">Legacy pool book (2026E, from NAV!E20)</t>
  </si>
  <si>
    <t xml:space="preserve">Vintage</t>
  </si>
  <si>
    <t xml:space="preserve">Book share ($M)</t>
  </si>
  <si>
    <t xml:space="preserve">Mark (x)</t>
  </si>
  <si>
    <t xml:space="preserve">Market ($M)</t>
  </si>
  <si>
    <t xml:space="preserve">  Legacy total at vintage mark</t>
  </si>
  <si>
    <t xml:space="preserve">Rail International at book (mark = 1.00, per v20 auditor)</t>
  </si>
  <si>
    <t xml:space="preserve">Wells Fargo acquired at cost (mark = 1.00)</t>
  </si>
  <si>
    <t xml:space="preserve">TOTAL FLEET AT v21 VINTAGE MARK</t>
  </si>
  <si>
    <t xml:space="preserve">Uplift over book ($M)</t>
  </si>
  <si>
    <t xml:space="preserve">SECTION E1 (v21) — NAV BRIDGE using vintage mark</t>
  </si>
  <si>
    <t xml:space="preserve">Fleet at v21 vintage mark (from Section D1)</t>
  </si>
  <si>
    <t xml:space="preserve">NAV after deferred tax</t>
  </si>
  <si>
    <t xml:space="preserve">NAV per share — before DT (v21)</t>
  </si>
  <si>
    <t xml:space="preserve">NAV per share — after DT (v21) [PRIMARY]</t>
  </si>
  <si>
    <t xml:space="preserve">P / NAV (after DT, v21)</t>
  </si>
  <si>
    <t xml:space="preserve">SECTION G (v21) — REVERSE NAV: what fleet mark the current price implies</t>
  </si>
  <si>
    <t xml:space="preserve">Market cap = current price × diluted shares</t>
  </si>
  <si>
    <t xml:space="preserve">Plus: Total debt (2026E)</t>
  </si>
  <si>
    <t xml:space="preserve">Plus: Operating lease liabilities</t>
  </si>
  <si>
    <t xml:space="preserve">Plus: NCI at strike</t>
  </si>
  <si>
    <t xml:space="preserve">Less: RRPF at selected method value</t>
  </si>
  <si>
    <t xml:space="preserve">Less: Other assets at book (Cash + Restricted + Receivables + ROU + Goodwill + Other)</t>
  </si>
  <si>
    <t xml:space="preserve">Implied fleet market value ($M) [= sum above]</t>
  </si>
  <si>
    <t xml:space="preserve">Fleet book (2026E) — total pools</t>
  </si>
  <si>
    <t xml:space="preserve">Reverse-NAV implied fleet mark (M/B) [ANCHOR]</t>
  </si>
  <si>
    <t xml:space="preserve">Compare: vintage-based fleet mark (D1 total / book)</t>
  </si>
  <si>
    <t xml:space="preserve">Note: at current price the market prices fleet at ~5% over book; the vintage-based mark implies a much larger premium — the wedge is the residual-value uplift the market discounts.</t>
  </si>
  <si>
    <t xml:space="preserve">SECTION F1 (v21) — SENSITIVITY: NAV/sh (after DT) — vintage age spread × scrap value per car</t>
  </si>
  <si>
    <t xml:space="preserve">Scrap per car ↓ / Age shift (yrs) →</t>
  </si>
  <si>
    <t xml:space="preserve">GATES v21 (below the v20 gates block)</t>
  </si>
  <si>
    <t xml:space="preserve">v21 NAV/sh — after DT (vintage-based) [PRIMARY]</t>
  </si>
  <si>
    <t xml:space="preserve">v21 NAV/sh — before DT (vintage-based)</t>
  </si>
  <si>
    <t xml:space="preserve">v21 Reverse-NAV implied fleet mark (M/B)</t>
  </si>
  <si>
    <t xml:space="preserve">v21 Uplift over book ($M)</t>
  </si>
  <si>
    <t xml:space="preserve">v21 Uplift as % of market cap</t>
  </si>
  <si>
    <t xml:space="preserve">v21 Total fleet at vintage mark ($M)</t>
  </si>
  <si>
    <t xml:space="preserve">v21 P / NAV (after DT, vintage-based)</t>
  </si>
  <si>
    <t xml:space="preserve">FLEET MARK SENSITIVITY (v31)</t>
  </si>
  <si>
    <t xml:space="preserve">Rationale: realized sales at 1.76x NBV are the oldest cars; the fleet-wide mark is the contested assumption.</t>
  </si>
  <si>
    <t xml:space="preserve">Factor 1.00</t>
  </si>
  <si>
    <t xml:space="preserve">Factor 1.15</t>
  </si>
  <si>
    <t xml:space="preserve">Factor 1.35</t>
  </si>
  <si>
    <t xml:space="preserve">Factor</t>
  </si>
  <si>
    <t xml:space="preserve">Fleet-wide mark implied (market / book)</t>
  </si>
  <si>
    <t xml:space="preserve">Fleet market total at factor ($M, helper)</t>
  </si>
  <si>
    <t xml:space="preserve">NAV before DT ($M)</t>
  </si>
  <si>
    <t xml:space="preserve">Deferred tax on markup ($M)</t>
  </si>
  <si>
    <t xml:space="preserve">NAV after DT ($M)</t>
  </si>
  <si>
    <t xml:space="preserve">NAV per share after DT ($/sh)</t>
  </si>
  <si>
    <t xml:space="preserve">Section H weighted target at that NAV ($/sh)</t>
  </si>
  <si>
    <t xml:space="preserve">Expected 12M return at that target</t>
  </si>
  <si>
    <t xml:space="preserve">Factor at which expected return = −5.0% (HOLD-return breakeven)</t>
  </si>
  <si>
    <t xml:space="preserve">Computed by bisection on 2026-10-01, Python script</t>
  </si>
  <si>
    <t xml:space="preserve">GATX Residual Income Valuation (v20, 2026-09-27)</t>
  </si>
  <si>
    <t xml:space="preserve">Book equity 2025A + PV of (ROE − Ke) × opening book for 2026E-2035E + PV of terminal fade to 0 over N years.</t>
  </si>
  <si>
    <t xml:space="preserve">Ke from DCF!D57; g from Drivers!C594 (=Drivers!C397 term g); fade years driver Drivers!C593.</t>
  </si>
  <si>
    <t xml:space="preserve">SECTION A — RESIDUAL INCOME SCHEDULE ($M)</t>
  </si>
  <si>
    <t xml:space="preserve">Opening book equity ($M) — GATX SE</t>
  </si>
  <si>
    <t xml:space="preserve">Closing book equity ($M) — GATX SE</t>
  </si>
  <si>
    <t xml:space="preserve">Average book equity ($M)</t>
  </si>
  <si>
    <t xml:space="preserve">ROE = NI attrib / average book</t>
  </si>
  <si>
    <t xml:space="preserve">Cost of equity (Ke) — link DCF!D57</t>
  </si>
  <si>
    <t xml:space="preserve">Residual income ($M) = NI attributable − Ke × opening book [v21 corrected formula]</t>
  </si>
  <si>
    <t xml:space="preserve">Discount period (yrs, 2025A=0)</t>
  </si>
  <si>
    <t xml:space="preserve">PV of RI ($M)</t>
  </si>
  <si>
    <t xml:space="preserve">SECTION B — TERMINAL FADE (RI 2035 fades linearly to 0 over N years)</t>
  </si>
  <si>
    <t xml:space="preserve">Fade years N (Drivers!C593)</t>
  </si>
  <si>
    <t xml:space="preserve">RI 2035 ($M)</t>
  </si>
  <si>
    <t xml:space="preserve">Ke terminal (link DCF)</t>
  </si>
  <si>
    <t xml:space="preserve">PV of terminal fade (RI linearly declining from RI_2035 in yr 11 to 0 in yr 10+N)</t>
  </si>
  <si>
    <t xml:space="preserve">SECTION C — VALUE ROLL-UP ($M / $ per share)</t>
  </si>
  <si>
    <t xml:space="preserve">Book equity 2025A ($M)</t>
  </si>
  <si>
    <t xml:space="preserve">Sum PV of RI (2026E-2035E)</t>
  </si>
  <si>
    <t xml:space="preserve">PV of terminal fade</t>
  </si>
  <si>
    <t xml:space="preserve">Total equity value ($M)</t>
  </si>
  <si>
    <t xml:space="preserve">RI value per share ($)</t>
  </si>
  <si>
    <t xml:space="preserve">BVPS 2025A ($/sh)</t>
  </si>
  <si>
    <t xml:space="preserve">Implied P/B = value / book</t>
  </si>
  <si>
    <t xml:space="preserve">Justified P/B = (ROE_2027E − g) / (Ke − g)</t>
  </si>
  <si>
    <t xml:space="preserve">RI value / current price − 1</t>
  </si>
  <si>
    <t xml:space="preserve">SECTION D — CONSISTENCY CHECKS (must be 0 every year)</t>
  </si>
  <si>
    <t xml:space="preserve">CHECK 1: NI here − 3SF NI attributable (must be 0)</t>
  </si>
  <si>
    <t xml:space="preserve">CHECK 2: Δ Equity − (NI + Div + Buyback + SBC − NCI tranche premium) [v21: added ASC 810 premium term]</t>
  </si>
  <si>
    <t xml:space="preserve">2025A (M): actual-year roll includes OCI/pension re-marks not modeled in RI check. Per WO: label as actual, do not force.</t>
  </si>
  <si>
    <t xml:space="preserve">SECTION E — SENSITIVITY GRID: Value/sh — Ke (rows) × Fade years (cols)</t>
  </si>
  <si>
    <t xml:space="preserve">Ke \ Fade years</t>
  </si>
  <si>
    <t xml:space="preserve">ROE 2026E</t>
  </si>
  <si>
    <t xml:space="preserve">ROE 2027E</t>
  </si>
  <si>
    <t xml:space="preserve">ROE 2030E</t>
  </si>
  <si>
    <t xml:space="preserve">Implied P/B</t>
  </si>
  <si>
    <t xml:space="preserve">Justified P/B (cross-check)</t>
  </si>
  <si>
    <t xml:space="preserve">CHECK 1 max abs (should be 0)</t>
  </si>
  <si>
    <t xml:space="preserve">CHECK 2 max abs (forecast years 2026E-2035E only; 2025A actual roll not modeled per WO)</t>
  </si>
  <si>
    <t xml:space="preserve">HELPER (memo): forecast year index t=1..10 (for RI PV) and t=1..20 (for fade PV)</t>
  </si>
  <si>
    <t xml:space="preserve">Helper index t (memo)</t>
  </si>
  <si>
    <t xml:space="preserve">Helper index t=1..10 aligned to year cols (memo)</t>
  </si>
  <si>
    <t xml:space="preserve">Fade start offset (memo) = 10 (fade begins in year 11 post-2035)</t>
  </si>
  <si>
    <t xml:space="preserve">Peer P/B vs ROE regression (v20, 2026-09-21)</t>
  </si>
  <si>
    <t xml:space="preserve">Fit P/B = a + b × ROE across 8 lessor / equipment-finance peers. 6-8 points is a sketch, not a regression.</t>
  </si>
  <si>
    <t xml:space="preserve">FactSet source for 5 peers (GATX, AER, TRN, GBX, WLFC); AL/FTAI/ATSG are aggregator estimates with verification-pending source.</t>
  </si>
  <si>
    <t xml:space="preserve">SECTION A — PEER TABLE</t>
  </si>
  <si>
    <t xml:space="preserve">Company</t>
  </si>
  <si>
    <t xml:space="preserve">P/B (x, actual)</t>
  </si>
  <si>
    <t xml:space="preserve">ROE trailing</t>
  </si>
  <si>
    <t xml:space="preserve">ROE forward (est.)</t>
  </si>
  <si>
    <t xml:space="preserve">Div yield</t>
  </si>
  <si>
    <t xml:space="preserve">D/E</t>
  </si>
  <si>
    <t xml:space="preserve">As-of</t>
  </si>
  <si>
    <t xml:space="preserve">Source tier</t>
  </si>
  <si>
    <t xml:space="preserve">2026-09-21</t>
  </si>
  <si>
    <t xml:space="preserve">TIER1-FactSet</t>
  </si>
  <si>
    <t xml:space="preserve">AER</t>
  </si>
  <si>
    <t xml:space="preserve">AerCap Holdings</t>
  </si>
  <si>
    <t xml:space="preserve">TRN</t>
  </si>
  <si>
    <t xml:space="preserve">Trinity Industries</t>
  </si>
  <si>
    <t xml:space="preserve">GBX</t>
  </si>
  <si>
    <t xml:space="preserve">Greenbrier</t>
  </si>
  <si>
    <t xml:space="preserve">WLFC</t>
  </si>
  <si>
    <t xml:space="preserve">Willis Lease Fin.</t>
  </si>
  <si>
    <t xml:space="preserve">AL</t>
  </si>
  <si>
    <t xml:space="preserve">Air Lease</t>
  </si>
  <si>
    <t xml:space="preserve">TIER3-aggregator (stockanalysis.com; refreshed 2026-09-27)</t>
  </si>
  <si>
    <t xml:space="preserve">R</t>
  </si>
  <si>
    <t xml:space="preserve">Ryder System</t>
  </si>
  <si>
    <t xml:space="preserve">TIER3-aggregator (stockanalysis.com; v21 replacement for FTAI)</t>
  </si>
  <si>
    <t xml:space="preserve">MGRC</t>
  </si>
  <si>
    <t xml:space="preserve">McGrath RentCorp</t>
  </si>
  <si>
    <t xml:space="preserve">TIER3-aggregator (stockanalysis.com; v21 replacement for ATSG which was taken private by Stonepeak 2025)</t>
  </si>
  <si>
    <t xml:space="preserve">GSL</t>
  </si>
  <si>
    <t xml:space="preserve">Global Ship Lease</t>
  </si>
  <si>
    <t xml:space="preserve">TIER3-aggregator (stockanalysis.com; v21 new — marine container ship lessor, moderate profile)</t>
  </si>
  <si>
    <t xml:space="preserve">SECTION B — FIT: P/B = a + b × ROE (trailing)</t>
  </si>
  <si>
    <t xml:space="preserve">Slope (b) — 9-name full set incl. builders TRN+GBX [v21]</t>
  </si>
  <si>
    <t xml:space="preserve">Intercept (a) — 9-name full set</t>
  </si>
  <si>
    <t xml:space="preserve">R-squared — 9-name full set</t>
  </si>
  <si>
    <t xml:space="preserve">SECTION C — GATX FITTED VALUE</t>
  </si>
  <si>
    <t xml:space="preserve">GATX forward ROE (2027E)</t>
  </si>
  <si>
    <t xml:space="preserve">GATX fitted P/B = intercept + slope × forward ROE</t>
  </si>
  <si>
    <t xml:space="preserve">GATX BVPS 2026E ($/sh) — 3SF closing SE / diluted shares</t>
  </si>
  <si>
    <t xml:space="preserve">GATX BVPS 2027E ($/sh)</t>
  </si>
  <si>
    <t xml:space="preserve">Implied price (fitted P/B × BVPS 2027E)</t>
  </si>
  <si>
    <t xml:space="preserve">Gap $ = Implied − Current</t>
  </si>
  <si>
    <t xml:space="preserve">Gap % = Implied / Current − 1</t>
  </si>
  <si>
    <t xml:space="preserve">SECTION D — NOTES</t>
  </si>
  <si>
    <t xml:space="preserve">Note 1: 6-8 points is a sketch, not a regression. R² should be interpreted as directional only.</t>
  </si>
  <si>
    <t xml:space="preserve">Note 2: peer selection — GATX, AER, TRN, GBX, WLFC are commercial-lending lessor comps (FactSet grouping).</t>
  </si>
  <si>
    <t xml:space="preserve">Note 3: added AL (Air Lease), FTAI (aerospace aftermarket + leasing), ATSG (aircraft leasing) — equipment finance adjacent.</t>
  </si>
  <si>
    <t xml:space="preserve">Note 4: AL / FTAI / ATSG rows use aggregator estimates (StockAnalysis.com 2026-09-21). Verification pending against issuer filings.</t>
  </si>
  <si>
    <t xml:space="preserve">Note 5: TRN trailing ROE from FactSet showed 32.4% (spike from asset sale); normalized to 3yr avg 10% per Trinity 10-K disclosure.</t>
  </si>
  <si>
    <t xml:space="preserve">Note 6: forward ROE proxied by trailing for peers (no forward disclosure); GATX uses model 2027E ROE.</t>
  </si>
  <si>
    <t xml:space="preserve">Slope (b)</t>
  </si>
  <si>
    <t xml:space="preserve">Intercept (a)</t>
  </si>
  <si>
    <t xml:space="preserve">R-squared</t>
  </si>
  <si>
    <t xml:space="preserve">GATX fitted P/B</t>
  </si>
  <si>
    <t xml:space="preserve">GATX implied price</t>
  </si>
  <si>
    <t xml:space="preserve">Gap % vs current price</t>
  </si>
  <si>
    <t xml:space="preserve">SECTION E (v21) — SECOND FIT: pure-lessor set excluding builders (TRN, GBX)</t>
  </si>
  <si>
    <t xml:space="preserve">Pure-lessor set (7 names): GATX, AER, WLFC, AL, R, MGRC, GSL</t>
  </si>
  <si>
    <t xml:space="preserve">Name</t>
  </si>
  <si>
    <t xml:space="preserve">P/B</t>
  </si>
  <si>
    <t xml:space="preserve">ROE</t>
  </si>
  <si>
    <t xml:space="preserve">Slope (b) — 7-name pure lessors</t>
  </si>
  <si>
    <t xml:space="preserve">Intercept (a) — 7-name pure lessors</t>
  </si>
  <si>
    <t xml:space="preserve">R-squared — 7-name pure lessors</t>
  </si>
  <si>
    <t xml:space="preserve">GATX fitted P/B (pure-lessor fit)</t>
  </si>
  <si>
    <t xml:space="preserve">GATX implied price (pure-lessor fit × BVPS 2027E)</t>
  </si>
  <si>
    <t xml:space="preserve">For reference: GATX implied price (full 9-name fit with builders) = D41</t>
  </si>
  <si>
    <t xml:space="preserve">Note 7 (v21): v20 auditor removed FTAI (aerospace aftermarket, P/B 8.5 outlier). Without FTAI slope 29.9 → 1.96, R² 0.60 → 0.03, fitted P/B 2.27 → 1.53, implied price $197 → $133. v21 replaces FTAI with Ryder (R), MGRC (McGrath), GSL (Global Ship Lease). ATSG delisted 2025.</t>
  </si>
  <si>
    <t xml:space="preserve">Note 8 (v21): The Valuation Section C row 106 (Peer-fitted price) links to the 7-name PURE-LESSOR fit ex-builders per WO — see Valuation update.</t>
  </si>
  <si>
    <t xml:space="preserve">GATES v21</t>
  </si>
  <si>
    <t xml:space="preserve">Slope (b) — 9-name full</t>
  </si>
  <si>
    <t xml:space="preserve">Intercept (a) — 9-name full</t>
  </si>
  <si>
    <t xml:space="preserve">R² — 9-name full</t>
  </si>
  <si>
    <t xml:space="preserve">GATX fitted P/B — 9-name full</t>
  </si>
  <si>
    <t xml:space="preserve">GATX implied price — 9-name full</t>
  </si>
  <si>
    <t xml:space="preserve">R² — 7-name pure lessors</t>
  </si>
  <si>
    <t xml:space="preserve">GATX fitted P/B — 7-name pure lessors [PRIMARY per WO]</t>
  </si>
  <si>
    <t xml:space="preserve">GATX implied price — 7-name pure lessors [PRIMARY per WO]</t>
  </si>
  <si>
    <t xml:space="preserve">INDUSTRY SUPPLY — RSI ARCI + AAR + Railinc + Trinity + GATX; red-team C5; lessor-benchmark item 3</t>
  </si>
  <si>
    <t xml:space="preserve">All values sourced from research/methodology/lessor-benchmark-2026-09-28/03-industry-data-and-drivers.md and the files cited there. Blank = NOT FOUND in the vault file. No forecasts.</t>
  </si>
  <si>
    <t xml:space="preserve">Historical quarters only. Three derived columns (Net_fleet_change, Book_to_bill, Quarter_read) use formulas.</t>
  </si>
  <si>
    <t xml:space="preserve">LATEST READ (links to bottom row)</t>
  </si>
  <si>
    <t xml:space="preserve">Latest storage %  |  Latest read  |  Quarter</t>
  </si>
  <si>
    <t xml:space="preserve">Quarter</t>
  </si>
  <si>
    <t xml:space="preserve">ARCI_orders (cars)</t>
  </si>
  <si>
    <t xml:space="preserve">ARCI_deliveries (cars)</t>
  </si>
  <si>
    <t xml:space="preserve">ARCI_backlog (cars)</t>
  </si>
  <si>
    <t xml:space="preserve">AAR_cars_in_storage_pct</t>
  </si>
  <si>
    <t xml:space="preserve">Railinc_fleet_count (M revenue-earning)</t>
  </si>
  <si>
    <t xml:space="preserve">Trinity_FLRD (%)</t>
  </si>
  <si>
    <t xml:space="preserve">GATX_LPI (%)</t>
  </si>
  <si>
    <t xml:space="preserve">Net_fleet_change (cars)</t>
  </si>
  <si>
    <t xml:space="preserve">Book_to_bill</t>
  </si>
  <si>
    <t xml:space="preserve">Quarter_read</t>
  </si>
  <si>
    <t xml:space="preserve">Source (file + date)</t>
  </si>
  <si>
    <t xml:space="preserve">Q1 2025</t>
  </si>
  <si>
    <t xml:space="preserve">GATX 10-Q Q1 2026 (per 03-industry-data-and-drivers.md L11, L38)</t>
  </si>
  <si>
    <t xml:space="preserve">Q2 2025</t>
  </si>
  <si>
    <t xml:space="preserve">Trinity Q2 2026 results (per 03-industry-data-and-drivers.md L13)</t>
  </si>
  <si>
    <t xml:space="preserve">Q3 2025</t>
  </si>
  <si>
    <t xml:space="preserve">supply-led (backlog 25,637 vs 2020 peak 61,415; orders 3,071 very low, no demand collapse signal — fleet aging drives undersupply)</t>
  </si>
  <si>
    <t xml:space="preserve">Railway Age "Anemic Railcar Orders" Nov 2025 (per 03-industry-data-and-drivers.md L16)</t>
  </si>
  <si>
    <t xml:space="preserve">Q4 2025</t>
  </si>
  <si>
    <t xml:space="preserve">GATX 10-Q Q1 2026 Q4 2025 LPI line (per 03-industry-data-and-drivers.md L38); RETAC March 2026 fleet net</t>
  </si>
  <si>
    <t xml:space="preserve">Q1 2026</t>
  </si>
  <si>
    <t xml:space="preserve">GATX 10-Q Q1 2026 (per 03-industry-data-and-drivers.md L11)</t>
  </si>
  <si>
    <t xml:space="preserve">supply-led (fleet net −8K/yr 2025; storage 21.8% but Trinity reports &lt;20% four months running; new-car orders very low; GATX mgmt "supply-led market")</t>
  </si>
  <si>
    <t xml:space="preserve">GATX 10-Q Q2 2026; Trinity Q2 2026 results; AAR Rail Industry Overview Feb 2026 (per 03-industry-data-and-drivers.md L11, L13, L17, L21)</t>
  </si>
  <si>
    <t xml:space="preserve">FSM COMPLETE — dashboard + gate report</t>
  </si>
  <si>
    <t xml:space="preserve">GATE REPORT (cell addr + computed value)</t>
  </si>
  <si>
    <t xml:space="preserve">Total Revenue</t>
  </si>
  <si>
    <t xml:space="preserve">NCI (from GABX)</t>
  </si>
  <si>
    <t xml:space="preserve">Cash EOP (BS)</t>
  </si>
  <si>
    <t xml:space="preserve">Cash EOP (CFS)</t>
  </si>
  <si>
    <t xml:space="preserve">Total Liab</t>
  </si>
  <si>
    <t xml:space="preserve">BALANCE CHECK (=0)</t>
  </si>
  <si>
    <t xml:space="preserve">Cohort model total</t>
  </si>
  <si>
    <t xml:space="preserve">Cohort calibration factor</t>
  </si>
  <si>
    <t xml:space="preserve">Acquired pool rev</t>
  </si>
  <si>
    <t xml:space="preserve">Q2 2026 GABX NCI (=$7.6M)</t>
  </si>
  <si>
    <t xml:space="preserve">Wells Fargo CFI outflow (2026)</t>
  </si>
  <si>
    <t xml:space="preserve">GATE STATUS vs targets</t>
  </si>
  <si>
    <t xml:space="preserve">2025A Cash BS vs 10-K $743.0 check</t>
  </si>
  <si>
    <t xml:space="preserve">FY2025 10-K p.58 (Balance Sheet: Cash and cash equivalents)</t>
  </si>
  <si>
    <t xml:space="preserve">2025A TA vs 10-K $17,999.5 check</t>
  </si>
  <si>
    <t xml:space="preserve">FY2025 10-K p.58 (Balance Sheet: Total Assets)</t>
  </si>
  <si>
    <t xml:space="preserve">2025A TL vs 10-K $14,364.4 check</t>
  </si>
  <si>
    <t xml:space="preserve">FY2025 10-K p.58 (Balance Sheet: Total Liabilities)</t>
  </si>
  <si>
    <t xml:space="preserve">2025A TE vs 10-K $3,635.1 check</t>
  </si>
  <si>
    <t xml:space="preserve">FY2025 10-K p.58 (Balance Sheet: Total Shareholders' Equity)</t>
  </si>
  <si>
    <t xml:space="preserve">2026E Cash EOP vs Q2 6/30 $747.1M target</t>
  </si>
  <si>
    <t xml:space="preserve">2026E Interest vs -$588 target (H1 × 2)</t>
  </si>
  <si>
    <t xml:space="preserve">2026E EPS vs guide midpoint $10.10</t>
  </si>
  <si>
    <t xml:space="preserve">GATX FSM v16: SUMMARY OF KEY NUMBERS AND FINDINGS</t>
  </si>
  <si>
    <t xml:space="preserve">Every number on this page is a link into the model (green). Nothing is typed except the findings text and the audit line. Price as of 2026-09-18.</t>
  </si>
  <si>
    <t xml:space="preserve">1. RATING AND TARGET</t>
  </si>
  <si>
    <t xml:space="preserve">Rating!D29; rule: BUY &gt; +15%, SELL &lt; -5%, HOLD between</t>
  </si>
  <si>
    <t xml:space="preserve">Probability-weighted target ($/sh)</t>
  </si>
  <si>
    <t xml:space="preserve">Rating!D18 = Valuation!I69 (P/E scenarios only; DCF, FCFE weight 0)</t>
  </si>
  <si>
    <t xml:space="preserve">Drivers!C179</t>
  </si>
  <si>
    <t xml:space="preserve">NTM dividend ($/sh)</t>
  </si>
  <si>
    <t xml:space="preserve">Rating!D21</t>
  </si>
  <si>
    <t xml:space="preserve">Rating!D24</t>
  </si>
  <si>
    <t xml:space="preserve">BUY / SELL thresholds</t>
  </si>
  <si>
    <t xml:space="preserve">Drivers!C378:C379</t>
  </si>
  <si>
    <t xml:space="preserve">Upside/downside to target (price only)</t>
  </si>
  <si>
    <t xml:space="preserve">this sheet</t>
  </si>
  <si>
    <t xml:space="preserve">2. EARNINGS: MODEL VS GUIDANCE VS STREET</t>
  </si>
  <si>
    <t xml:space="preserve">($ per share unless noted)</t>
  </si>
  <si>
    <t xml:space="preserve">Diluted EPS (model)</t>
  </si>
  <si>
    <t xml:space="preserve">3 Statement Forecast!D33:I33</t>
  </si>
  <si>
    <t xml:space="preserve">Company guidance 2026 (low / high)</t>
  </si>
  <si>
    <t xml:space="preserve">Drivers!C53:C54, Q2 2026 release</t>
  </si>
  <si>
    <t xml:space="preserve">Drivers!C147:C148</t>
  </si>
  <si>
    <t xml:space="preserve">Model minus consensus</t>
  </si>
  <si>
    <t xml:space="preserve">Q3 2026E EPS: model vs consensus midpoint</t>
  </si>
  <si>
    <t xml:space="preserve">Quarterly 2026!D30, B21; reported 2026-10-27</t>
  </si>
  <si>
    <t xml:space="preserve">Total revenue ($M)</t>
  </si>
  <si>
    <t xml:space="preserve">3 Statement Forecast row 17</t>
  </si>
  <si>
    <t xml:space="preserve">Interest expense, net ($M)</t>
  </si>
  <si>
    <t xml:space="preserve">3 Statement Forecast row 24</t>
  </si>
  <si>
    <t xml:space="preserve">Net income attributable to GATX ($M)</t>
  </si>
  <si>
    <t xml:space="preserve">rows 29 + 30 (NCI)</t>
  </si>
  <si>
    <t xml:space="preserve">Total debt EOP ($M)</t>
  </si>
  <si>
    <t xml:space="preserve">3 Statement Forecast row 47</t>
  </si>
  <si>
    <t xml:space="preserve">GATX shareholders' equity ($M)</t>
  </si>
  <si>
    <t xml:space="preserve">3 Statement Forecast row 58</t>
  </si>
  <si>
    <t xml:space="preserve">ROE (NI attrib. / avg equity)</t>
  </si>
  <si>
    <t xml:space="preserve">3. VALUATION: EVERY METHOD, $ PER SHARE</t>
  </si>
  <si>
    <t xml:space="preserve">Method</t>
  </si>
  <si>
    <t xml:space="preserve">Value/sh</t>
  </si>
  <si>
    <t xml:space="preserve">Multiple</t>
  </si>
  <si>
    <t xml:space="preserve">vs price</t>
  </si>
  <si>
    <t xml:space="preserve">P/E bear: Thesis Test bear EPS x 25th pct NTM P/E</t>
  </si>
  <si>
    <t xml:space="preserve">Valuation row 65</t>
  </si>
  <si>
    <t xml:space="preserve">P/E base: model 2027E EPS x 10-yr median NTM P/E</t>
  </si>
  <si>
    <t xml:space="preserve">Valuation row 66</t>
  </si>
  <si>
    <t xml:space="preserve">P/E bull: Thesis Test bull EPS x 75th pct NTM P/E</t>
  </si>
  <si>
    <t xml:space="preserve">Valuation row 67</t>
  </si>
  <si>
    <t xml:space="preserve">P/B: 2027E BVPS x 25-yr median P/B</t>
  </si>
  <si>
    <t xml:space="preserve">Valuation!D31, B15 (cross-check, not weighted)</t>
  </si>
  <si>
    <t xml:space="preserve">DCF, unlevered, Gordon TV (diagnostic)</t>
  </si>
  <si>
    <t xml:space="preserve">DCF!D118; TV share of EV: see row below</t>
  </si>
  <si>
    <t xml:space="preserve">DCF, unlevered, exit multiple TV (diagnostic)</t>
  </si>
  <si>
    <t xml:space="preserve">DCF!D120</t>
  </si>
  <si>
    <t xml:space="preserve">FCFE, perpetuity on year-10 FCFE (diagnostic)</t>
  </si>
  <si>
    <t xml:space="preserve">FCFE!D74</t>
  </si>
  <si>
    <t xml:space="preserve">FCFE, P/B on year-10 book (diagnostic)</t>
  </si>
  <si>
    <t xml:space="preserve">FCFE!D75</t>
  </si>
  <si>
    <t xml:space="preserve">Current P/E on 2027E (price / model EPS)</t>
  </si>
  <si>
    <t xml:space="preserve">NTM P/E: 25th / median / 75th / current</t>
  </si>
  <si>
    <t xml:space="preserve">Valuation!D19:D22, 2,606-obs helper series (restored in v16)</t>
  </si>
  <si>
    <t xml:space="preserve">P/B: 25-yr low / median / high / current on 2026E BVPS</t>
  </si>
  <si>
    <t xml:space="preserve">Valuation!D26:D28, B18</t>
  </si>
  <si>
    <t xml:space="preserve">Peer NTM P/E median, peer P/B median (AER, WLFC, TRN, GBX)</t>
  </si>
  <si>
    <t xml:space="preserve">Valuation!D24:D25</t>
  </si>
  <si>
    <t xml:space="preserve">Justified P/B = (ROE 2027E - g) / (Ke - g), g = 2%</t>
  </si>
  <si>
    <t xml:space="preserve">ROE this sheet D23; Ke DCF!B45; g Drivers!B571</t>
  </si>
  <si>
    <t xml:space="preserve">WACC / Ke / pre-tax Kd</t>
  </si>
  <si>
    <t xml:space="preserve">DCF!D65, B45, B46</t>
  </si>
  <si>
    <t xml:space="preserve">Terminal value share of EV: Gordon / exit</t>
  </si>
  <si>
    <t xml:space="preserve">DCF!D100:D101 (&gt;75% = flag)</t>
  </si>
  <si>
    <t xml:space="preserve">RRPF value: book / dividend cap (a) / earnings x P/E (b) ($M)</t>
  </si>
  <si>
    <t xml:space="preserve">Drivers!C404; DCF!D111:D112; selector Drivers!B572</t>
  </si>
  <si>
    <t xml:space="preserve">RRPF (a) minus book, per share ($)</t>
  </si>
  <si>
    <t xml:space="preserve">the open decision: not in the target today</t>
  </si>
  <si>
    <t xml:space="preserve">FCFE for valuation 2026E / 2027E ($M)</t>
  </si>
  <si>
    <t xml:space="preserve">FCFE!D30:E30; ties to div + buyback - SBC by construction</t>
  </si>
  <si>
    <t xml:space="preserve">4. THESIS TEST: SOURCES VS USES OF EARNINGS ($M)</t>
  </si>
  <si>
    <t xml:space="preserve">1. Repricing uplift</t>
  </si>
  <si>
    <t xml:space="preserve">Thesis Test row 18</t>
  </si>
  <si>
    <t xml:space="preserve">2. Disposition gains attributable to GATX</t>
  </si>
  <si>
    <t xml:space="preserve">Thesis Test row 20 (v17 Item 4 relabel: Legacy + 33.5% JV share attributable to GATX)</t>
  </si>
  <si>
    <t xml:space="preserve">Thesis Test row 21</t>
  </si>
  <si>
    <t xml:space="preserve">4. Added interest vs 2025A (use)</t>
  </si>
  <si>
    <t xml:space="preserve">Thesis Test row 22</t>
  </si>
  <si>
    <t xml:space="preserve">5. Refinancing cost (use)</t>
  </si>
  <si>
    <t xml:space="preserve">Thesis Test row 23</t>
  </si>
  <si>
    <t xml:space="preserve">6. Net (sources minus uses)</t>
  </si>
  <si>
    <t xml:space="preserve">Thesis Test row 24</t>
  </si>
  <si>
    <t xml:space="preserve">LPI assumption</t>
  </si>
  <si>
    <t xml:space="preserve">Drivers!C32:C36 (Q2 2026 actual 16.8%, Drivers!C31)</t>
  </si>
  <si>
    <t xml:space="preserve">Renewal success assumption</t>
  </si>
  <si>
    <t xml:space="preserve">Drivers!C37:C38</t>
  </si>
  <si>
    <t xml:space="preserve">Break-even LPI 2027 (net = 0)</t>
  </si>
  <si>
    <t xml:space="preserve">Thesis Test!D45; 2017 trough was -24%</t>
  </si>
  <si>
    <t xml:space="preserve">2027E EPS at 6.00% new-issue rate (kill test)</t>
  </si>
  <si>
    <t xml:space="preserve">Thesis Test!D46 vs base 3SF!D21</t>
  </si>
  <si>
    <t xml:space="preserve">5. KILL CRITERIA AND RATING FLIP POINTS</t>
  </si>
  <si>
    <t xml:space="preserve">New-issue rate reaches 6.00%</t>
  </si>
  <si>
    <t xml:space="preserve">Rating row 53; GATX 2035 bond 5.95% (rates file), 5bp away</t>
  </si>
  <si>
    <t xml:space="preserve">2027E EPS at 6.00% below guidance low</t>
  </si>
  <si>
    <t xml:space="preserve">Rating row 54</t>
  </si>
  <si>
    <t xml:space="preserve">Model LPI below break-even</t>
  </si>
  <si>
    <t xml:space="preserve">Rating row 55</t>
  </si>
  <si>
    <t xml:space="preserve">Legacy dispositions 2026 ($M): model / guide / SELL flip</t>
  </si>
  <si>
    <t xml:space="preserve">Dispo Engine!B32 (v17 Item 4 relabel: 'Legacy net gain on dispositions'; 3SF row 23 adds GABX JV)</t>
  </si>
  <si>
    <t xml:space="preserve">LPI needed for BUY (flip point)</t>
  </si>
  <si>
    <t xml:space="preserve">Rating!D41; repricing alone cannot get to BUY</t>
  </si>
  <si>
    <t xml:space="preserve">Consensus bridge: 2027 gap explained / residual ($/sh)</t>
  </si>
  <si>
    <t xml:space="preserve">Consensus Bridge!D42:D44; gate fails at -$0.31 (open)</t>
  </si>
  <si>
    <t xml:space="preserve">6. MODEL INTEGRITY</t>
  </si>
  <si>
    <t xml:space="preserve">Balance check, sum of absolute errors, 2025A to 2035E</t>
  </si>
  <si>
    <t xml:space="preserve">3 Statement Forecast row 62; must be 0</t>
  </si>
  <si>
    <t xml:space="preserve">Cash + restricted: CFS EOP = BS total, 2026E to 2030E (max abs diff)</t>
  </si>
  <si>
    <t xml:space="preserve">3SF row 93 vs row 94</t>
  </si>
  <si>
    <t xml:space="preserve">FCFE cash identity residual 2027E ($M)</t>
  </si>
  <si>
    <t xml:space="preserve">FCFE row 38; gate |x| &lt; 0.5</t>
  </si>
  <si>
    <t xml:space="preserve">Audit script (typed)</t>
  </si>
  <si>
    <t xml:space="preserve">audit_fsm.py v16: see models/GATX/reports/v16-report.md</t>
  </si>
  <si>
    <t xml:space="preserve">EPS gate fails above guidance by design (dispositions)</t>
  </si>
  <si>
    <t xml:space="preserve">7. WHAT WE FOUND (text, dated 2026-09-26)</t>
  </si>
  <si>
    <t xml:space="preserve">Finding (topic: text)</t>
  </si>
  <si>
    <t xml:space="preserve">Source cells</t>
  </si>
  <si>
    <t xml:space="preserve">Rating: HOLD, $170 target, -2.8% expected 12-month total return at $177.89. The stock prices in the Street's 2027 EPS ($11.27); our model gets $10.37 from the filings.</t>
  </si>
  <si>
    <t xml:space="preserve">Rating!D29, B6, B12</t>
  </si>
  <si>
    <t xml:space="preserve">Where we differ: Not repricing. Three softer lines: interest expense the Street holds flat (~$0.55/sh), a second year of Wells Fargo accretion the Street assumes (~$0.30/sh), and RRPF (~$0.28/sh).</t>
  </si>
  <si>
    <t xml:space="preserve">Consensus Bridge G17:G19</t>
  </si>
  <si>
    <t xml:space="preserve">The cushion: Sources minus uses stays positive through 2029 but is carried by dispositions ($176M/yr) and RRPF ($130M/yr), not by lease repricing ($46M falling to $17M). Turns negative in 2030 as interest keeps climbing.</t>
  </si>
  <si>
    <t xml:space="preserve">Break-even: LPI can fall to -29% in 2027 before the thesis breaks, versus -24% at the 2017 trough. Survives a normal down-cycle only with dispositions intact.</t>
  </si>
  <si>
    <t xml:space="preserve">Thesis Test!D45</t>
  </si>
  <si>
    <t xml:space="preserve">What flips it: To SELL: legacy dispositions below ~$146M (we carry $155M, guide is $130M). To BUY: nothing on LPI; the flip point is +80%. A BUY needs a higher multiple or a bigger disposition market.</t>
  </si>
  <si>
    <t xml:space="preserve">Rating!D49, B29</t>
  </si>
  <si>
    <t xml:space="preserve">Near-term test: Q3 2026 (Oct 27): model $2.67 vs consensus $2.48. A print at or below consensus with legacy gains under $50M means the disposition call is wrong.</t>
  </si>
  <si>
    <t xml:space="preserve">Quarterly 2026!D30, B21</t>
  </si>
  <si>
    <t xml:space="preserve">Refinancing: 6.00% new-issue costs ~$0.19 of 2027E EPS (2%). Small effect, close trigger: GATX's own 2035 bond yields 5.95%.</t>
  </si>
  <si>
    <t xml:space="preserve">Thesis Test!D46; Drivers!C102, B105</t>
  </si>
  <si>
    <t xml:space="preserve">Cash-based methods: Unlevered DCF puts 75-87% of value in the terminal year and swings $97 to $477 by method; FCFE is ~payout by construction ($67 or $122). Both are diagnostics weighted zero. Justified P/B ~1.5x vs ~2.1x traded points the same way as the P/E work: fully valued.</t>
  </si>
  <si>
    <t xml:space="preserve">DCF!D118, B108; FCFE!D74:D75; Summary row 55</t>
  </si>
  <si>
    <t xml:space="preserve">Open decisions: RRPF at value (~$2.0B vs $732M book, ~$35/sh) is not in the target. 2031-2035 out-years are five flat assumptions, not one steady state. Consensus Bridge residual -$0.31 unexplained. DCF Grid A is EV/sh, needs the debt bridge.</t>
  </si>
  <si>
    <t xml:space="preserve">Drivers!C572; work order v16</t>
  </si>
  <si>
    <t xml:space="preserve">v16 fix: v14 truncated the NTM P/E helper series from 2,606 to 1,000 observations; median fell 16.34x to 14.47x and the rating read SELL/$151. Series restored; rating back to HOLD/$170. Audit script now needs a series-length check.</t>
  </si>
  <si>
    <t xml:space="preserve">Valuation!N212:N2817</t>
  </si>
  <si>
    <t xml:space="preserve">3b. VALUATION (v20 additions) — NAV, Residual Income, Peer-fitted P/B</t>
  </si>
  <si>
    <t xml:space="preserve">NAV per share (v21 vintage-based, after DT)</t>
  </si>
  <si>
    <t xml:space="preserve">NAV!D65; sheet NAV Section E</t>
  </si>
  <si>
    <t xml:space="preserve">Residual income per share (v21, formula NI − Ke × opening book)</t>
  </si>
  <si>
    <t xml:space="preserve">Peer-fitted price (v21, pure-lessor ex-builders fit)</t>
  </si>
  <si>
    <t xml:space="preserve">v21 — Reverse NAV implied fleet mark (M/B, from current price)</t>
  </si>
  <si>
    <t xml:space="preserve">v20 GATE: Rating!D18 (must remain 170.25 with weights=0)</t>
  </si>
  <si>
    <t xml:space="preserve">v20 GATE: Rating!D29 (must remain HOLD)</t>
  </si>
  <si>
    <t xml:space="preserve">v21 — Vintage-based fleet mark (M/B, for comparison)</t>
  </si>
  <si>
    <t xml:space="preserve">8. v27 SCENARIO OUTPUTS (P/E scenario snapshots — Valuation Section C1)</t>
  </si>
  <si>
    <t xml:space="preserve">Scenario selector (1=Bear, 2=Base, 3=Bull)</t>
  </si>
  <si>
    <t xml:space="preserve">Drivers!C736 selector</t>
  </si>
  <si>
    <t xml:space="preserve">Snapshot</t>
  </si>
  <si>
    <t xml:space="preserve">2027E EPS ($/sh)</t>
  </si>
  <si>
    <t xml:space="preserve">P/E target ($/sh) at scenario multiple</t>
  </si>
  <si>
    <t xml:space="preserve">Base column MUST equal live at selector=2; staleness check on Valuation.</t>
  </si>
  <si>
    <t xml:space="preserve">LEARN THE MODEL — one idea per row, every number is a live link</t>
  </si>
  <si>
    <t xml:space="preserve">The idea, in one plain sentence</t>
  </si>
  <si>
    <t xml:space="preserve">The number (live link)</t>
  </si>
  <si>
    <t xml:space="preserve">Where it lives (sheet!cell)</t>
  </si>
  <si>
    <t xml:space="preserve">Try this (one instruction)</t>
  </si>
  <si>
    <t xml:space="preserve">1</t>
  </si>
  <si>
    <t xml:space="preserve">GATX owns railcars and rents them out. Total cars worldwide (NA plus boxcars plus Wells Fargo pool plus Europe plus India).</t>
  </si>
  <si>
    <t xml:space="preserve">Drivers!C5 + C6 + C25 + C771 + C772</t>
  </si>
  <si>
    <t xml:space="preserve">Change Drivers!C5 to 105000 and watch total move.</t>
  </si>
  <si>
    <t xml:space="preserve">2</t>
  </si>
  <si>
    <t xml:space="preserve">Utilization is the share of cars that are earning. Rail NA year-end 2025 utilization 99.0% (ex-boxcars, 10-K FY2025 p.21).</t>
  </si>
  <si>
    <t xml:space="preserve">Drivers!C7</t>
  </si>
  <si>
    <t xml:space="preserve">Change Drivers!C7 to 0.97 and watch Rail NA revenue in Segment P&amp;L row 19.</t>
  </si>
  <si>
    <t xml:space="preserve">3</t>
  </si>
  <si>
    <t xml:space="preserve">When a lease ends the car is re-rented at today rate. LPI (lease-price index) is the change vs the old rate. FY2027 assumption.</t>
  </si>
  <si>
    <t xml:space="preserve">Drivers!C33</t>
  </si>
  <si>
    <t xml:space="preserve">Change Drivers!C33 to 0.05 and watch 2027E EPS at 3 Statement Forecast row 33.</t>
  </si>
  <si>
    <t xml:space="preserve">4</t>
  </si>
  <si>
    <t xml:space="preserve">Only cars whose leases end this year get the new rate. Renewal success (share renewed) FY2027.</t>
  </si>
  <si>
    <t xml:space="preserve">Drivers!C38</t>
  </si>
  <si>
    <t xml:space="preserve">Change Drivers!C38 to 0.75 and watch Legacy Cohort revenue at row 43.</t>
  </si>
  <si>
    <t xml:space="preserve">5</t>
  </si>
  <si>
    <t xml:space="preserve">Cars times rate times utilization equals lease revenue. Rail NA 2027E lease revenue.</t>
  </si>
  <si>
    <t xml:space="preserve">Segment P&amp;L!F19</t>
  </si>
  <si>
    <t xml:space="preserve">Change Drivers!C33 (LPI 2027) up 500 bp and watch this number rise.</t>
  </si>
  <si>
    <t xml:space="preserve">6a</t>
  </si>
  <si>
    <t xml:space="preserve">Owning cars costs money before interest. Maintenance expense 2027E.</t>
  </si>
  <si>
    <t xml:space="preserve">3 Statement Forecast!F18</t>
  </si>
  <si>
    <t xml:space="preserve">Change Drivers!C126 (maintenance rate) and watch this line.</t>
  </si>
  <si>
    <t xml:space="preserve">6b</t>
  </si>
  <si>
    <t xml:space="preserve">Depreciation expense 2027E (the other big non-interest cost).</t>
  </si>
  <si>
    <t xml:space="preserve">3 Statement Forecast!F19</t>
  </si>
  <si>
    <t xml:space="preserve">Depreciation follows PP&amp;E gross times depreciation rate (Drivers!C125).</t>
  </si>
  <si>
    <t xml:space="preserve">7a</t>
  </si>
  <si>
    <t xml:space="preserve">GATX borrows to buy cars, so interest is the biggest cost after depreciation.</t>
  </si>
  <si>
    <t xml:space="preserve">3 Statement Forecast!F24</t>
  </si>
  <si>
    <t xml:space="preserve">Change Drivers!C102 (new-issue rate) to 0.06 and watch this line grow.</t>
  </si>
  <si>
    <t xml:space="preserve">7b</t>
  </si>
  <si>
    <t xml:space="preserve">The rate GATX pays on new debt (the driver behind row 7a).</t>
  </si>
  <si>
    <t xml:space="preserve">Drivers!C102</t>
  </si>
  <si>
    <t xml:space="preserve">Set Drivers!C102 to 0.06 and watch 2027E EPS drop.</t>
  </si>
  <si>
    <t xml:space="preserve">8</t>
  </si>
  <si>
    <t xml:space="preserve">Selling old cars above book value creates gains. Disposition gains 2027E.</t>
  </si>
  <si>
    <t xml:space="preserve">3 Statement Forecast!F23</t>
  </si>
  <si>
    <t xml:space="preserve">Change Drivers!C58 (2027 legacy dispo dollars) and watch gains.</t>
  </si>
  <si>
    <t xml:space="preserve">9</t>
  </si>
  <si>
    <t xml:space="preserve">Half of the Rolls Royce engine JV (RRPF) shows up as one line, not as revenue.</t>
  </si>
  <si>
    <t xml:space="preserve">3 Statement Forecast!F28</t>
  </si>
  <si>
    <t xml:space="preserve">Change Drivers!C114 (RRPF earnings FY2027) and watch this line.</t>
  </si>
  <si>
    <t xml:space="preserve">10</t>
  </si>
  <si>
    <t xml:space="preserve">Brookfield owns most of GABX, so their share of that profit comes out (NCI, non-controlling interest).</t>
  </si>
  <si>
    <t xml:space="preserve">3 Statement Forecast!F30</t>
  </si>
  <si>
    <t xml:space="preserve">Change Drivers!C175 (GABX NCI share) and watch this line.</t>
  </si>
  <si>
    <t xml:space="preserve">11</t>
  </si>
  <si>
    <t xml:space="preserve">What is left after taxes, affiliates, and NCI is net income to GATX.</t>
  </si>
  <si>
    <t xml:space="preserve">3 Statement Forecast!F31</t>
  </si>
  <si>
    <t xml:space="preserve">This is the sum of rows above; changes flow up from every driver.</t>
  </si>
  <si>
    <t xml:space="preserve">12a</t>
  </si>
  <si>
    <t xml:space="preserve">Diluted share count 2027E (denominator for EPS).</t>
  </si>
  <si>
    <t xml:space="preserve">3 Statement Forecast!F32</t>
  </si>
  <si>
    <t xml:space="preserve">Buybacks lower this; Drivers!C725 is the annual buyback share count.</t>
  </si>
  <si>
    <t xml:space="preserve">12b</t>
  </si>
  <si>
    <t xml:space="preserve">Divide net income by shares to get EPS. 2027E diluted EPS.</t>
  </si>
  <si>
    <t xml:space="preserve">3 Statement Forecast!F33</t>
  </si>
  <si>
    <t xml:space="preserve">This is the number the whole model exists to compute.</t>
  </si>
  <si>
    <t xml:space="preserve">13</t>
  </si>
  <si>
    <t xml:space="preserve">The Street 2027 EPS vs ours, and the gap. See Consensus Bridge for the walk.</t>
  </si>
  <si>
    <t xml:space="preserve">Consensus Bridge!D19</t>
  </si>
  <si>
    <t xml:space="preserve">Change Drivers!C194 (Consensus_EPS_2027) to change the gap.</t>
  </si>
  <si>
    <t xml:space="preserve">14a</t>
  </si>
  <si>
    <t xml:space="preserve">A P/E multiple turns EPS into a price. GATX 10 year median NTM (next-twelve-month) P/E.</t>
  </si>
  <si>
    <t xml:space="preserve">Valuation!D20</t>
  </si>
  <si>
    <t xml:space="preserve">Median computed by formula on 2,606 daily obs (Valuation!N212:N2817).</t>
  </si>
  <si>
    <t xml:space="preserve">14b</t>
  </si>
  <si>
    <t xml:space="preserve">P/E price at Base scenario (2027E EPS times median multiple).</t>
  </si>
  <si>
    <t xml:space="preserve">Valuation!E159</t>
  </si>
  <si>
    <t xml:space="preserve">This is the Base column of the scenario snapshot block (Section C1).</t>
  </si>
  <si>
    <t xml:space="preserve">15</t>
  </si>
  <si>
    <t xml:space="preserve">Probability weighting Bear/Base/Bull gives the target. Rating D18 shows it.</t>
  </si>
  <si>
    <t xml:space="preserve">Rating!D18</t>
  </si>
  <si>
    <t xml:space="preserve">Change Drivers!C196:C198 (scenario probabilities) to reweight; must sum to 1.</t>
  </si>
  <si>
    <t xml:space="preserve">16</t>
  </si>
  <si>
    <t xml:space="preserve">Target plus dividend vs today price gives expected 12 month return.</t>
  </si>
  <si>
    <t xml:space="preserve">Change Drivers!C179 (current price) to see how expected return moves.</t>
  </si>
  <si>
    <t xml:space="preserve">17</t>
  </si>
  <si>
    <t xml:space="preserve">The rule: BUY above +15%, SELL below -5%, HOLD between. Current rating.</t>
  </si>
  <si>
    <t xml:space="preserve">Rating!D29</t>
  </si>
  <si>
    <t xml:space="preserve">BUY / SELL thresholds live at Drivers!C378 and C379.</t>
  </si>
  <si>
    <t xml:space="preserve">18</t>
  </si>
  <si>
    <t xml:space="preserve">The one switch: Scenario_select. 1=Bear, 2=Base, 3=Bull.</t>
  </si>
  <si>
    <t xml:space="preserve">Drivers!C736</t>
  </si>
  <si>
    <t xml:space="preserve">Set to 1, then 3, watch rows 15 and 16 move. Set back to 2 before saving.</t>
  </si>
  <si>
    <t xml:space="preserve">19a</t>
  </si>
  <si>
    <t xml:space="preserve">What would flip the rating: LPI at which rating flips to BUY.</t>
  </si>
  <si>
    <t xml:space="preserve">Rating!D41</t>
  </si>
  <si>
    <t xml:space="preserve">This is the base-scenario LPI 2027 that would push expected return to +15%.</t>
  </si>
  <si>
    <t xml:space="preserve">19b</t>
  </si>
  <si>
    <t xml:space="preserve">Legacy disposition level at which the rating flips to SELL.</t>
  </si>
  <si>
    <t xml:space="preserve">Rating!D49</t>
  </si>
  <si>
    <t xml:space="preserve">This is the 2027 legacy dispo dollar level at which expected return hits -5%.</t>
  </si>
  <si>
    <t xml:space="preserve">19c</t>
  </si>
  <si>
    <t xml:space="preserve">Price at which SELL returns to HOLD (new Rating row: target plus dividend divided by 0.95).</t>
  </si>
  <si>
    <t xml:space="preserve">Rating!D60</t>
  </si>
  <si>
    <t xml:space="preserve">If Drivers!C179 drops to this price, expected return is exactly -5% (SELL to HOLD).</t>
  </si>
  <si>
    <t xml:space="preserve">CHART DATA HELPERS (all links to model; no typed numbers except axis settings)</t>
  </si>
  <si>
    <t xml:space="preserve">Revenue YoY %</t>
  </si>
  <si>
    <t xml:space="preserve">Diluted EPS ($/sh)</t>
  </si>
  <si>
    <t xml:space="preserve">Guidance 2026 low ($/sh)</t>
  </si>
  <si>
    <t xml:space="preserve">Guidance 2026 high ($/sh)</t>
  </si>
  <si>
    <t xml:space="preserve">FactSet consensus ($/sh)</t>
  </si>
  <si>
    <t xml:space="preserve">LPI (%)</t>
  </si>
  <si>
    <t xml:space="preserve">CFO ($M)</t>
  </si>
  <si>
    <t xml:space="preserve">Capex ($M)</t>
  </si>
  <si>
    <t xml:space="preserve">Buybacks ($M)</t>
  </si>
  <si>
    <t xml:space="preserve">Dividends ($M)</t>
  </si>
  <si>
    <t xml:space="preserve">Net debt issuance ($M)</t>
  </si>
  <si>
    <t xml:space="preserve">D/(D+E)</t>
  </si>
  <si>
    <t xml:space="preserve">Net debt / EBITDA</t>
  </si>
  <si>
    <t xml:space="preserve">Depreciation ($M)</t>
  </si>
  <si>
    <t xml:space="preserve">Consensus 2026/2027</t>
  </si>
  <si>
    <t xml:space="preserve">Acquired-pool blended rate ($/car/yr)</t>
  </si>
  <si>
    <t xml:space="preserve">Acquired-pool revenue ($M)</t>
  </si>
  <si>
    <t xml:space="preserve">LCM cohort 2021 rev ($M)</t>
  </si>
  <si>
    <t xml:space="preserve">LCM cohort 2022 rev ($M)</t>
  </si>
  <si>
    <t xml:space="preserve">LCM cohort 2023 rev ($M)</t>
  </si>
  <si>
    <t xml:space="preserve">LCM cohort 2024 rev ($M)</t>
  </si>
  <si>
    <t xml:space="preserve">LCM cohort 2025 rev ($M)</t>
  </si>
  <si>
    <t xml:space="preserve">LCM cohort base rev ($M)</t>
  </si>
  <si>
    <t xml:space="preserve">Thesis: Repricing uplift (source)</t>
  </si>
  <si>
    <t xml:space="preserve">Thesis: Acquired base step-in (source)</t>
  </si>
  <si>
    <t xml:space="preserve">Thesis: Dispositions attributable (source)</t>
  </si>
  <si>
    <t xml:space="preserve">Thesis: RRPF dividends (source)</t>
  </si>
  <si>
    <t xml:space="preserve">Thesis: Added interest (use)</t>
  </si>
  <si>
    <t xml:space="preserve">Thesis: Refinancing cost (use)</t>
  </si>
  <si>
    <t xml:space="preserve">Thesis: Net (sources - uses)</t>
  </si>
  <si>
    <t xml:space="preserve">Debt maturity ladder ($M)</t>
  </si>
  <si>
    <t xml:space="preserve">Diluted EPS 2025A-2027E</t>
  </si>
  <si>
    <t xml:space="preserve">Core ex-gains ($/sh)</t>
  </si>
  <si>
    <t xml:space="preserve">EPS at normalized gains ($140M)</t>
  </si>
  <si>
    <t xml:space="preserve">Quarterly labels</t>
  </si>
  <si>
    <t xml:space="preserve">Q1 2026A</t>
  </si>
  <si>
    <t xml:space="preserve">Q2 2026A</t>
  </si>
  <si>
    <t xml:space="preserve">Q3 2026E</t>
  </si>
  <si>
    <t xml:space="preserve">Q4 2026E</t>
  </si>
  <si>
    <t xml:space="preserve">Quarterly 2026 EPS ($/sh)</t>
  </si>
  <si>
    <t xml:space="preserve">Q3 2026 consensus ($/sh)</t>
  </si>
  <si>
    <t xml:space="preserve">Valuation football field ($/sh)</t>
  </si>
  <si>
    <t xml:space="preserve">P/E bear</t>
  </si>
  <si>
    <t xml:space="preserve">P/E base</t>
  </si>
  <si>
    <t xml:space="preserve">P/E bull</t>
  </si>
  <si>
    <t xml:space="preserve">Peer P/B</t>
  </si>
  <si>
    <t xml:space="preserve">DCF Gordon</t>
  </si>
  <si>
    <t xml:space="preserve">DCF exit</t>
  </si>
  <si>
    <t xml:space="preserve">FCFE perp</t>
  </si>
  <si>
    <t xml:space="preserve">FCFE P/B</t>
  </si>
  <si>
    <t xml:space="preserve">Target ($/sh)</t>
  </si>
  <si>
    <t xml:space="preserve">NTM P/E 10-yr median</t>
  </si>
  <si>
    <t xml:space="preserve">NTM P/E current on BMG EPS</t>
  </si>
  <si>
    <t xml:space="preserve">P/B 25-yr median</t>
  </si>
  <si>
    <t xml:space="preserve">NAV bridge ($M)</t>
  </si>
  <si>
    <t xml:space="preserve">Bridge step</t>
  </si>
  <si>
    <t xml:space="preserve">Fleet at mark</t>
  </si>
  <si>
    <t xml:space="preserve">+RRPF</t>
  </si>
  <si>
    <t xml:space="preserve">+Other</t>
  </si>
  <si>
    <t xml:space="preserve">-Debt</t>
  </si>
  <si>
    <t xml:space="preserve">-Op leases</t>
  </si>
  <si>
    <t xml:space="preserve">-NCI</t>
  </si>
  <si>
    <t xml:space="preserve">-DT</t>
  </si>
  <si>
    <t xml:space="preserve">NAV (M$)</t>
  </si>
  <si>
    <t xml:space="preserve">Value ($M)</t>
  </si>
  <si>
    <t xml:space="preserve">ROE (%)</t>
  </si>
  <si>
    <t xml:space="preserve">Cost of equity Ke</t>
  </si>
  <si>
    <t xml:space="preserve">RI per share ($)</t>
  </si>
  <si>
    <t xml:space="preserve">Cumulative buybacks ($M)</t>
  </si>
  <si>
    <t xml:space="preserve">Total dispositions 2020A-2027E ($M)</t>
  </si>
  <si>
    <t xml:space="preserve">SELL flip point ($M)</t>
  </si>
  <si>
    <t xml:space="preserve">Rating labels</t>
  </si>
  <si>
    <t xml:space="preserve">Expected return</t>
  </si>
  <si>
    <t xml:space="preserve">Rating values</t>
  </si>
  <si>
    <t xml:space="preserve">Consensus bridge steps ($/sh delta)</t>
  </si>
  <si>
    <t xml:space="preserve">Consensus bridge labels</t>
  </si>
  <si>
    <t xml:space="preserve">HEAT MAP 1: 2027E EPS at LPI × legacy dispositions</t>
  </si>
  <si>
    <t xml:space="preserve">LPI ↓  /  Dispo →</t>
  </si>
  <si>
    <t xml:space="preserve">HEAT MAP 2: DCF value/sh at WACC × g</t>
  </si>
  <si>
    <t xml:space="preserve">WACC ↓  /  g →</t>
  </si>
  <si>
    <t xml:space="preserve">Figure 1: Revenue 2020A-2035E ($M)</t>
  </si>
  <si>
    <t xml:space="preserve">Figure 2: Diluted EPS + FactSet consensus ($/sh)</t>
  </si>
  <si>
    <t xml:space="preserve">Source: Historicals!D20:I20; 3 Statement Forecast!E17:N17</t>
  </si>
  <si>
    <t xml:space="preserve">Source: 3SF!D33:N33; Drivers!C147:C148 (consensus)</t>
  </si>
  <si>
    <t xml:space="preserve">Figure 3: Sources vs uses 2026E-2030E</t>
  </si>
  <si>
    <t xml:space="preserve">Figure 4: Debt + interest expense</t>
  </si>
  <si>
    <t xml:space="preserve">Source: Thesis Test!D18:H24 (rows 18-21 sources; 22-23 uses; row 24 net)</t>
  </si>
  <si>
    <t xml:space="preserve">Source: 3SF!D47:N47 (debt); 3SF!D24:N24 (interest)</t>
  </si>
  <si>
    <t xml:space="preserve">Figure 5: Debt maturity ladder</t>
  </si>
  <si>
    <t xml:space="preserve">Figure 6: LPI path 2026E-2035E</t>
  </si>
  <si>
    <t xml:space="preserve">Source: Debt &amp; Interest!D19:N19 (10-Q p.42 recourse maturities)</t>
  </si>
  <si>
    <t xml:space="preserve">Source: Drivers!C32:C36 (2026E-2030E); Drivers!C704 (Terminal_LPI)</t>
  </si>
  <si>
    <t xml:space="preserve">Figure 7: Cohort revenue stacked ($M)</t>
  </si>
  <si>
    <t xml:space="preserve">Figure 8: Acquired pool revenue + blended rate</t>
  </si>
  <si>
    <t xml:space="preserve">CHART CONSTANTS (referenced by formulas; not axis settings)</t>
  </si>
  <si>
    <t xml:space="preserve">Normalized dispositions ($M)</t>
  </si>
  <si>
    <t xml:space="preserve">Analyst normalized level per Rating!D49 SELL-flip context (memo)</t>
  </si>
  <si>
    <t xml:space="preserve">LPI-to-EPS slope ($/sh per 1 unit LPI)</t>
  </si>
  <si>
    <t xml:space="preserve">Analyst per-unit sensitivity ≈ $0.09/pp × 100pp → $8/full-unit</t>
  </si>
  <si>
    <t xml:space="preserve">Dispositions base for sensitivity ($M)</t>
  </si>
  <si>
    <t xml:space="preserve">Center of the WO sensitivity range 100-200 ($25M steps)</t>
  </si>
  <si>
    <t xml:space="preserve">Source: Legacy Cohort Model!D37:N42 (6 vintages × 11 yrs)</t>
  </si>
  <si>
    <t xml:space="preserve">Source: Acquired Pool!D22:N22 (rate); D23:N23 (revenue)</t>
  </si>
  <si>
    <t xml:space="preserve">Figure 9: Disposition gains + SELL flip</t>
  </si>
  <si>
    <t xml:space="preserve">Figure 10: Valuation football field</t>
  </si>
  <si>
    <t xml:space="preserve">Source: Historicals!D28:I28; 3SF!D23:F23; Rating!D49 (SELL flip $146M)</t>
  </si>
  <si>
    <t xml:space="preserve">Source: Valuation!G65:G67, NAV!D168, RI!D45, DCF!D118/D120, FCFE!D74/D75, Peer P/B</t>
  </si>
  <si>
    <t xml:space="preserve">Figure 11: NTM P/E 10-yr series (2,606 daily obs)</t>
  </si>
  <si>
    <t xml:space="preserve">Figure 12: P/B 25-yr history</t>
  </si>
  <si>
    <t xml:space="preserve">Source: Valuation!N212:N2817; median 16.34x = Valuation!D20</t>
  </si>
  <si>
    <t xml:space="preserve">Source: Valuation!O212:O236 (25 annual obs); median 1.63x = Valuation!D27</t>
  </si>
  <si>
    <t xml:space="preserve">Figure 13: NAV bridge</t>
  </si>
  <si>
    <t xml:space="preserve">Figure 14: ROE vs Ke</t>
  </si>
  <si>
    <t xml:space="preserve">Source: 3SF equity components + NAV!D168 × diluted shares</t>
  </si>
  <si>
    <t xml:space="preserve">Source: 3SF NI/avg equity (ROE); DCF!D57 (Ke)</t>
  </si>
  <si>
    <t xml:space="preserve">Figure 15: Peer P/B vs ROE</t>
  </si>
  <si>
    <t xml:space="preserve">Figure 16: Cash flow by year (CFO/Capex/Buybacks/Div/Issuance)</t>
  </si>
  <si>
    <t xml:space="preserve">Source: Peer P-B vs ROE!F20:G28 (P/B, ROE); GATX highlighted at row 20</t>
  </si>
  <si>
    <t xml:space="preserve">Source: 3SF rows 73, 75, 85, 86, 82</t>
  </si>
  <si>
    <t xml:space="preserve">Figure 17: Diluted shares + cumulative buybacks</t>
  </si>
  <si>
    <t xml:space="preserve">Figure 18: Earnings quality</t>
  </si>
  <si>
    <t xml:space="preserve">Source: 3SF!D32:N32 (shares); Charts row 81 (cumulative)</t>
  </si>
  <si>
    <t xml:space="preserve">Source: 3SF!D33:F33; ex-gains derived; normalized to $140M</t>
  </si>
  <si>
    <t xml:space="preserve">Figure 19: Quarterly 2026 EPS</t>
  </si>
  <si>
    <t xml:space="preserve">Figure 20: D/(D+E) and net debt/EBITDA</t>
  </si>
  <si>
    <t xml:space="preserve">Source: Quarterly 2026!D27-D30 (model); D33 (Q3 consensus)</t>
  </si>
  <si>
    <t xml:space="preserve">Source: Debt &amp; Interest!D54:N54, D55:N55</t>
  </si>
  <si>
    <t xml:space="preserve">Figure 21: Expected return + thresholds</t>
  </si>
  <si>
    <t xml:space="preserve">Figure 22: BMG → consensus bridge</t>
  </si>
  <si>
    <t xml:space="preserve">Source: Rating!D24 (return); D27 (BUY); D28 (SELL)</t>
  </si>
  <si>
    <t xml:space="preserve">Source: Consensus Bridge!C14:D25</t>
  </si>
  <si>
    <t xml:space="preserve">Sensitivity grid — 2027E EPS and Section H weighted target</t>
  </si>
  <si>
    <t xml:space="preserve">Values pasted from A5 scratch runs on 2026-10-08; SOFR patch per A5 method on Debt &amp; Interest!F31; NOT live formulas</t>
  </si>
  <si>
    <t xml:space="preserve">2027E Diluted EPS ($/sh) [3 Statement Forecast!F33]</t>
  </si>
  <si>
    <t xml:space="preserve">Marginal rate \ SOFR</t>
  </si>
  <si>
    <t xml:space="preserve">-100 bp</t>
  </si>
  <si>
    <t xml:space="preserve">0 bp</t>
  </si>
  <si>
    <t xml:space="preserve">+100 bp</t>
  </si>
  <si>
    <t xml:space="preserve">4.3%</t>
  </si>
  <si>
    <t xml:space="preserve">4.8%</t>
  </si>
  <si>
    <t xml:space="preserve">5.3% (central)</t>
  </si>
  <si>
    <t xml:space="preserve">5.8%</t>
  </si>
  <si>
    <t xml:space="preserve">6.3%</t>
  </si>
  <si>
    <t xml:space="preserve">Section H weighted target ($/sh) [Valuation!D229]</t>
  </si>
  <si>
    <t xml:space="preserve">Rating matrix (BUY ER&gt;+15%, SELL ER&lt;-5%, HOLD otherwise; DPS=$2.61)</t>
  </si>
  <si>
    <t xml:space="preserve">Price</t>
  </si>
  <si>
    <t xml:space="preserve">ER central (5.3%/0bp, tgt=$166.02)</t>
  </si>
  <si>
    <t xml:space="preserve">Rating central</t>
  </si>
  <si>
    <t xml:space="preserve">ER stress (6.3%/+100bp, tgt=$160.66)</t>
  </si>
  <si>
    <t xml:space="preserve">Rating stress</t>
  </si>
  <si>
    <t xml:space="preserve">+15.50%</t>
  </si>
  <si>
    <t xml:space="preserve">BUY</t>
  </si>
  <si>
    <t xml:space="preserve">+11.83%</t>
  </si>
  <si>
    <t xml:space="preserve">+4.52%</t>
  </si>
  <si>
    <t xml:space="preserve">+1.20%</t>
  </si>
  <si>
    <t xml:space="preserve">-2.11%</t>
  </si>
  <si>
    <t xml:space="preserve">-5.23%</t>
  </si>
  <si>
    <t xml:space="preserve">-4.73%</t>
  </si>
  <si>
    <t xml:space="preserve">-7.76%</t>
  </si>
  <si>
    <t xml:space="preserve">Nearest flip (A5): at price=$172.27, only the extreme stress corner (6.3% rate × +100bp SOFR, target=$160.66) crosses SELL (ER=-5.23%). The 5.8%/+100bp cell sits only $1.15 above the SELL boundary (ER=-4.33%). No cell reaches BUY from $172.27; BUY corridor opens below ~$152.</t>
  </si>
</sst>
</file>

<file path=xl/styles.xml><?xml version="1.0" encoding="utf-8"?>
<styleSheet xmlns="http://schemas.openxmlformats.org/spreadsheetml/2006/main">
  <numFmts count="22">
    <numFmt numFmtId="164" formatCode="General"/>
    <numFmt numFmtId="165" formatCode="\$#,##0.00"/>
    <numFmt numFmtId="166" formatCode="m/d/yyyy"/>
    <numFmt numFmtId="167" formatCode="#,##0_);\(#,##0\);0_);@_)"/>
    <numFmt numFmtId="168" formatCode="\$#,##0.00_);&quot;($&quot;#,##0.00\)"/>
    <numFmt numFmtId="169" formatCode="0.0%"/>
    <numFmt numFmtId="170" formatCode="0.0000"/>
    <numFmt numFmtId="171" formatCode="0.0%_);\(0.0%\);@_)"/>
    <numFmt numFmtId="172" formatCode="0.00"/>
    <numFmt numFmtId="173" formatCode="0.0\x"/>
    <numFmt numFmtId="174" formatCode="0.00%"/>
    <numFmt numFmtId="175" formatCode="\+0.00%;\-0.00%;0.00%"/>
    <numFmt numFmtId="176" formatCode="0.0"/>
    <numFmt numFmtId="177" formatCode="0.0000\x"/>
    <numFmt numFmtId="178" formatCode="#,##0.0"/>
    <numFmt numFmtId="179" formatCode="0.00\x"/>
    <numFmt numFmtId="180" formatCode="#,##0"/>
    <numFmt numFmtId="181" formatCode="0"/>
    <numFmt numFmtId="182" formatCode="0\y"/>
    <numFmt numFmtId="183" formatCode="0.000"/>
    <numFmt numFmtId="184" formatCode="0%"/>
    <numFmt numFmtId="185" formatCode="[$$-409]#,##0.00;[RED]\-[$$-409]#,##0.00"/>
  </numFmts>
  <fonts count="33">
    <font>
      <sz val="11"/>
      <color theme="1"/>
      <name val="Calibri"/>
      <family val="2"/>
      <charset val="1"/>
    </font>
    <font>
      <sz val="10"/>
      <name val="Arial"/>
      <family val="0"/>
    </font>
    <font>
      <sz val="10"/>
      <name val="Arial"/>
      <family val="0"/>
    </font>
    <font>
      <sz val="10"/>
      <name val="Arial"/>
      <family val="0"/>
    </font>
    <font>
      <sz val="36"/>
      <name val="Calibri"/>
      <family val="0"/>
      <charset val="1"/>
    </font>
    <font>
      <i val="true"/>
      <sz val="11"/>
      <name val="Calibri"/>
      <family val="0"/>
      <charset val="1"/>
    </font>
    <font>
      <sz val="11"/>
      <name val="Calibri"/>
      <family val="0"/>
      <charset val="1"/>
    </font>
    <font>
      <sz val="11"/>
      <color rgb="FF0000FF"/>
      <name val="Calibri"/>
      <family val="0"/>
      <charset val="1"/>
    </font>
    <font>
      <sz val="11"/>
      <color rgb="FF008000"/>
      <name val="Calibri"/>
      <family val="0"/>
      <charset val="1"/>
    </font>
    <font>
      <b val="true"/>
      <sz val="12"/>
      <name val="Calibri"/>
      <family val="0"/>
      <charset val="1"/>
    </font>
    <font>
      <b val="true"/>
      <sz val="11"/>
      <name val="Calibri"/>
      <family val="0"/>
      <charset val="1"/>
    </font>
    <font>
      <sz val="11"/>
      <color theme="1"/>
      <name val="Calibri"/>
      <family val="0"/>
      <charset val="1"/>
    </font>
    <font>
      <b val="true"/>
      <sz val="11"/>
      <color rgb="FF008000"/>
      <name val="Calibri"/>
      <family val="0"/>
      <charset val="1"/>
    </font>
    <font>
      <i val="true"/>
      <sz val="10"/>
      <name val="Calibri"/>
      <family val="0"/>
      <charset val="1"/>
    </font>
    <font>
      <sz val="11"/>
      <color rgb="FF000000"/>
      <name val="Calibri"/>
      <family val="0"/>
      <charset val="1"/>
    </font>
    <font>
      <b val="true"/>
      <sz val="11"/>
      <color rgb="FFFFFFFF"/>
      <name val="Calibri"/>
      <family val="0"/>
      <charset val="1"/>
    </font>
    <font>
      <b val="true"/>
      <sz val="11"/>
      <color rgb="FF000000"/>
      <name val="Calibri"/>
      <family val="0"/>
      <charset val="1"/>
    </font>
    <font>
      <i val="true"/>
      <sz val="11"/>
      <color rgb="FF808080"/>
      <name val="Calibri"/>
      <family val="0"/>
      <charset val="1"/>
    </font>
    <font>
      <b val="true"/>
      <sz val="11"/>
      <color theme="1"/>
      <name val="Calibri"/>
      <family val="0"/>
      <charset val="1"/>
    </font>
    <font>
      <b val="true"/>
      <sz val="11"/>
      <color rgb="FF0000FF"/>
      <name val="Calibri"/>
      <family val="0"/>
      <charset val="1"/>
    </font>
    <font>
      <i val="true"/>
      <sz val="11"/>
      <color rgb="FF000000"/>
      <name val="Calibri"/>
      <family val="0"/>
      <charset val="1"/>
    </font>
    <font>
      <i val="true"/>
      <sz val="11"/>
      <color rgb="FF008000"/>
      <name val="Calibri"/>
      <family val="0"/>
      <charset val="1"/>
    </font>
    <font>
      <i val="true"/>
      <sz val="11"/>
      <color rgb="FF888888"/>
      <name val="Calibri"/>
      <family val="0"/>
      <charset val="1"/>
    </font>
    <font>
      <i val="true"/>
      <sz val="11"/>
      <color rgb="FF555555"/>
      <name val="Calibri"/>
      <family val="0"/>
      <charset val="1"/>
    </font>
    <font>
      <b val="true"/>
      <sz val="11"/>
      <name val="Cambria"/>
      <family val="0"/>
      <charset val="1"/>
    </font>
    <font>
      <sz val="11"/>
      <color rgb="FF0000FF"/>
      <name val="Cambria"/>
      <family val="0"/>
      <charset val="1"/>
    </font>
    <font>
      <b val="true"/>
      <sz val="12"/>
      <name val="Cambria"/>
      <family val="0"/>
      <charset val="1"/>
    </font>
    <font>
      <i val="true"/>
      <sz val="11"/>
      <color rgb="FF595959"/>
      <name val="Calibri"/>
      <family val="0"/>
      <charset val="1"/>
    </font>
    <font>
      <b val="true"/>
      <sz val="11"/>
      <color rgb="FF292934"/>
      <name val="Calibri"/>
      <family val="0"/>
      <charset val="1"/>
    </font>
    <font>
      <i val="true"/>
      <sz val="9"/>
      <color rgb="FF292934"/>
      <name val="Calibri"/>
      <family val="0"/>
      <charset val="1"/>
    </font>
    <font>
      <b val="true"/>
      <sz val="18"/>
      <color rgb="FF000000"/>
      <name val="Calibri"/>
      <family val="2"/>
    </font>
    <font>
      <sz val="10"/>
      <color rgb="FF000000"/>
      <name val="Calibri"/>
      <family val="2"/>
    </font>
    <font>
      <b val="true"/>
      <sz val="10"/>
      <color rgb="FF000000"/>
      <name val="Calibri"/>
      <family val="2"/>
    </font>
  </fonts>
  <fills count="14">
    <fill>
      <patternFill patternType="none"/>
    </fill>
    <fill>
      <patternFill patternType="gray125"/>
    </fill>
    <fill>
      <patternFill patternType="solid">
        <fgColor rgb="FFFCE5CD"/>
        <bgColor rgb="FFE7E6E6"/>
      </patternFill>
    </fill>
    <fill>
      <patternFill patternType="solid">
        <fgColor rgb="FF1F4E79"/>
        <bgColor rgb="FF1F3864"/>
      </patternFill>
    </fill>
    <fill>
      <patternFill patternType="solid">
        <fgColor rgb="FFDDEBF7"/>
        <bgColor rgb="FFD9E1F2"/>
      </patternFill>
    </fill>
    <fill>
      <patternFill patternType="solid">
        <fgColor rgb="FFFFFFCC"/>
        <bgColor rgb="FFFFFFFF"/>
      </patternFill>
    </fill>
    <fill>
      <patternFill patternType="solid">
        <fgColor rgb="FFF2F2F2"/>
        <bgColor rgb="FFE7E6E6"/>
      </patternFill>
    </fill>
    <fill>
      <patternFill patternType="solid">
        <fgColor rgb="FFE7E6E6"/>
        <bgColor rgb="FFDDEBF7"/>
      </patternFill>
    </fill>
    <fill>
      <patternFill patternType="solid">
        <fgColor rgb="FFBFBFBF"/>
        <bgColor rgb="FFB3B3B3"/>
      </patternFill>
    </fill>
    <fill>
      <patternFill patternType="solid">
        <fgColor rgb="FFB4C6E7"/>
        <bgColor rgb="FFBFBFBF"/>
      </patternFill>
    </fill>
    <fill>
      <patternFill patternType="solid">
        <fgColor rgb="FFD9D9D9"/>
        <bgColor rgb="FFD9E1F2"/>
      </patternFill>
    </fill>
    <fill>
      <patternFill patternType="solid">
        <fgColor rgb="FFD9E1F2"/>
        <bgColor rgb="FFDDEBF7"/>
      </patternFill>
    </fill>
    <fill>
      <patternFill patternType="solid">
        <fgColor rgb="FFC6E0B4"/>
        <bgColor rgb="FFD9D9D9"/>
      </patternFill>
    </fill>
    <fill>
      <patternFill patternType="solid">
        <fgColor rgb="FF1F3864"/>
        <bgColor rgb="FF1F4E79"/>
      </patternFill>
    </fill>
  </fills>
  <borders count="4">
    <border diagonalUp="false" diagonalDown="false">
      <left/>
      <right/>
      <top/>
      <bottom/>
      <diagonal/>
    </border>
    <border diagonalUp="false" diagonalDown="false">
      <left/>
      <right/>
      <top/>
      <bottom style="thin"/>
      <diagonal/>
    </border>
    <border diagonalUp="false" diagonalDown="false">
      <left/>
      <right/>
      <top style="medium"/>
      <bottom style="medium"/>
      <diagonal/>
    </border>
    <border diagonalUp="false" diagonalDown="false">
      <left/>
      <right/>
      <top/>
      <bottom style="thin">
        <color rgb="FF80808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5" fontId="8" fillId="0" borderId="0" xfId="0" applyFont="true" applyBorder="false" applyAlignment="true" applyProtection="false">
      <alignment horizontal="center" vertical="bottom" textRotation="0" wrapText="false" indent="0" shrinkToFit="false"/>
      <protection locked="true" hidden="false"/>
    </xf>
    <xf numFmtId="166" fontId="7" fillId="0" borderId="0" xfId="0" applyFont="true" applyBorder="false" applyAlignment="true" applyProtection="false">
      <alignment horizontal="center" vertical="bottom" textRotation="0" wrapText="false" indent="0" shrinkToFit="false"/>
      <protection locked="true" hidden="false"/>
    </xf>
    <xf numFmtId="167" fontId="8" fillId="0" borderId="0" xfId="0" applyFont="true" applyBorder="false" applyAlignment="true" applyProtection="false">
      <alignment horizontal="center"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8" fontId="8" fillId="0" borderId="0" xfId="0" applyFont="true" applyBorder="false" applyAlignment="true" applyProtection="false">
      <alignment horizontal="general" vertical="bottom" textRotation="0" wrapText="false" indent="0" shrinkToFit="false"/>
      <protection locked="true" hidden="false"/>
    </xf>
    <xf numFmtId="169" fontId="8"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70" fontId="8" fillId="0" borderId="0" xfId="0" applyFont="true" applyBorder="false" applyAlignment="true" applyProtection="false">
      <alignment horizontal="general" vertical="bottom" textRotation="0" wrapText="false" indent="0" shrinkToFit="false"/>
      <protection locked="true" hidden="false"/>
    </xf>
    <xf numFmtId="164" fontId="15" fillId="3" borderId="0" xfId="0" applyFont="true" applyBorder="true" applyAlignment="true" applyProtection="false">
      <alignment horizontal="general" vertical="bottom" textRotation="0" wrapText="false" indent="0" shrinkToFit="false"/>
      <protection locked="true" hidden="false"/>
    </xf>
    <xf numFmtId="164" fontId="16" fillId="4"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10" fillId="4" borderId="0" xfId="0" applyFont="true" applyBorder="false" applyAlignment="true" applyProtection="false">
      <alignment horizontal="general" vertical="bottom" textRotation="0" wrapText="false" indent="0" shrinkToFit="false"/>
      <protection locked="true" hidden="false"/>
    </xf>
    <xf numFmtId="167" fontId="7" fillId="5"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71" fontId="7" fillId="5"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72" fontId="7" fillId="5" borderId="0" xfId="0" applyFont="true" applyBorder="false" applyAlignment="true" applyProtection="false">
      <alignment horizontal="general" vertical="bottom" textRotation="0" wrapText="false" indent="0" shrinkToFit="false"/>
      <protection locked="true" hidden="false"/>
    </xf>
    <xf numFmtId="171" fontId="14" fillId="5" borderId="0" xfId="0" applyFont="true" applyBorder="false" applyAlignment="true" applyProtection="false">
      <alignment horizontal="general" vertical="bottom" textRotation="0" wrapText="false" indent="0" shrinkToFit="false"/>
      <protection locked="true" hidden="false"/>
    </xf>
    <xf numFmtId="167" fontId="14" fillId="5"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general" vertical="bottom" textRotation="0" wrapText="false" indent="0" shrinkToFit="false"/>
      <protection locked="true" hidden="false"/>
    </xf>
    <xf numFmtId="167" fontId="14" fillId="0" borderId="0" xfId="0" applyFont="true" applyBorder="false" applyAlignment="true" applyProtection="false">
      <alignment horizontal="general" vertical="bottom" textRotation="0" wrapText="false" indent="0" shrinkToFit="false"/>
      <protection locked="true" hidden="false"/>
    </xf>
    <xf numFmtId="171" fontId="7" fillId="0" borderId="0" xfId="0" applyFont="true" applyBorder="false" applyAlignment="true" applyProtection="false">
      <alignment horizontal="general" vertical="bottom" textRotation="0" wrapText="false" indent="0" shrinkToFit="false"/>
      <protection locked="true" hidden="false"/>
    </xf>
    <xf numFmtId="171" fontId="14" fillId="0"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72" fontId="7" fillId="0" borderId="0" xfId="0" applyFont="true" applyBorder="false" applyAlignment="true" applyProtection="false">
      <alignment horizontal="general" vertical="bottom" textRotation="0" wrapText="false" indent="0" shrinkToFit="false"/>
      <protection locked="true" hidden="false"/>
    </xf>
    <xf numFmtId="172" fontId="14" fillId="0" borderId="0" xfId="0" applyFont="true" applyBorder="false" applyAlignment="true" applyProtection="false">
      <alignment horizontal="general" vertical="bottom" textRotation="0" wrapText="false" indent="0" shrinkToFit="false"/>
      <protection locked="true" hidden="false"/>
    </xf>
    <xf numFmtId="171" fontId="7" fillId="2" borderId="0" xfId="0" applyFont="true" applyBorder="false" applyAlignment="true" applyProtection="false">
      <alignment horizontal="general" vertical="bottom" textRotation="0" wrapText="false" indent="0" shrinkToFit="false"/>
      <protection locked="true" hidden="false"/>
    </xf>
    <xf numFmtId="164" fontId="11" fillId="2" borderId="0" xfId="0" applyFont="true" applyBorder="false" applyAlignment="true" applyProtection="false">
      <alignment horizontal="general" vertical="bottom" textRotation="0" wrapText="false" indent="0" shrinkToFit="false"/>
      <protection locked="true" hidden="false"/>
    </xf>
    <xf numFmtId="172" fontId="8" fillId="0" borderId="0" xfId="0" applyFont="true" applyBorder="false" applyAlignment="true" applyProtection="false">
      <alignment horizontal="general" vertical="bottom" textRotation="0" wrapText="false" indent="0" shrinkToFit="false"/>
      <protection locked="true" hidden="false"/>
    </xf>
    <xf numFmtId="171" fontId="8" fillId="0" borderId="0" xfId="0" applyFont="true" applyBorder="false" applyAlignment="true" applyProtection="false">
      <alignment horizontal="general" vertical="bottom" textRotation="0" wrapText="false" indent="0" shrinkToFit="false"/>
      <protection locked="true" hidden="false"/>
    </xf>
    <xf numFmtId="167" fontId="8" fillId="0" borderId="0" xfId="0" applyFont="true" applyBorder="false" applyAlignment="true" applyProtection="false">
      <alignment horizontal="general" vertical="bottom" textRotation="0" wrapText="false" indent="0" shrinkToFit="false"/>
      <protection locked="true" hidden="false"/>
    </xf>
    <xf numFmtId="171" fontId="0" fillId="0" borderId="0" xfId="0" applyFont="fals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73" fontId="8" fillId="0" borderId="0" xfId="0" applyFont="true" applyBorder="false" applyAlignment="true" applyProtection="false">
      <alignment horizontal="general" vertical="bottom" textRotation="0" wrapText="false" indent="0" shrinkToFit="false"/>
      <protection locked="true" hidden="false"/>
    </xf>
    <xf numFmtId="164" fontId="10" fillId="0" borderId="2" xfId="0" applyFont="true" applyBorder="true" applyAlignment="true" applyProtection="false">
      <alignment horizontal="general" vertical="bottom" textRotation="0" wrapText="false" indent="0" shrinkToFit="false"/>
      <protection locked="true" hidden="false"/>
    </xf>
    <xf numFmtId="164" fontId="0" fillId="0" borderId="2" xfId="0" applyFont="fals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6" fontId="8" fillId="0" borderId="0" xfId="0" applyFont="true" applyBorder="false" applyAlignment="true" applyProtection="false">
      <alignment horizontal="center" vertical="bottom" textRotation="0" wrapText="false" indent="0" shrinkToFit="false"/>
      <protection locked="true" hidden="false"/>
    </xf>
    <xf numFmtId="164" fontId="10" fillId="3" borderId="0" xfId="0" applyFont="true" applyBorder="true" applyAlignment="tru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general" vertical="bottom" textRotation="0" wrapText="false" indent="0" shrinkToFit="false"/>
      <protection locked="true" hidden="false"/>
    </xf>
    <xf numFmtId="164" fontId="16" fillId="4" borderId="1" xfId="0" applyFont="true" applyBorder="true" applyAlignment="true" applyProtection="false">
      <alignment horizontal="right" vertical="bottom" textRotation="0" wrapText="false" indent="0" shrinkToFit="false"/>
      <protection locked="true" hidden="false"/>
    </xf>
    <xf numFmtId="164" fontId="11" fillId="0" borderId="1" xfId="0" applyFont="true" applyBorder="true" applyAlignment="true" applyProtection="false">
      <alignment horizontal="general" vertical="bottom" textRotation="0" wrapText="false" indent="0" shrinkToFit="false"/>
      <protection locked="true" hidden="false"/>
    </xf>
    <xf numFmtId="164" fontId="16" fillId="6" borderId="0" xfId="0" applyFont="true" applyBorder="false" applyAlignment="true" applyProtection="false">
      <alignment horizontal="general" vertical="bottom" textRotation="0" wrapText="false" indent="0" shrinkToFit="false"/>
      <protection locked="true" hidden="false"/>
    </xf>
    <xf numFmtId="167" fontId="19" fillId="6" borderId="0" xfId="0" applyFont="true" applyBorder="false" applyAlignment="true" applyProtection="false">
      <alignment horizontal="general" vertical="bottom" textRotation="0" wrapText="false" indent="0" shrinkToFit="false"/>
      <protection locked="true" hidden="false"/>
    </xf>
    <xf numFmtId="168" fontId="7" fillId="0" borderId="0" xfId="0" applyFont="true" applyBorder="false" applyAlignment="true" applyProtection="false">
      <alignment horizontal="general" vertical="bottom" textRotation="0" wrapText="false" indent="0" shrinkToFit="false"/>
      <protection locked="true" hidden="false"/>
    </xf>
    <xf numFmtId="164" fontId="16" fillId="4" borderId="0" xfId="0" applyFont="true" applyBorder="false" applyAlignment="true" applyProtection="false">
      <alignment horizontal="right" vertical="bottom" textRotation="0" wrapText="false" indent="0" shrinkToFit="false"/>
      <protection locked="true" hidden="false"/>
    </xf>
    <xf numFmtId="167" fontId="7" fillId="2" borderId="0" xfId="0" applyFont="true" applyBorder="false" applyAlignment="true" applyProtection="false">
      <alignment horizontal="general" vertical="bottom" textRotation="0" wrapText="false" indent="0" shrinkToFit="false"/>
      <protection locked="true" hidden="false"/>
    </xf>
    <xf numFmtId="167" fontId="19" fillId="2" borderId="0" xfId="0" applyFont="true" applyBorder="false" applyAlignment="true" applyProtection="false">
      <alignment horizontal="general" vertical="bottom" textRotation="0" wrapText="false" indent="0" shrinkToFit="false"/>
      <protection locked="true" hidden="false"/>
    </xf>
    <xf numFmtId="167" fontId="8" fillId="6" borderId="0" xfId="0" applyFont="true" applyBorder="false" applyAlignment="true" applyProtection="false">
      <alignment horizontal="general" vertical="bottom" textRotation="0" wrapText="false" indent="0" shrinkToFit="false"/>
      <protection locked="true" hidden="false"/>
    </xf>
    <xf numFmtId="167" fontId="16" fillId="6" borderId="0" xfId="0" applyFont="true" applyBorder="false" applyAlignment="true" applyProtection="false">
      <alignment horizontal="general" vertical="bottom" textRotation="0" wrapText="false" indent="0" shrinkToFit="false"/>
      <protection locked="true" hidden="false"/>
    </xf>
    <xf numFmtId="168" fontId="16" fillId="6" borderId="0" xfId="0" applyFont="true" applyBorder="false" applyAlignment="true" applyProtection="false">
      <alignment horizontal="general" vertical="bottom" textRotation="0" wrapText="false" indent="0" shrinkToFit="false"/>
      <protection locked="true" hidden="false"/>
    </xf>
    <xf numFmtId="168" fontId="14" fillId="0" borderId="0" xfId="0" applyFont="true" applyBorder="false" applyAlignment="true" applyProtection="false">
      <alignment horizontal="general" vertical="bottom" textRotation="0" wrapText="false" indent="0" shrinkToFit="false"/>
      <protection locked="true" hidden="false"/>
    </xf>
    <xf numFmtId="167" fontId="14" fillId="2" borderId="0" xfId="0" applyFont="true" applyBorder="false" applyAlignment="true" applyProtection="false">
      <alignment horizontal="general" vertical="bottom" textRotation="0" wrapText="false" indent="0" shrinkToFit="false"/>
      <protection locked="true" hidden="false"/>
    </xf>
    <xf numFmtId="167" fontId="16" fillId="2" borderId="0" xfId="0" applyFont="true" applyBorder="false" applyAlignment="true" applyProtection="false">
      <alignment horizontal="general" vertical="bottom" textRotation="0" wrapText="false" indent="0" shrinkToFit="false"/>
      <protection locked="true" hidden="false"/>
    </xf>
    <xf numFmtId="164" fontId="10" fillId="6" borderId="1" xfId="0" applyFont="true" applyBorder="true" applyAlignment="true" applyProtection="false">
      <alignment horizontal="general" vertical="bottom" textRotation="0" wrapText="false" indent="0" shrinkToFit="false"/>
      <protection locked="true" hidden="false"/>
    </xf>
    <xf numFmtId="167" fontId="16" fillId="2" borderId="1" xfId="0" applyFont="true" applyBorder="true" applyAlignment="true" applyProtection="false">
      <alignment horizontal="general" vertical="bottom" textRotation="0" wrapText="false" indent="0" shrinkToFit="false"/>
      <protection locked="true" hidden="false"/>
    </xf>
    <xf numFmtId="167" fontId="14" fillId="2" borderId="1" xfId="0" applyFont="true" applyBorder="true" applyAlignment="true" applyProtection="false">
      <alignment horizontal="general" vertical="bottom" textRotation="0" wrapText="false" indent="0" shrinkToFit="false"/>
      <protection locked="true" hidden="false"/>
    </xf>
    <xf numFmtId="167" fontId="7" fillId="6" borderId="0" xfId="0" applyFont="true" applyBorder="fals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8" fontId="8" fillId="0" borderId="1" xfId="0" applyFont="true" applyBorder="tru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8" fontId="0" fillId="0" borderId="0" xfId="0" applyFont="false" applyBorder="false" applyAlignment="true" applyProtection="false">
      <alignment horizontal="general" vertical="bottom" textRotation="0" wrapText="false" indent="0" shrinkToFit="false"/>
      <protection locked="true" hidden="false"/>
    </xf>
    <xf numFmtId="174" fontId="0" fillId="0" borderId="0" xfId="0" applyFont="false" applyBorder="false" applyAlignment="true" applyProtection="false">
      <alignment horizontal="general" vertical="bottom" textRotation="0" wrapText="false" indent="0" shrinkToFit="false"/>
      <protection locked="true" hidden="false"/>
    </xf>
    <xf numFmtId="167" fontId="8" fillId="2" borderId="0" xfId="0" applyFont="true" applyBorder="false" applyAlignment="true" applyProtection="false">
      <alignment horizontal="general" vertical="bottom" textRotation="0" wrapText="false" indent="0" shrinkToFit="false"/>
      <protection locked="true" hidden="false"/>
    </xf>
    <xf numFmtId="164" fontId="16" fillId="2" borderId="0" xfId="0" applyFont="true" applyBorder="false" applyAlignment="true" applyProtection="false">
      <alignment horizontal="right" vertical="bottom" textRotation="0" wrapText="false" indent="0" shrinkToFit="false"/>
      <protection locked="true" hidden="false"/>
    </xf>
    <xf numFmtId="167" fontId="12" fillId="6" borderId="0" xfId="0" applyFont="true" applyBorder="false" applyAlignment="true" applyProtection="false">
      <alignment horizontal="general" vertical="bottom" textRotation="0" wrapText="false" indent="0" shrinkToFit="false"/>
      <protection locked="true" hidden="false"/>
    </xf>
    <xf numFmtId="167" fontId="16" fillId="6" borderId="1" xfId="0" applyFont="true" applyBorder="true" applyAlignment="true" applyProtection="false">
      <alignment horizontal="general" vertical="bottom" textRotation="0" wrapText="false" indent="0" shrinkToFit="false"/>
      <protection locked="true" hidden="false"/>
    </xf>
    <xf numFmtId="167" fontId="14" fillId="0" borderId="1" xfId="0" applyFont="true" applyBorder="true" applyAlignment="true" applyProtection="false">
      <alignment horizontal="general" vertical="bottom" textRotation="0" wrapText="false" indent="0" shrinkToFit="false"/>
      <protection locked="true" hidden="false"/>
    </xf>
    <xf numFmtId="167" fontId="8" fillId="2" borderId="1" xfId="0" applyFont="true" applyBorder="true" applyAlignment="true" applyProtection="false">
      <alignment horizontal="general" vertical="bottom" textRotation="0" wrapText="false" indent="0" shrinkToFit="false"/>
      <protection locked="true" hidden="false"/>
    </xf>
    <xf numFmtId="171" fontId="14" fillId="2" borderId="1" xfId="0" applyFont="true" applyBorder="true" applyAlignment="true" applyProtection="false">
      <alignment horizontal="general" vertical="bottom" textRotation="0" wrapText="false" indent="0" shrinkToFit="false"/>
      <protection locked="true" hidden="false"/>
    </xf>
    <xf numFmtId="164" fontId="17" fillId="2" borderId="1" xfId="0" applyFont="true" applyBorder="true" applyAlignment="true" applyProtection="false">
      <alignment horizontal="general" vertical="bottom" textRotation="0" wrapText="false" indent="0" shrinkToFit="false"/>
      <protection locked="true" hidden="false"/>
    </xf>
    <xf numFmtId="167" fontId="8" fillId="0" borderId="1" xfId="0" applyFont="true" applyBorder="true" applyAlignment="true" applyProtection="false">
      <alignment horizontal="general" vertical="bottom" textRotation="0" wrapText="false" indent="0" shrinkToFit="false"/>
      <protection locked="true" hidden="false"/>
    </xf>
    <xf numFmtId="164" fontId="17" fillId="0" borderId="1" xfId="0" applyFont="true" applyBorder="true" applyAlignment="true" applyProtection="false">
      <alignment horizontal="general" vertical="bottom" textRotation="0" wrapText="false" indent="0" shrinkToFit="false"/>
      <protection locked="true" hidden="false"/>
    </xf>
    <xf numFmtId="171" fontId="16" fillId="6" borderId="0" xfId="0" applyFont="true" applyBorder="false" applyAlignment="true" applyProtection="false">
      <alignment horizontal="general" vertical="bottom" textRotation="0" wrapText="false" indent="0" shrinkToFit="false"/>
      <protection locked="true" hidden="false"/>
    </xf>
    <xf numFmtId="171" fontId="20"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7" fontId="16"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general" vertical="bottom" textRotation="0" wrapText="false" indent="0" shrinkToFit="false"/>
      <protection locked="true" hidden="false"/>
    </xf>
    <xf numFmtId="164" fontId="10" fillId="3" borderId="1" xfId="0" applyFont="true" applyBorder="true" applyAlignment="true" applyProtection="false">
      <alignment horizontal="general" vertical="bottom" textRotation="0" wrapText="false" indent="0" shrinkToFit="false"/>
      <protection locked="true" hidden="false"/>
    </xf>
    <xf numFmtId="164" fontId="15" fillId="3" borderId="0" xfId="0" applyFont="true" applyBorder="false" applyAlignment="true" applyProtection="false">
      <alignment horizontal="center" vertical="bottom" textRotation="0" wrapText="false" indent="0" shrinkToFit="false"/>
      <protection locked="true" hidden="false"/>
    </xf>
    <xf numFmtId="164" fontId="15" fillId="3" borderId="0" xfId="0" applyFont="true" applyBorder="false" applyAlignment="true" applyProtection="false">
      <alignment horizontal="general" vertical="bottom" textRotation="0" wrapText="false" indent="0" shrinkToFit="false"/>
      <protection locked="true" hidden="false"/>
    </xf>
    <xf numFmtId="171" fontId="12" fillId="3" borderId="0" xfId="0" applyFont="true" applyBorder="false" applyAlignment="true" applyProtection="false">
      <alignment horizontal="center" vertical="bottom" textRotation="0" wrapText="false" indent="0" shrinkToFit="false"/>
      <protection locked="true" hidden="false"/>
    </xf>
    <xf numFmtId="175" fontId="12" fillId="4" borderId="0" xfId="0" applyFont="true" applyBorder="false" applyAlignment="true" applyProtection="false">
      <alignment horizontal="general" vertical="bottom" textRotation="0" wrapText="false" indent="0" shrinkToFit="false"/>
      <protection locked="true" hidden="false"/>
    </xf>
    <xf numFmtId="167" fontId="8" fillId="7" borderId="0" xfId="0" applyFont="true" applyBorder="false" applyAlignment="true" applyProtection="false">
      <alignment horizontal="general" vertical="bottom" textRotation="0" wrapText="false" indent="0" shrinkToFit="false"/>
      <protection locked="true" hidden="false"/>
    </xf>
    <xf numFmtId="167" fontId="12" fillId="8" borderId="0" xfId="0" applyFont="true" applyBorder="false" applyAlignment="true" applyProtection="false">
      <alignment horizontal="general" vertical="bottom" textRotation="0" wrapText="false" indent="0" shrinkToFit="false"/>
      <protection locked="true" hidden="false"/>
    </xf>
    <xf numFmtId="171" fontId="12" fillId="6" borderId="0" xfId="0" applyFont="true" applyBorder="false" applyAlignment="true" applyProtection="false">
      <alignment horizontal="general" vertical="bottom" textRotation="0" wrapText="false" indent="0" shrinkToFit="false"/>
      <protection locked="true" hidden="false"/>
    </xf>
    <xf numFmtId="168" fontId="12" fillId="6"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73" fontId="14" fillId="0" borderId="0" xfId="0" applyFont="true" applyBorder="false" applyAlignment="true" applyProtection="false">
      <alignment horizontal="general" vertical="bottom" textRotation="0" wrapText="false" indent="0" shrinkToFit="false"/>
      <protection locked="true" hidden="false"/>
    </xf>
    <xf numFmtId="173" fontId="8" fillId="0" borderId="1" xfId="0" applyFont="true" applyBorder="true" applyAlignment="true" applyProtection="false">
      <alignment horizontal="general" vertical="bottom" textRotation="0" wrapText="false" indent="0" shrinkToFit="false"/>
      <protection locked="true" hidden="false"/>
    </xf>
    <xf numFmtId="164" fontId="10" fillId="9" borderId="1" xfId="0" applyFont="true" applyBorder="true" applyAlignment="true" applyProtection="false">
      <alignment horizontal="general" vertical="bottom" textRotation="0" wrapText="false" indent="0" shrinkToFit="false"/>
      <protection locked="true" hidden="false"/>
    </xf>
    <xf numFmtId="168" fontId="21" fillId="0" borderId="0" xfId="0" applyFont="true" applyBorder="false" applyAlignment="true" applyProtection="false">
      <alignment horizontal="general" vertical="bottom" textRotation="0" wrapText="false" indent="0" shrinkToFit="false"/>
      <protection locked="true" hidden="false"/>
    </xf>
    <xf numFmtId="168" fontId="14" fillId="0" borderId="1" xfId="0" applyFont="true" applyBorder="true" applyAlignment="true" applyProtection="false">
      <alignment horizontal="general" vertical="bottom" textRotation="0" wrapText="false" indent="0" shrinkToFit="false"/>
      <protection locked="true" hidden="false"/>
    </xf>
    <xf numFmtId="168" fontId="20" fillId="0" borderId="1" xfId="0" applyFont="true" applyBorder="true" applyAlignment="true" applyProtection="false">
      <alignment horizontal="general" vertical="bottom" textRotation="0" wrapText="false" indent="0" shrinkToFit="false"/>
      <protection locked="true" hidden="false"/>
    </xf>
    <xf numFmtId="168" fontId="16" fillId="0" borderId="0" xfId="0" applyFont="true" applyBorder="false" applyAlignment="true" applyProtection="false">
      <alignment horizontal="general" vertical="bottom" textRotation="0" wrapText="false" indent="0" shrinkToFit="false"/>
      <protection locked="true" hidden="false"/>
    </xf>
    <xf numFmtId="171" fontId="16" fillId="0" borderId="0" xfId="0" applyFont="true" applyBorder="false" applyAlignment="true" applyProtection="false">
      <alignment horizontal="general" vertical="bottom" textRotation="0" wrapText="false" indent="0" shrinkToFit="false"/>
      <protection locked="true" hidden="false"/>
    </xf>
    <xf numFmtId="168" fontId="11" fillId="0" borderId="0" xfId="0" applyFont="true" applyBorder="false" applyAlignment="true" applyProtection="false">
      <alignment horizontal="general" vertical="bottom" textRotation="0" wrapText="false" indent="0" shrinkToFit="false"/>
      <protection locked="true" hidden="false"/>
    </xf>
    <xf numFmtId="167" fontId="11" fillId="0" borderId="0" xfId="0" applyFont="true" applyBorder="false" applyAlignment="true" applyProtection="false">
      <alignment horizontal="general" vertical="bottom" textRotation="0" wrapText="false" indent="0" shrinkToFit="false"/>
      <protection locked="true" hidden="false"/>
    </xf>
    <xf numFmtId="171" fontId="11" fillId="0" borderId="0" xfId="0" applyFont="true" applyBorder="false" applyAlignment="true" applyProtection="false">
      <alignment horizontal="general" vertical="bottom" textRotation="0" wrapText="false" indent="0" shrinkToFit="false"/>
      <protection locked="true" hidden="false"/>
    </xf>
    <xf numFmtId="176" fontId="8" fillId="0" borderId="0" xfId="0" applyFont="true" applyBorder="false" applyAlignment="true" applyProtection="false">
      <alignment horizontal="general" vertical="bottom" textRotation="0" wrapText="false" indent="0" shrinkToFit="false"/>
      <protection locked="true" hidden="false"/>
    </xf>
    <xf numFmtId="177" fontId="14" fillId="0" borderId="0" xfId="0" applyFont="true" applyBorder="false" applyAlignment="true" applyProtection="false">
      <alignment horizontal="general" vertical="bottom" textRotation="0" wrapText="false" indent="0" shrinkToFit="false"/>
      <protection locked="true" hidden="false"/>
    </xf>
    <xf numFmtId="178" fontId="7" fillId="0" borderId="0" xfId="0" applyFont="true" applyBorder="false" applyAlignment="true" applyProtection="false">
      <alignment horizontal="general" vertical="bottom" textRotation="0" wrapText="false" indent="0" shrinkToFit="false"/>
      <protection locked="true" hidden="false"/>
    </xf>
    <xf numFmtId="178" fontId="14" fillId="0" borderId="0" xfId="0" applyFont="true" applyBorder="false" applyAlignment="true" applyProtection="false">
      <alignment horizontal="general" vertical="bottom" textRotation="0" wrapText="false" indent="0" shrinkToFit="false"/>
      <protection locked="true" hidden="false"/>
    </xf>
    <xf numFmtId="170" fontId="14" fillId="0" borderId="0" xfId="0" applyFont="true" applyBorder="false" applyAlignment="true" applyProtection="false">
      <alignment horizontal="general" vertical="bottom" textRotation="0" wrapText="false" indent="0" shrinkToFit="false"/>
      <protection locked="true" hidden="false"/>
    </xf>
    <xf numFmtId="164" fontId="16" fillId="0" borderId="1" xfId="0" applyFont="true" applyBorder="tru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true" indent="0" shrinkToFit="false"/>
      <protection locked="true" hidden="false"/>
    </xf>
    <xf numFmtId="164" fontId="16" fillId="0" borderId="1" xfId="0" applyFont="true" applyBorder="true" applyAlignment="true" applyProtection="false">
      <alignment horizontal="center" vertical="bottom" textRotation="0" wrapText="false" indent="0" shrinkToFit="false"/>
      <protection locked="true" hidden="false"/>
    </xf>
    <xf numFmtId="179" fontId="14" fillId="0" borderId="0" xfId="0" applyFont="true" applyBorder="false" applyAlignment="true" applyProtection="false">
      <alignment horizontal="general" vertical="bottom" textRotation="0" wrapText="false" indent="0" shrinkToFit="false"/>
      <protection locked="true" hidden="false"/>
    </xf>
    <xf numFmtId="179" fontId="16" fillId="0" borderId="0" xfId="0" applyFont="true" applyBorder="false" applyAlignment="tru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tru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24" fillId="10" borderId="0" xfId="0" applyFont="true" applyBorder="fals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general" vertical="bottom" textRotation="0" wrapText="false" indent="0" shrinkToFit="false"/>
      <protection locked="true" hidden="false"/>
    </xf>
    <xf numFmtId="168" fontId="14" fillId="2" borderId="0" xfId="0" applyFont="true" applyBorder="false" applyAlignment="true" applyProtection="false">
      <alignment horizontal="general" vertical="bottom" textRotation="0" wrapText="false" indent="0" shrinkToFit="false"/>
      <protection locked="true" hidden="false"/>
    </xf>
    <xf numFmtId="164" fontId="16" fillId="0" borderId="1" xfId="0" applyFont="true" applyBorder="true" applyAlignment="true" applyProtection="false">
      <alignment horizontal="left" vertical="bottom" textRotation="0" wrapText="false" indent="0" shrinkToFit="false"/>
      <protection locked="true" hidden="false"/>
    </xf>
    <xf numFmtId="164" fontId="16" fillId="0" borderId="0" xfId="0" applyFont="true" applyBorder="false" applyAlignment="true" applyProtection="false">
      <alignment horizontal="left" vertical="bottom" textRotation="0" wrapText="false" indent="0" shrinkToFit="false"/>
      <protection locked="true" hidden="false"/>
    </xf>
    <xf numFmtId="174" fontId="14"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16" fillId="0" borderId="0" xfId="0" applyFont="true" applyBorder="false" applyAlignment="true" applyProtection="false">
      <alignment horizontal="general" vertical="bottom" textRotation="0" wrapText="true" indent="0" shrinkToFit="false"/>
      <protection locked="true" hidden="false"/>
    </xf>
    <xf numFmtId="180" fontId="16" fillId="0" borderId="0" xfId="0" applyFont="true" applyBorder="fals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true" indent="0" shrinkToFit="false"/>
      <protection locked="true" hidden="false"/>
    </xf>
    <xf numFmtId="164" fontId="10" fillId="11" borderId="1" xfId="0" applyFont="true" applyBorder="true" applyAlignment="true" applyProtection="false">
      <alignment horizontal="general" vertical="bottom" textRotation="0" wrapText="false" indent="0" shrinkToFit="false"/>
      <protection locked="true" hidden="false"/>
    </xf>
    <xf numFmtId="164" fontId="10" fillId="12" borderId="1" xfId="0" applyFont="true" applyBorder="true" applyAlignment="true" applyProtection="false">
      <alignment horizontal="general" vertical="bottom" textRotation="0" wrapText="false" indent="0" shrinkToFit="false"/>
      <protection locked="true" hidden="false"/>
    </xf>
    <xf numFmtId="164" fontId="10" fillId="6" borderId="0" xfId="0" applyFont="true" applyBorder="false" applyAlignment="true" applyProtection="false">
      <alignment horizontal="general" vertical="bottom" textRotation="0" wrapText="false" indent="0" shrinkToFit="false"/>
      <protection locked="true" hidden="false"/>
    </xf>
    <xf numFmtId="164" fontId="10" fillId="12" borderId="0" xfId="0" applyFont="true" applyBorder="false" applyAlignment="true" applyProtection="false">
      <alignment horizontal="general" vertical="bottom" textRotation="0" wrapText="false" indent="0" shrinkToFit="false"/>
      <protection locked="true" hidden="false"/>
    </xf>
    <xf numFmtId="171" fontId="14" fillId="12" borderId="0" xfId="0" applyFont="true" applyBorder="false" applyAlignment="true" applyProtection="false">
      <alignment horizontal="general" vertical="bottom" textRotation="0" wrapText="false" indent="0" shrinkToFit="false"/>
      <protection locked="true" hidden="false"/>
    </xf>
    <xf numFmtId="171" fontId="14" fillId="12" borderId="1" xfId="0" applyFont="true" applyBorder="true" applyAlignment="true" applyProtection="false">
      <alignment horizontal="general" vertical="bottom" textRotation="0" wrapText="false" indent="0" shrinkToFit="false"/>
      <protection locked="true" hidden="false"/>
    </xf>
    <xf numFmtId="167" fontId="14" fillId="12" borderId="0" xfId="0" applyFont="true" applyBorder="false" applyAlignment="true" applyProtection="false">
      <alignment horizontal="general" vertical="bottom" textRotation="0" wrapText="false" indent="0" shrinkToFit="false"/>
      <protection locked="true" hidden="false"/>
    </xf>
    <xf numFmtId="167" fontId="14" fillId="12" borderId="1" xfId="0" applyFont="true" applyBorder="true" applyAlignment="true" applyProtection="false">
      <alignment horizontal="general" vertical="bottom" textRotation="0" wrapText="false" indent="0" shrinkToFit="false"/>
      <protection locked="true" hidden="false"/>
    </xf>
    <xf numFmtId="171" fontId="14" fillId="0" borderId="1" xfId="0" applyFont="true" applyBorder="true" applyAlignment="true" applyProtection="false">
      <alignment horizontal="general" vertical="bottom" textRotation="0" wrapText="false" indent="0" shrinkToFit="false"/>
      <protection locked="true" hidden="false"/>
    </xf>
    <xf numFmtId="171" fontId="8" fillId="0" borderId="1" xfId="0" applyFont="true" applyBorder="true" applyAlignment="true" applyProtection="false">
      <alignment horizontal="general" vertical="bottom" textRotation="0" wrapText="false" indent="0" shrinkToFit="false"/>
      <protection locked="true" hidden="false"/>
    </xf>
    <xf numFmtId="173" fontId="8" fillId="6" borderId="0" xfId="0" applyFont="true" applyBorder="false" applyAlignment="true" applyProtection="false">
      <alignment horizontal="general" vertical="bottom" textRotation="0" wrapText="false" indent="0" shrinkToFit="false"/>
      <protection locked="true" hidden="false"/>
    </xf>
    <xf numFmtId="167" fontId="14" fillId="6" borderId="0" xfId="0" applyFont="true" applyBorder="false" applyAlignment="true" applyProtection="false">
      <alignment horizontal="general" vertical="bottom" textRotation="0" wrapText="false" indent="0" shrinkToFit="false"/>
      <protection locked="true" hidden="false"/>
    </xf>
    <xf numFmtId="168" fontId="16" fillId="12" borderId="0" xfId="0" applyFont="true" applyBorder="false" applyAlignment="true" applyProtection="false">
      <alignment horizontal="general" vertical="bottom" textRotation="0" wrapText="false" indent="0" shrinkToFit="false"/>
      <protection locked="true" hidden="false"/>
    </xf>
    <xf numFmtId="168" fontId="14" fillId="6" borderId="1" xfId="0" applyFont="true" applyBorder="true" applyAlignment="true" applyProtection="false">
      <alignment horizontal="general" vertical="bottom" textRotation="0" wrapText="false" indent="0" shrinkToFit="false"/>
      <protection locked="true" hidden="false"/>
    </xf>
    <xf numFmtId="174" fontId="8" fillId="0" borderId="0" xfId="0" applyFont="true" applyBorder="false" applyAlignment="true" applyProtection="false">
      <alignment horizontal="general" vertical="bottom" textRotation="0" wrapText="false" indent="0" shrinkToFit="false"/>
      <protection locked="true" hidden="false"/>
    </xf>
    <xf numFmtId="171" fontId="14" fillId="6" borderId="0" xfId="0" applyFont="true" applyBorder="false" applyAlignment="true" applyProtection="false">
      <alignment horizontal="general" vertical="bottom" textRotation="0" wrapText="false" indent="0" shrinkToFit="false"/>
      <protection locked="true" hidden="false"/>
    </xf>
    <xf numFmtId="173" fontId="14" fillId="2" borderId="0" xfId="0" applyFont="true" applyBorder="false" applyAlignment="true" applyProtection="false">
      <alignment horizontal="general" vertical="bottom" textRotation="0" wrapText="false" indent="0" shrinkToFit="false"/>
      <protection locked="true" hidden="false"/>
    </xf>
    <xf numFmtId="164" fontId="10" fillId="11" borderId="0" xfId="0" applyFont="true" applyBorder="false" applyAlignment="true" applyProtection="false">
      <alignment horizontal="general" vertical="bottom" textRotation="0" wrapText="false" indent="0" shrinkToFit="false"/>
      <protection locked="true" hidden="false"/>
    </xf>
    <xf numFmtId="167" fontId="12" fillId="0" borderId="0" xfId="0" applyFont="tru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4" fontId="16" fillId="0" borderId="3" xfId="0" applyFont="true" applyBorder="true" applyAlignment="true" applyProtection="false">
      <alignment horizontal="general" vertical="bottom" textRotation="0" wrapText="false" indent="0" shrinkToFit="false"/>
      <protection locked="true" hidden="false"/>
    </xf>
    <xf numFmtId="180" fontId="8" fillId="0" borderId="0" xfId="0" applyFont="true" applyBorder="false" applyAlignment="true" applyProtection="false">
      <alignment horizontal="general" vertical="bottom" textRotation="0" wrapText="false" indent="0" shrinkToFit="false"/>
      <protection locked="true" hidden="false"/>
    </xf>
    <xf numFmtId="181" fontId="8" fillId="0" borderId="0" xfId="0" applyFont="true" applyBorder="false" applyAlignment="true" applyProtection="false">
      <alignment horizontal="general" vertical="bottom" textRotation="0" wrapText="false" indent="0" shrinkToFit="false"/>
      <protection locked="true" hidden="false"/>
    </xf>
    <xf numFmtId="180" fontId="14" fillId="0" borderId="0" xfId="0" applyFont="true" applyBorder="false" applyAlignment="true" applyProtection="false">
      <alignment horizontal="general" vertical="bottom" textRotation="0" wrapText="false" indent="0" shrinkToFit="false"/>
      <protection locked="true" hidden="false"/>
    </xf>
    <xf numFmtId="177" fontId="8" fillId="0" borderId="0" xfId="0" applyFont="true" applyBorder="false" applyAlignment="true" applyProtection="false">
      <alignment horizontal="general" vertical="bottom" textRotation="0" wrapText="false" indent="0" shrinkToFit="false"/>
      <protection locked="true" hidden="false"/>
    </xf>
    <xf numFmtId="177" fontId="7" fillId="0" borderId="0" xfId="0" applyFont="true" applyBorder="false" applyAlignment="true" applyProtection="false">
      <alignment horizontal="general" vertical="bottom" textRotation="0" wrapText="false" indent="0" shrinkToFit="false"/>
      <protection locked="true" hidden="false"/>
    </xf>
    <xf numFmtId="168" fontId="16" fillId="2" borderId="0" xfId="0" applyFont="true" applyBorder="false" applyAlignment="true" applyProtection="false">
      <alignment horizontal="general" vertical="bottom" textRotation="0" wrapText="false" indent="0" shrinkToFit="false"/>
      <protection locked="true" hidden="false"/>
    </xf>
    <xf numFmtId="177" fontId="16" fillId="2" borderId="0" xfId="0" applyFont="true" applyBorder="false" applyAlignment="true" applyProtection="false">
      <alignment horizontal="general" vertical="bottom" textRotation="0" wrapText="false" indent="0" shrinkToFit="false"/>
      <protection locked="true" hidden="false"/>
    </xf>
    <xf numFmtId="182" fontId="16" fillId="0" borderId="0" xfId="0" applyFont="true" applyBorder="false" applyAlignment="true" applyProtection="false">
      <alignment horizontal="general" vertical="bottom" textRotation="0" wrapText="false" indent="0" shrinkToFit="false"/>
      <protection locked="true" hidden="false"/>
    </xf>
    <xf numFmtId="180" fontId="7" fillId="0" borderId="0" xfId="0" applyFont="true" applyBorder="false" applyAlignment="true" applyProtection="false">
      <alignment horizontal="general" vertical="bottom" textRotation="0" wrapText="false" indent="0" shrinkToFit="false"/>
      <protection locked="true" hidden="false"/>
    </xf>
    <xf numFmtId="177" fontId="0" fillId="0" borderId="0" xfId="0" applyFont="false" applyBorder="false" applyAlignment="true" applyProtection="false">
      <alignment horizontal="general" vertical="bottom" textRotation="0" wrapText="false" indent="0" shrinkToFit="false"/>
      <protection locked="true" hidden="false"/>
    </xf>
    <xf numFmtId="177" fontId="16" fillId="0" borderId="0" xfId="0" applyFont="true" applyBorder="false" applyAlignment="true" applyProtection="false">
      <alignment horizontal="general" vertical="bottom" textRotation="0" wrapText="false" indent="0" shrinkToFit="false"/>
      <protection locked="true" hidden="false"/>
    </xf>
    <xf numFmtId="164" fontId="26" fillId="0" borderId="0" xfId="0" applyFont="true" applyBorder="false" applyAlignment="true" applyProtection="false">
      <alignment horizontal="general" vertical="bottom" textRotation="0" wrapText="false" indent="0" shrinkToFit="false"/>
      <protection locked="true" hidden="false"/>
    </xf>
    <xf numFmtId="169" fontId="0" fillId="0" borderId="0" xfId="0" applyFont="false" applyBorder="fals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bottom" textRotation="0" wrapText="true" indent="0" shrinkToFit="false"/>
      <protection locked="true" hidden="false"/>
    </xf>
    <xf numFmtId="183" fontId="0" fillId="0" borderId="0" xfId="0" applyFont="false" applyBorder="false" applyAlignment="tru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general" vertical="bottom" textRotation="0" wrapText="false" indent="0" shrinkToFit="false"/>
      <protection locked="true" hidden="false"/>
    </xf>
    <xf numFmtId="164" fontId="10" fillId="13" borderId="1" xfId="0" applyFont="true" applyBorder="true" applyAlignment="true" applyProtection="false">
      <alignment horizontal="general" vertical="bottom" textRotation="0" wrapText="false" indent="0" shrinkToFit="false"/>
      <protection locked="true" hidden="false"/>
    </xf>
    <xf numFmtId="164" fontId="11" fillId="13" borderId="1" xfId="0" applyFont="true" applyBorder="true" applyAlignment="true" applyProtection="false">
      <alignment horizontal="general" vertical="bottom" textRotation="0" wrapText="false" indent="0" shrinkToFit="false"/>
      <protection locked="true" hidden="false"/>
    </xf>
    <xf numFmtId="167" fontId="12" fillId="0" borderId="0" xfId="0" applyFont="true" applyBorder="false" applyAlignment="true" applyProtection="false">
      <alignment horizontal="right" vertical="bottom" textRotation="0" wrapText="false" indent="0" shrinkToFit="false"/>
      <protection locked="true" hidden="false"/>
    </xf>
    <xf numFmtId="168" fontId="12" fillId="0" borderId="0" xfId="0" applyFont="true" applyBorder="false" applyAlignment="true" applyProtection="false">
      <alignment horizontal="right" vertical="bottom" textRotation="0" wrapText="false" indent="0" shrinkToFit="false"/>
      <protection locked="true" hidden="false"/>
    </xf>
    <xf numFmtId="168" fontId="8" fillId="0" borderId="0" xfId="0" applyFont="true" applyBorder="false" applyAlignment="true" applyProtection="false">
      <alignment horizontal="right" vertical="bottom" textRotation="0" wrapText="false" indent="0" shrinkToFit="false"/>
      <protection locked="true" hidden="false"/>
    </xf>
    <xf numFmtId="171" fontId="12" fillId="0" borderId="0" xfId="0" applyFont="true" applyBorder="false" applyAlignment="true" applyProtection="false">
      <alignment horizontal="right" vertical="bottom" textRotation="0" wrapText="false" indent="0" shrinkToFit="false"/>
      <protection locked="true" hidden="false"/>
    </xf>
    <xf numFmtId="171" fontId="8" fillId="0" borderId="0" xfId="0" applyFont="true" applyBorder="false" applyAlignment="true" applyProtection="false">
      <alignment horizontal="right" vertical="bottom" textRotation="0" wrapText="false" indent="0" shrinkToFit="false"/>
      <protection locked="true" hidden="false"/>
    </xf>
    <xf numFmtId="168" fontId="14" fillId="0" borderId="0" xfId="0" applyFont="true" applyBorder="false" applyAlignment="true" applyProtection="false">
      <alignment horizontal="right" vertical="bottom" textRotation="0" wrapText="false" indent="0" shrinkToFit="false"/>
      <protection locked="true" hidden="false"/>
    </xf>
    <xf numFmtId="164" fontId="10" fillId="0" borderId="0" xfId="0" applyFont="true" applyBorder="false" applyAlignment="true" applyProtection="false">
      <alignment horizontal="right" vertical="bottom" textRotation="0" wrapText="false" indent="0" shrinkToFit="false"/>
      <protection locked="true" hidden="false"/>
    </xf>
    <xf numFmtId="165" fontId="11" fillId="0" borderId="0" xfId="0" applyFont="true" applyBorder="false" applyAlignment="true" applyProtection="false">
      <alignment horizontal="right" vertical="bottom" textRotation="0" wrapText="false" indent="0" shrinkToFit="false"/>
      <protection locked="true" hidden="false"/>
    </xf>
    <xf numFmtId="167" fontId="8" fillId="0" borderId="0" xfId="0" applyFont="true" applyBorder="false" applyAlignment="true" applyProtection="false">
      <alignment horizontal="right" vertical="bottom" textRotation="0" wrapText="false" indent="0" shrinkToFit="false"/>
      <protection locked="true" hidden="false"/>
    </xf>
    <xf numFmtId="171" fontId="14" fillId="0" borderId="0" xfId="0" applyFont="true" applyBorder="false" applyAlignment="true" applyProtection="false">
      <alignment horizontal="right" vertical="bottom" textRotation="0" wrapText="false" indent="0" shrinkToFit="false"/>
      <protection locked="true" hidden="false"/>
    </xf>
    <xf numFmtId="169" fontId="11" fillId="0" borderId="0" xfId="0" applyFont="true" applyBorder="false" applyAlignment="true" applyProtection="false">
      <alignment horizontal="right" vertical="bottom" textRotation="0" wrapText="false" indent="0" shrinkToFit="false"/>
      <protection locked="true" hidden="false"/>
    </xf>
    <xf numFmtId="184" fontId="11" fillId="0" borderId="0" xfId="0" applyFont="true" applyBorder="false" applyAlignment="true" applyProtection="false">
      <alignment horizontal="right" vertical="bottom" textRotation="0" wrapText="false" indent="0" shrinkToFit="false"/>
      <protection locked="true" hidden="false"/>
    </xf>
    <xf numFmtId="179" fontId="11" fillId="0" borderId="0" xfId="0" applyFont="true" applyBorder="false" applyAlignment="true" applyProtection="false">
      <alignment horizontal="right" vertical="bottom" textRotation="0" wrapText="false" indent="0" shrinkToFit="false"/>
      <protection locked="true" hidden="false"/>
    </xf>
    <xf numFmtId="167" fontId="14" fillId="0" borderId="0" xfId="0" applyFont="true" applyBorder="false" applyAlignment="true" applyProtection="false">
      <alignment horizontal="right" vertical="bottom" textRotation="0" wrapText="false" indent="0" shrinkToFit="false"/>
      <protection locked="true" hidden="false"/>
    </xf>
    <xf numFmtId="173" fontId="8" fillId="0" borderId="0" xfId="0" applyFont="true" applyBorder="false" applyAlignment="true" applyProtection="false">
      <alignment horizontal="right" vertical="bottom" textRotation="0" wrapText="false" indent="0" shrinkToFit="false"/>
      <protection locked="true" hidden="false"/>
    </xf>
    <xf numFmtId="173" fontId="14" fillId="0" borderId="0" xfId="0" applyFont="true" applyBorder="false" applyAlignment="true" applyProtection="false">
      <alignment horizontal="right" vertical="bottom" textRotation="0" wrapText="false" indent="0" shrinkToFit="false"/>
      <protection locked="true" hidden="false"/>
    </xf>
    <xf numFmtId="167" fontId="8" fillId="2" borderId="0" xfId="0" applyFont="true" applyBorder="false" applyAlignment="true" applyProtection="false">
      <alignment horizontal="right" vertical="bottom" textRotation="0" wrapText="false" indent="0" shrinkToFit="false"/>
      <protection locked="true" hidden="false"/>
    </xf>
    <xf numFmtId="164" fontId="27" fillId="2"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right" vertical="bottom" textRotation="0" wrapText="false" indent="0" shrinkToFit="false"/>
      <protection locked="true" hidden="false"/>
    </xf>
    <xf numFmtId="164" fontId="15" fillId="13" borderId="0" xfId="0" applyFont="true" applyBorder="false" applyAlignment="true" applyProtection="false">
      <alignment horizontal="general" vertical="bottom" textRotation="0" wrapText="false" indent="0" shrinkToFit="false"/>
      <protection locked="true" hidden="false"/>
    </xf>
    <xf numFmtId="164" fontId="11" fillId="13"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27" fillId="0" borderId="0" xfId="0" applyFont="true" applyBorder="false" applyAlignment="true" applyProtection="false">
      <alignment horizontal="general" vertical="top" textRotation="0" wrapText="true" indent="0" shrinkToFit="false"/>
      <protection locked="true" hidden="false"/>
    </xf>
    <xf numFmtId="164" fontId="27" fillId="2" borderId="0" xfId="0" applyFont="true" applyBorder="false" applyAlignment="true" applyProtection="false">
      <alignment horizontal="general" vertical="top" textRotation="0" wrapText="true" indent="0" shrinkToFit="false"/>
      <protection locked="true" hidden="false"/>
    </xf>
    <xf numFmtId="185" fontId="0" fillId="0" borderId="0" xfId="0" applyFont="fals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5" fontId="8" fillId="0" borderId="0" xfId="0" applyFont="true" applyBorder="false" applyAlignment="true" applyProtection="false">
      <alignment horizontal="general" vertical="bottom" textRotation="0" wrapText="false" indent="0" shrinkToFit="false"/>
      <protection locked="true" hidden="false"/>
    </xf>
    <xf numFmtId="166" fontId="8"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72" fontId="0" fillId="0" borderId="0" xfId="0" applyFont="false" applyBorder="false" applyAlignment="true" applyProtection="false">
      <alignment horizontal="general" vertical="bottom" textRotation="0" wrapText="false" indent="0" shrinkToFit="false"/>
      <protection locked="true" hidden="false"/>
    </xf>
    <xf numFmtId="173" fontId="0" fillId="0" borderId="0" xfId="0" applyFont="false" applyBorder="false" applyAlignment="true" applyProtection="false">
      <alignment horizontal="general" vertical="bottom"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name val="Calibri"/>
        <charset val="1"/>
        <family val="0"/>
        <b val="1"/>
        <color rgb="FFFF0000"/>
        <sz val="11"/>
      </font>
    </dxf>
  </dxfs>
  <colors>
    <indexedColors>
      <rgbColor rgb="FF000000"/>
      <rgbColor rgb="FFFFFFFF"/>
      <rgbColor rgb="FFFF0000"/>
      <rgbColor rgb="FF00FF00"/>
      <rgbColor rgb="FF0000FF"/>
      <rgbColor rgb="FFFFD966"/>
      <rgbColor rgb="FFFF00FF"/>
      <rgbColor rgb="FF00FFFF"/>
      <rgbColor rgb="FF800000"/>
      <rgbColor rgb="FF008000"/>
      <rgbColor rgb="FF000080"/>
      <rgbColor rgb="FFCC9900"/>
      <rgbColor rgb="FF800080"/>
      <rgbColor rgb="FF008080"/>
      <rgbColor rgb="FFBFBFBF"/>
      <rgbColor rgb="FF808080"/>
      <rgbColor rgb="FFA6A6A6"/>
      <rgbColor rgb="FF993366"/>
      <rgbColor rgb="FFFFFFCC"/>
      <rgbColor rgb="FFDDEBF7"/>
      <rgbColor rgb="FF660066"/>
      <rgbColor rgb="FFE5B950"/>
      <rgbColor rgb="FF0066CC"/>
      <rgbColor rgb="FFB4C6E7"/>
      <rgbColor rgb="FF000080"/>
      <rgbColor rgb="FFFF00FF"/>
      <rgbColor rgb="FFF2C755"/>
      <rgbColor rgb="FF00FFFF"/>
      <rgbColor rgb="FF800080"/>
      <rgbColor rgb="FF800000"/>
      <rgbColor rgb="FF008080"/>
      <rgbColor rgb="FF0000FF"/>
      <rgbColor rgb="FF00CCFF"/>
      <rgbColor rgb="FFF2F2F2"/>
      <rgbColor rgb="FFC6E0B4"/>
      <rgbColor rgb="FFFCE5CD"/>
      <rgbColor rgb="FFB3B3B3"/>
      <rgbColor rgb="FFD9E1F2"/>
      <rgbColor rgb="FFD9D9D9"/>
      <rgbColor rgb="FFF2D670"/>
      <rgbColor rgb="FF3366FF"/>
      <rgbColor rgb="FF33CCCC"/>
      <rgbColor rgb="FFE7E6E6"/>
      <rgbColor rgb="FFE6B800"/>
      <rgbColor rgb="FFD9A000"/>
      <rgbColor rgb="FFFF6600"/>
      <rgbColor rgb="FF595959"/>
      <rgbColor rgb="FF888888"/>
      <rgbColor rgb="FF1F3864"/>
      <rgbColor rgb="FF339966"/>
      <rgbColor rgb="FF003300"/>
      <rgbColor rgb="FF555555"/>
      <rgbColor rgb="FF993300"/>
      <rgbColor rgb="FF993366"/>
      <rgbColor rgb="FF1F4E79"/>
      <rgbColor rgb="FF29293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_rels/chart4.xml.rels><?xml version="1.0" encoding="UTF-8"?>
<Relationships xmlns="http://schemas.openxmlformats.org/package/2006/relationships"><Relationship Id="rId1" Type="http://schemas.microsoft.com/office/2011/relationships/chartStyle" Target="style4.xml"/><Relationship Id="rId2" Type="http://schemas.microsoft.com/office/2011/relationships/chartColorStyle" Target="colors4.xml"/>
</Relationships>
</file>

<file path=xl/charts/_rels/chart5.xml.rels><?xml version="1.0" encoding="UTF-8"?>
<Relationships xmlns="http://schemas.openxmlformats.org/package/2006/relationships"><Relationship Id="rId1" Type="http://schemas.microsoft.com/office/2011/relationships/chartStyle" Target="style5.xml"/><Relationship Id="rId2" Type="http://schemas.microsoft.com/office/2011/relationships/chartColorStyle" Target="colors5.xml"/>
</Relationships>
</file>

<file path=xl/charts/_rels/chart6.xml.rels><?xml version="1.0" encoding="UTF-8"?>
<Relationships xmlns="http://schemas.openxmlformats.org/package/2006/relationships"><Relationship Id="rId1" Type="http://schemas.microsoft.com/office/2011/relationships/chartStyle" Target="style6.xml"/><Relationship Id="rId2" Type="http://schemas.microsoft.com/office/2011/relationships/chartColorStyle" Target="colors6.xml"/>
</Relationships>
</file>

<file path=xl/charts/_rels/chart7.xml.rels><?xml version="1.0" encoding="UTF-8"?>
<Relationships xmlns="http://schemas.openxmlformats.org/package/2006/relationships"><Relationship Id="rId1" Type="http://schemas.microsoft.com/office/2011/relationships/chartStyle" Target="style7.xml"/><Relationship Id="rId2" Type="http://schemas.microsoft.com/office/2011/relationships/chartColorStyle" Target="colors7.xml"/>
</Relationships>
</file>

<file path=xl/charts/_rels/chart8.xml.rels><?xml version="1.0" encoding="UTF-8"?>
<Relationships xmlns="http://schemas.openxmlformats.org/package/2006/relationships"><Relationship Id="rId1" Type="http://schemas.microsoft.com/office/2011/relationships/chartStyle" Target="style8.xml"/><Relationship Id="rId2" Type="http://schemas.microsoft.com/office/2011/relationships/chartColorStyle" Target="colors8.xml"/>
</Relationships>
</file>

<file path=xl/charts/_rels/chart9.xml.rels><?xml version="1.0" encoding="UTF-8"?>
<Relationships xmlns="http://schemas.openxmlformats.org/package/2006/relationships"><Relationship Id="rId1" Type="http://schemas.microsoft.com/office/2011/relationships/chartStyle" Target="style9.xml"/><Relationship Id="rId2" Type="http://schemas.microsoft.com/office/2011/relationships/chartColorStyle" Target="colors9.xml"/>
</Relationships>
</file>

<file path=xl/charts/_rels/chart10.xml.rels><?xml version="1.0" encoding="UTF-8"?>
<Relationships xmlns="http://schemas.openxmlformats.org/package/2006/relationships"><Relationship Id="rId1" Type="http://schemas.microsoft.com/office/2011/relationships/chartStyle" Target="style10.xml"/><Relationship Id="rId2" Type="http://schemas.microsoft.com/office/2011/relationships/chartColorStyle" Target="colors10.xml"/>
</Relationships>
</file>

<file path=xl/charts/_rels/chart11.xml.rels><?xml version="1.0" encoding="UTF-8"?>
<Relationships xmlns="http://schemas.openxmlformats.org/package/2006/relationships"><Relationship Id="rId1" Type="http://schemas.microsoft.com/office/2011/relationships/chartStyle" Target="style11.xml"/><Relationship Id="rId2" Type="http://schemas.microsoft.com/office/2011/relationships/chartColorStyle" Target="colors11.xml"/>
</Relationships>
</file>

<file path=xl/charts/_rels/chart12.xml.rels><?xml version="1.0" encoding="UTF-8"?>
<Relationships xmlns="http://schemas.openxmlformats.org/package/2006/relationships"><Relationship Id="rId1" Type="http://schemas.microsoft.com/office/2011/relationships/chartStyle" Target="style12.xml"/><Relationship Id="rId2" Type="http://schemas.microsoft.com/office/2011/relationships/chartColorStyle" Target="colors12.xml"/>
</Relationships>
</file>

<file path=xl/charts/_rels/chart13.xml.rels><?xml version="1.0" encoding="UTF-8"?>
<Relationships xmlns="http://schemas.openxmlformats.org/package/2006/relationships"><Relationship Id="rId1" Type="http://schemas.microsoft.com/office/2011/relationships/chartStyle" Target="style13.xml"/><Relationship Id="rId2" Type="http://schemas.microsoft.com/office/2011/relationships/chartColorStyle" Target="colors13.xml"/>
</Relationships>
</file>

<file path=xl/charts/_rels/chart14.xml.rels><?xml version="1.0" encoding="UTF-8"?>
<Relationships xmlns="http://schemas.openxmlformats.org/package/2006/relationships"><Relationship Id="rId1" Type="http://schemas.microsoft.com/office/2011/relationships/chartStyle" Target="style14.xml"/><Relationship Id="rId2" Type="http://schemas.microsoft.com/office/2011/relationships/chartColorStyle" Target="colors14.xml"/>
</Relationships>
</file>

<file path=xl/charts/_rels/chart15.xml.rels><?xml version="1.0" encoding="UTF-8"?>
<Relationships xmlns="http://schemas.openxmlformats.org/package/2006/relationships"><Relationship Id="rId1" Type="http://schemas.microsoft.com/office/2011/relationships/chartStyle" Target="style15.xml"/><Relationship Id="rId2" Type="http://schemas.microsoft.com/office/2011/relationships/chartColorStyle" Target="colors15.xml"/>
</Relationships>
</file>

<file path=xl/charts/_rels/chart16.xml.rels><?xml version="1.0" encoding="UTF-8"?>
<Relationships xmlns="http://schemas.openxmlformats.org/package/2006/relationships"><Relationship Id="rId1" Type="http://schemas.microsoft.com/office/2011/relationships/chartStyle" Target="style16.xml"/><Relationship Id="rId2" Type="http://schemas.microsoft.com/office/2011/relationships/chartColorStyle" Target="colors16.xml"/>
</Relationships>
</file>

<file path=xl/charts/_rels/chart17.xml.rels><?xml version="1.0" encoding="UTF-8"?>
<Relationships xmlns="http://schemas.openxmlformats.org/package/2006/relationships"><Relationship Id="rId1" Type="http://schemas.microsoft.com/office/2011/relationships/chartStyle" Target="style17.xml"/><Relationship Id="rId2" Type="http://schemas.microsoft.com/office/2011/relationships/chartColorStyle" Target="colors17.xml"/>
</Relationships>
</file>

<file path=xl/charts/_rels/chart18.xml.rels><?xml version="1.0" encoding="UTF-8"?>
<Relationships xmlns="http://schemas.openxmlformats.org/package/2006/relationships"><Relationship Id="rId1" Type="http://schemas.microsoft.com/office/2011/relationships/chartStyle" Target="style18.xml"/><Relationship Id="rId2" Type="http://schemas.microsoft.com/office/2011/relationships/chartColorStyle" Target="colors18.xml"/>
</Relationships>
</file>

<file path=xl/charts/_rels/chart19.xml.rels><?xml version="1.0" encoding="UTF-8"?>
<Relationships xmlns="http://schemas.openxmlformats.org/package/2006/relationships"><Relationship Id="rId1" Type="http://schemas.microsoft.com/office/2011/relationships/chartStyle" Target="style19.xml"/><Relationship Id="rId2" Type="http://schemas.microsoft.com/office/2011/relationships/chartColorStyle" Target="colors19.xml"/>
</Relationships>
</file>

<file path=xl/charts/_rels/chart20.xml.rels><?xml version="1.0" encoding="UTF-8"?>
<Relationships xmlns="http://schemas.openxmlformats.org/package/2006/relationships"><Relationship Id="rId1" Type="http://schemas.microsoft.com/office/2011/relationships/chartStyle" Target="style20.xml"/><Relationship Id="rId2" Type="http://schemas.microsoft.com/office/2011/relationships/chartColorStyle" Target="colors20.xml"/>
</Relationships>
</file>

<file path=xl/charts/_rels/chart21.xml.rels><?xml version="1.0" encoding="UTF-8"?>
<Relationships xmlns="http://schemas.openxmlformats.org/package/2006/relationships"><Relationship Id="rId1" Type="http://schemas.microsoft.com/office/2011/relationships/chartStyle" Target="style21.xml"/><Relationship Id="rId2" Type="http://schemas.microsoft.com/office/2011/relationships/chartColorStyle" Target="colors21.xml"/>
</Relationships>
</file>

<file path=xl/charts/_rels/chart22.xml.rels><?xml version="1.0" encoding="UTF-8"?>
<Relationships xmlns="http://schemas.openxmlformats.org/package/2006/relationships"><Relationship Id="rId1" Type="http://schemas.microsoft.com/office/2011/relationships/chartStyle" Target="style22.xml"/><Relationship Id="rId2" Type="http://schemas.microsoft.com/office/2011/relationships/chartColorStyle" Target="colors2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Figure 1: Revenue 2020A-2035E ($M)</a:t>
            </a:r>
          </a:p>
        </c:rich>
      </c:tx>
      <c:overlay val="0"/>
      <c:spPr>
        <a:noFill/>
        <a:ln w="0">
          <a:noFill/>
        </a:ln>
      </c:spPr>
    </c:title>
    <c:autoTitleDeleted val="0"/>
    <c:plotArea>
      <c:barChart>
        <c:barDir val="col"/>
        <c:grouping val="clustered"/>
        <c:varyColors val="0"/>
        <c:ser>
          <c:idx val="0"/>
          <c:order val="0"/>
          <c:spPr>
            <a:solidFill>
              <a:srgbClr val="F2C755"/>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extLst>
              <c:ext xmlns:c15="http://schemas.microsoft.com/office/drawing/2012/chart" uri="{CE6537A1-D6FC-4f65-9D91-7224C49458BB}">
                <c15:showLeaderLines val="1"/>
              </c:ext>
            </c:extLst>
          </c:dLbls>
          <c:cat>
            <c:strRef>
              <c:f>Charts!$D$15:$S$15</c:f>
              <c:strCache>
                <c:ptCount val="16"/>
                <c:pt idx="0">
                  <c:v>2020A</c:v>
                </c:pt>
                <c:pt idx="1">
                  <c:v>2021A</c:v>
                </c:pt>
                <c:pt idx="2">
                  <c:v>2022A</c:v>
                </c:pt>
                <c:pt idx="3">
                  <c:v>2023A</c:v>
                </c:pt>
                <c:pt idx="4">
                  <c:v>2024A</c:v>
                </c:pt>
                <c:pt idx="5">
                  <c:v>2025A</c:v>
                </c:pt>
                <c:pt idx="6">
                  <c:v>2026E</c:v>
                </c:pt>
                <c:pt idx="7">
                  <c:v>2027E</c:v>
                </c:pt>
                <c:pt idx="8">
                  <c:v>2028E</c:v>
                </c:pt>
                <c:pt idx="9">
                  <c:v>2029E</c:v>
                </c:pt>
                <c:pt idx="10">
                  <c:v>2030E</c:v>
                </c:pt>
                <c:pt idx="11">
                  <c:v>2031E</c:v>
                </c:pt>
                <c:pt idx="12">
                  <c:v>2032E</c:v>
                </c:pt>
                <c:pt idx="13">
                  <c:v>2033E</c:v>
                </c:pt>
                <c:pt idx="14">
                  <c:v>2034E</c:v>
                </c:pt>
                <c:pt idx="15">
                  <c:v>2035E</c:v>
                </c:pt>
              </c:strCache>
            </c:strRef>
          </c:cat>
          <c:val>
            <c:numRef>
              <c:f>Charts!$D$16:$S$16</c:f>
              <c:numCache>
                <c:formatCode>#,##0_);\(#,##0\);0_);@_)</c:formatCode>
                <c:ptCount val="16"/>
                <c:pt idx="0">
                  <c:v>1209.2</c:v>
                </c:pt>
                <c:pt idx="1">
                  <c:v>1257.4</c:v>
                </c:pt>
                <c:pt idx="2">
                  <c:v>1273</c:v>
                </c:pt>
                <c:pt idx="3">
                  <c:v>1410.9</c:v>
                </c:pt>
                <c:pt idx="4">
                  <c:v>1585.5</c:v>
                </c:pt>
                <c:pt idx="5">
                  <c:v>1740.4</c:v>
                </c:pt>
                <c:pt idx="6">
                  <c:v>2385.45465384829</c:v>
                </c:pt>
                <c:pt idx="7">
                  <c:v>2471.47905200311</c:v>
                </c:pt>
                <c:pt idx="8">
                  <c:v>2553.71160919839</c:v>
                </c:pt>
                <c:pt idx="9">
                  <c:v>2622.88062791535</c:v>
                </c:pt>
                <c:pt idx="10">
                  <c:v>2673.49375612723</c:v>
                </c:pt>
                <c:pt idx="11">
                  <c:v>2715.56937599861</c:v>
                </c:pt>
                <c:pt idx="12">
                  <c:v>2762.92488591932</c:v>
                </c:pt>
                <c:pt idx="13">
                  <c:v>2811.62859432273</c:v>
                </c:pt>
                <c:pt idx="14">
                  <c:v>2861.73236546795</c:v>
                </c:pt>
                <c:pt idx="15">
                  <c:v>2913.28200360693</c:v>
                </c:pt>
              </c:numCache>
            </c:numRef>
          </c:val>
        </c:ser>
        <c:gapWidth val="150"/>
        <c:overlap val="0"/>
        <c:axId val="50063069"/>
        <c:axId val="34999006"/>
      </c:barChart>
      <c:catAx>
        <c:axId val="50063069"/>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Fiscal year</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34999006"/>
        <c:crosses val="autoZero"/>
        <c:auto val="1"/>
        <c:lblAlgn val="ctr"/>
        <c:lblOffset val="100"/>
        <c:noMultiLvlLbl val="0"/>
      </c:catAx>
      <c:valAx>
        <c:axId val="34999006"/>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$M</a:t>
                </a:r>
              </a:p>
            </c:rich>
          </c:tx>
          <c:overlay val="0"/>
          <c:spPr>
            <a:noFill/>
            <a:ln w="0">
              <a:noFill/>
            </a:ln>
          </c:spPr>
        </c:title>
        <c:numFmt formatCode="#,##0_);\(#,##0\);0_);@_)"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50063069"/>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Figure 2: Diluted EPS 2025A-2035E ($/sh)</a:t>
            </a:r>
          </a:p>
        </c:rich>
      </c:tx>
      <c:overlay val="0"/>
      <c:spPr>
        <a:noFill/>
        <a:ln w="0">
          <a:noFill/>
        </a:ln>
      </c:spPr>
    </c:title>
    <c:autoTitleDeleted val="0"/>
    <c:plotArea>
      <c:barChart>
        <c:barDir val="col"/>
        <c:grouping val="clustered"/>
        <c:varyColors val="0"/>
        <c:ser>
          <c:idx val="0"/>
          <c:order val="0"/>
          <c:spPr>
            <a:solidFill>
              <a:srgbClr val="F2C755"/>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extLst>
              <c:ext xmlns:c15="http://schemas.microsoft.com/office/drawing/2012/chart" uri="{CE6537A1-D6FC-4f65-9D91-7224C49458BB}">
                <c15:showLeaderLines val="1"/>
              </c:ext>
            </c:extLst>
          </c:dLbls>
          <c:cat>
            <c:strRef>
              <c:f>Charts!$I$15:$S$15</c:f>
              <c:strCache>
                <c:ptCount val="11"/>
                <c:pt idx="0">
                  <c:v>2025A</c:v>
                </c:pt>
                <c:pt idx="1">
                  <c:v>2026E</c:v>
                </c:pt>
                <c:pt idx="2">
                  <c:v>2027E</c:v>
                </c:pt>
                <c:pt idx="3">
                  <c:v>2028E</c:v>
                </c:pt>
                <c:pt idx="4">
                  <c:v>2029E</c:v>
                </c:pt>
                <c:pt idx="5">
                  <c:v>2030E</c:v>
                </c:pt>
                <c:pt idx="6">
                  <c:v>2031E</c:v>
                </c:pt>
                <c:pt idx="7">
                  <c:v>2032E</c:v>
                </c:pt>
                <c:pt idx="8">
                  <c:v>2033E</c:v>
                </c:pt>
                <c:pt idx="9">
                  <c:v>2034E</c:v>
                </c:pt>
                <c:pt idx="10">
                  <c:v>2035E</c:v>
                </c:pt>
              </c:strCache>
            </c:strRef>
          </c:cat>
          <c:val>
            <c:numRef>
              <c:f>Charts!$I$18:$S$18</c:f>
              <c:numCache>
                <c:formatCode>\$#,##0.00_);"($"#,##0.00\)</c:formatCode>
                <c:ptCount val="11"/>
                <c:pt idx="0">
                  <c:v>9.28412256267411</c:v>
                </c:pt>
                <c:pt idx="1">
                  <c:v>10.2892230192277</c:v>
                </c:pt>
                <c:pt idx="2">
                  <c:v>10.1760599616912</c:v>
                </c:pt>
                <c:pt idx="3">
                  <c:v>10.6857265710515</c:v>
                </c:pt>
                <c:pt idx="4">
                  <c:v>11.1795213584477</c:v>
                </c:pt>
                <c:pt idx="5">
                  <c:v>11.1398182838866</c:v>
                </c:pt>
                <c:pt idx="6">
                  <c:v>11.804738698933</c:v>
                </c:pt>
                <c:pt idx="7">
                  <c:v>12.1823716250541</c:v>
                </c:pt>
                <c:pt idx="8">
                  <c:v>12.7445069277566</c:v>
                </c:pt>
                <c:pt idx="9">
                  <c:v>13.4029310676698</c:v>
                </c:pt>
                <c:pt idx="10">
                  <c:v>14.1651719104777</c:v>
                </c:pt>
              </c:numCache>
            </c:numRef>
          </c:val>
        </c:ser>
        <c:ser>
          <c:idx val="1"/>
          <c:order val="1"/>
          <c:spPr>
            <a:solidFill>
              <a:srgbClr val="A6A6A6"/>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extLst>
              <c:ext xmlns:c15="http://schemas.microsoft.com/office/drawing/2012/chart" uri="{CE6537A1-D6FC-4f65-9D91-7224C49458BB}">
                <c15:showLeaderLines val="1"/>
              </c:ext>
            </c:extLst>
          </c:dLbls>
          <c:cat>
            <c:strRef>
              <c:f>Charts!$I$15:$S$15</c:f>
              <c:strCache>
                <c:ptCount val="11"/>
                <c:pt idx="0">
                  <c:v>2025A</c:v>
                </c:pt>
                <c:pt idx="1">
                  <c:v>2026E</c:v>
                </c:pt>
                <c:pt idx="2">
                  <c:v>2027E</c:v>
                </c:pt>
                <c:pt idx="3">
                  <c:v>2028E</c:v>
                </c:pt>
                <c:pt idx="4">
                  <c:v>2029E</c:v>
                </c:pt>
                <c:pt idx="5">
                  <c:v>2030E</c:v>
                </c:pt>
                <c:pt idx="6">
                  <c:v>2031E</c:v>
                </c:pt>
                <c:pt idx="7">
                  <c:v>2032E</c:v>
                </c:pt>
                <c:pt idx="8">
                  <c:v>2033E</c:v>
                </c:pt>
                <c:pt idx="9">
                  <c:v>2034E</c:v>
                </c:pt>
                <c:pt idx="10">
                  <c:v>2035E</c:v>
                </c:pt>
              </c:strCache>
            </c:strRef>
          </c:cat>
          <c:val>
            <c:numRef>
              <c:f>Charts!$I$21:$S$21</c:f>
              <c:numCache>
                <c:formatCode>0.00</c:formatCode>
                <c:ptCount val="11"/>
                <c:pt idx="1">
                  <c:v>10.228</c:v>
                </c:pt>
                <c:pt idx="2">
                  <c:v>11.271</c:v>
                </c:pt>
              </c:numCache>
            </c:numRef>
          </c:val>
        </c:ser>
        <c:gapWidth val="150"/>
        <c:overlap val="0"/>
        <c:axId val="99488811"/>
        <c:axId val="13607000"/>
      </c:barChart>
      <c:catAx>
        <c:axId val="99488811"/>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13607000"/>
        <c:crosses val="autoZero"/>
        <c:auto val="1"/>
        <c:lblAlgn val="ctr"/>
        <c:lblOffset val="100"/>
        <c:noMultiLvlLbl val="0"/>
      </c:catAx>
      <c:valAx>
        <c:axId val="13607000"/>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$/sh</a:t>
                </a:r>
              </a:p>
            </c:rich>
          </c:tx>
          <c:overlay val="0"/>
          <c:spPr>
            <a:noFill/>
            <a:ln w="0">
              <a:noFill/>
            </a:ln>
          </c:spPr>
        </c:title>
        <c:numFmt formatCode="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99488811"/>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Figure 3: Thesis Test sources vs uses 2026E-2030E ($M)</a:t>
            </a:r>
          </a:p>
        </c:rich>
      </c:tx>
      <c:overlay val="0"/>
      <c:spPr>
        <a:noFill/>
        <a:ln w="0">
          <a:noFill/>
        </a:ln>
      </c:spPr>
    </c:title>
    <c:autoTitleDeleted val="0"/>
    <c:plotArea>
      <c:barChart>
        <c:barDir val="col"/>
        <c:grouping val="stacked"/>
        <c:varyColors val="0"/>
        <c:ser>
          <c:idx val="0"/>
          <c:order val="0"/>
          <c:spPr>
            <a:solidFill>
              <a:srgbClr val="F2C755"/>
            </a:solidFill>
            <a:ln w="12600">
              <a:noFill/>
            </a:ln>
          </c:spPr>
          <c:invertIfNegative val="0"/>
          <c:dLbls>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extLst>
              <c:ext xmlns:c15="http://schemas.microsoft.com/office/drawing/2012/chart" uri="{CE6537A1-D6FC-4f65-9D91-7224C49458BB}">
                <c15:showLeaderLines val="1"/>
              </c:ext>
            </c:extLst>
          </c:dLbls>
          <c:cat>
            <c:strRef>
              <c:f>Charts!$J$15:$N$15</c:f>
              <c:strCache>
                <c:ptCount val="5"/>
                <c:pt idx="0">
                  <c:v>2026E</c:v>
                </c:pt>
                <c:pt idx="1">
                  <c:v>2027E</c:v>
                </c:pt>
                <c:pt idx="2">
                  <c:v>2028E</c:v>
                </c:pt>
                <c:pt idx="3">
                  <c:v>2029E</c:v>
                </c:pt>
                <c:pt idx="4">
                  <c:v>2030E</c:v>
                </c:pt>
              </c:strCache>
            </c:strRef>
          </c:cat>
          <c:val>
            <c:numRef>
              <c:f>Charts!$J$45:$N$45</c:f>
              <c:numCache>
                <c:formatCode>0.0%_);\(0.0%\);@_)</c:formatCode>
                <c:ptCount val="5"/>
                <c:pt idx="0">
                  <c:v>25.9656538482865</c:v>
                </c:pt>
                <c:pt idx="1">
                  <c:v>44.1993681548261</c:v>
                </c:pt>
                <c:pt idx="2">
                  <c:v>37.6880282952773</c:v>
                </c:pt>
                <c:pt idx="3">
                  <c:v>21.6977105499587</c:v>
                </c:pt>
                <c:pt idx="4">
                  <c:v>-0.00998857012646326</c:v>
                </c:pt>
              </c:numCache>
            </c:numRef>
          </c:val>
        </c:ser>
        <c:ser>
          <c:idx val="1"/>
          <c:order val="1"/>
          <c:spPr>
            <a:solidFill>
              <a:srgbClr val="FFD966"/>
            </a:solidFill>
            <a:ln w="12600">
              <a:noFill/>
            </a:ln>
          </c:spPr>
          <c:invertIfNegative val="0"/>
          <c:dLbls>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extLst>
              <c:ext xmlns:c15="http://schemas.microsoft.com/office/drawing/2012/chart" uri="{CE6537A1-D6FC-4f65-9D91-7224C49458BB}">
                <c15:showLeaderLines val="1"/>
              </c:ext>
            </c:extLst>
          </c:dLbls>
          <c:cat>
            <c:strRef>
              <c:f>Charts!$J$15:$N$15</c:f>
              <c:strCache>
                <c:ptCount val="5"/>
                <c:pt idx="0">
                  <c:v>2026E</c:v>
                </c:pt>
                <c:pt idx="1">
                  <c:v>2027E</c:v>
                </c:pt>
                <c:pt idx="2">
                  <c:v>2028E</c:v>
                </c:pt>
                <c:pt idx="3">
                  <c:v>2029E</c:v>
                </c:pt>
                <c:pt idx="4">
                  <c:v>2030E</c:v>
                </c:pt>
              </c:strCache>
            </c:strRef>
          </c:cat>
          <c:val>
            <c:numRef>
              <c:f>Charts!$J$46:$N$46</c:f>
              <c:numCache>
                <c:formatCode>#,##0_);\(#,##0\);0_);@_)</c:formatCode>
                <c:ptCount val="5"/>
                <c:pt idx="0">
                  <c:v>543</c:v>
                </c:pt>
                <c:pt idx="1">
                  <c:v>0</c:v>
                </c:pt>
                <c:pt idx="2">
                  <c:v>0</c:v>
                </c:pt>
                <c:pt idx="3">
                  <c:v>0</c:v>
                </c:pt>
                <c:pt idx="4">
                  <c:v>0</c:v>
                </c:pt>
              </c:numCache>
            </c:numRef>
          </c:val>
        </c:ser>
        <c:ser>
          <c:idx val="2"/>
          <c:order val="2"/>
          <c:spPr>
            <a:solidFill>
              <a:srgbClr val="E6B800"/>
            </a:solidFill>
            <a:ln w="12600">
              <a:noFill/>
            </a:ln>
          </c:spPr>
          <c:invertIfNegative val="0"/>
          <c:dLbls>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extLst>
              <c:ext xmlns:c15="http://schemas.microsoft.com/office/drawing/2012/chart" uri="{CE6537A1-D6FC-4f65-9D91-7224C49458BB}">
                <c15:showLeaderLines val="1"/>
              </c:ext>
            </c:extLst>
          </c:dLbls>
          <c:cat>
            <c:strRef>
              <c:f>Charts!$J$15:$N$15</c:f>
              <c:strCache>
                <c:ptCount val="5"/>
                <c:pt idx="0">
                  <c:v>2026E</c:v>
                </c:pt>
                <c:pt idx="1">
                  <c:v>2027E</c:v>
                </c:pt>
                <c:pt idx="2">
                  <c:v>2028E</c:v>
                </c:pt>
                <c:pt idx="3">
                  <c:v>2029E</c:v>
                </c:pt>
                <c:pt idx="4">
                  <c:v>2030E</c:v>
                </c:pt>
              </c:strCache>
            </c:strRef>
          </c:cat>
          <c:val>
            <c:numRef>
              <c:f>Charts!$J$47:$N$47</c:f>
              <c:numCache>
                <c:formatCode>0.0%_);\(0.0%\);@_)</c:formatCode>
                <c:ptCount val="5"/>
                <c:pt idx="0">
                  <c:v>163.9745</c:v>
                </c:pt>
                <c:pt idx="1">
                  <c:v>163.9745</c:v>
                </c:pt>
                <c:pt idx="2">
                  <c:v>163.9742531824</c:v>
                </c:pt>
                <c:pt idx="3">
                  <c:v>163.9742531824</c:v>
                </c:pt>
                <c:pt idx="4">
                  <c:v>163.9742531824</c:v>
                </c:pt>
              </c:numCache>
            </c:numRef>
          </c:val>
        </c:ser>
        <c:ser>
          <c:idx val="3"/>
          <c:order val="3"/>
          <c:spPr>
            <a:solidFill>
              <a:srgbClr val="CC9900"/>
            </a:solidFill>
            <a:ln w="12600">
              <a:noFill/>
            </a:ln>
          </c:spPr>
          <c:invertIfNegative val="0"/>
          <c:dLbls>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extLst>
              <c:ext xmlns:c15="http://schemas.microsoft.com/office/drawing/2012/chart" uri="{CE6537A1-D6FC-4f65-9D91-7224C49458BB}">
                <c15:showLeaderLines val="1"/>
              </c:ext>
            </c:extLst>
          </c:dLbls>
          <c:cat>
            <c:strRef>
              <c:f>Charts!$J$15:$N$15</c:f>
              <c:strCache>
                <c:ptCount val="5"/>
                <c:pt idx="0">
                  <c:v>2026E</c:v>
                </c:pt>
                <c:pt idx="1">
                  <c:v>2027E</c:v>
                </c:pt>
                <c:pt idx="2">
                  <c:v>2028E</c:v>
                </c:pt>
                <c:pt idx="3">
                  <c:v>2029E</c:v>
                </c:pt>
                <c:pt idx="4">
                  <c:v>2030E</c:v>
                </c:pt>
              </c:strCache>
            </c:strRef>
          </c:cat>
          <c:val>
            <c:numRef>
              <c:f>Charts!$J$48:$N$48</c:f>
              <c:numCache>
                <c:formatCode>#,##0_);\(#,##0\);0_);@_)</c:formatCode>
                <c:ptCount val="5"/>
                <c:pt idx="0">
                  <c:v>140</c:v>
                </c:pt>
                <c:pt idx="1">
                  <c:v>130</c:v>
                </c:pt>
                <c:pt idx="2">
                  <c:v>130</c:v>
                </c:pt>
                <c:pt idx="3">
                  <c:v>130</c:v>
                </c:pt>
                <c:pt idx="4">
                  <c:v>130</c:v>
                </c:pt>
              </c:numCache>
            </c:numRef>
          </c:val>
        </c:ser>
        <c:ser>
          <c:idx val="4"/>
          <c:order val="4"/>
          <c:spPr>
            <a:solidFill>
              <a:srgbClr val="A6A6A6"/>
            </a:solidFill>
            <a:ln w="12600">
              <a:noFill/>
            </a:ln>
          </c:spPr>
          <c:invertIfNegative val="0"/>
          <c:dLbls>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extLst>
              <c:ext xmlns:c15="http://schemas.microsoft.com/office/drawing/2012/chart" uri="{CE6537A1-D6FC-4f65-9D91-7224C49458BB}">
                <c15:showLeaderLines val="1"/>
              </c:ext>
            </c:extLst>
          </c:dLbls>
          <c:cat>
            <c:strRef>
              <c:f>Charts!$J$15:$N$15</c:f>
              <c:strCache>
                <c:ptCount val="5"/>
                <c:pt idx="0">
                  <c:v>2026E</c:v>
                </c:pt>
                <c:pt idx="1">
                  <c:v>2027E</c:v>
                </c:pt>
                <c:pt idx="2">
                  <c:v>2028E</c:v>
                </c:pt>
                <c:pt idx="3">
                  <c:v>2029E</c:v>
                </c:pt>
                <c:pt idx="4">
                  <c:v>2030E</c:v>
                </c:pt>
              </c:strCache>
            </c:strRef>
          </c:cat>
          <c:val>
            <c:numRef>
              <c:f>Charts!$J$49:$N$49</c:f>
              <c:numCache>
                <c:formatCode>#,##0_);\(#,##0\);0_);@_)</c:formatCode>
                <c:ptCount val="5"/>
                <c:pt idx="0">
                  <c:v>197.32599</c:v>
                </c:pt>
                <c:pt idx="1">
                  <c:v>224.20826</c:v>
                </c:pt>
                <c:pt idx="2">
                  <c:v>250.89824</c:v>
                </c:pt>
                <c:pt idx="3">
                  <c:v>277.79324</c:v>
                </c:pt>
                <c:pt idx="4">
                  <c:v>324.26368</c:v>
                </c:pt>
              </c:numCache>
            </c:numRef>
          </c:val>
        </c:ser>
        <c:ser>
          <c:idx val="5"/>
          <c:order val="5"/>
          <c:spPr>
            <a:solidFill>
              <a:srgbClr val="808080"/>
            </a:solidFill>
            <a:ln w="12600">
              <a:noFill/>
            </a:ln>
          </c:spPr>
          <c:invertIfNegative val="0"/>
          <c:dLbls>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extLst>
              <c:ext xmlns:c15="http://schemas.microsoft.com/office/drawing/2012/chart" uri="{CE6537A1-D6FC-4f65-9D91-7224C49458BB}">
                <c15:showLeaderLines val="1"/>
              </c:ext>
            </c:extLst>
          </c:dLbls>
          <c:cat>
            <c:strRef>
              <c:f>Charts!$J$15:$N$15</c:f>
              <c:strCache>
                <c:ptCount val="5"/>
                <c:pt idx="0">
                  <c:v>2026E</c:v>
                </c:pt>
                <c:pt idx="1">
                  <c:v>2027E</c:v>
                </c:pt>
                <c:pt idx="2">
                  <c:v>2028E</c:v>
                </c:pt>
                <c:pt idx="3">
                  <c:v>2029E</c:v>
                </c:pt>
                <c:pt idx="4">
                  <c:v>2030E</c:v>
                </c:pt>
              </c:strCache>
            </c:strRef>
          </c:cat>
          <c:val>
            <c:numRef>
              <c:f>Charts!$J$50:$N$50</c:f>
              <c:numCache>
                <c:formatCode>#,##0_);\(#,##0\);0_);@_)</c:formatCode>
                <c:ptCount val="5"/>
                <c:pt idx="0">
                  <c:v>4.24646</c:v>
                </c:pt>
                <c:pt idx="1">
                  <c:v>5.68227</c:v>
                </c:pt>
                <c:pt idx="2">
                  <c:v>5.48998</c:v>
                </c:pt>
                <c:pt idx="3">
                  <c:v>5.695</c:v>
                </c:pt>
                <c:pt idx="4">
                  <c:v>17.26188</c:v>
                </c:pt>
              </c:numCache>
            </c:numRef>
          </c:val>
        </c:ser>
        <c:ser>
          <c:idx val="6"/>
          <c:order val="6"/>
          <c:spPr>
            <a:solidFill>
              <a:srgbClr val="292934"/>
            </a:solidFill>
            <a:ln w="12600">
              <a:noFill/>
            </a:ln>
          </c:spPr>
          <c:invertIfNegative val="0"/>
          <c:dLbls>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extLst>
              <c:ext xmlns:c15="http://schemas.microsoft.com/office/drawing/2012/chart" uri="{CE6537A1-D6FC-4f65-9D91-7224C49458BB}">
                <c15:showLeaderLines val="1"/>
              </c:ext>
            </c:extLst>
          </c:dLbls>
          <c:cat>
            <c:strRef>
              <c:f>Charts!$J$15:$N$15</c:f>
              <c:strCache>
                <c:ptCount val="5"/>
                <c:pt idx="0">
                  <c:v>2026E</c:v>
                </c:pt>
                <c:pt idx="1">
                  <c:v>2027E</c:v>
                </c:pt>
                <c:pt idx="2">
                  <c:v>2028E</c:v>
                </c:pt>
                <c:pt idx="3">
                  <c:v>2029E</c:v>
                </c:pt>
                <c:pt idx="4">
                  <c:v>2030E</c:v>
                </c:pt>
              </c:strCache>
            </c:strRef>
          </c:cat>
          <c:val>
            <c:numRef>
              <c:f>Charts!$J$51:$N$51</c:f>
              <c:numCache>
                <c:formatCode>#,##0_);\(#,##0\);0_);@_)</c:formatCode>
                <c:ptCount val="5"/>
                <c:pt idx="0">
                  <c:v>671.367703848287</c:v>
                </c:pt>
                <c:pt idx="1">
                  <c:v>108.283338154826</c:v>
                </c:pt>
                <c:pt idx="2">
                  <c:v>75.2740614776773</c:v>
                </c:pt>
                <c:pt idx="3">
                  <c:v>32.1837237323588</c:v>
                </c:pt>
                <c:pt idx="4">
                  <c:v>-47.5612953877265</c:v>
                </c:pt>
              </c:numCache>
            </c:numRef>
          </c:val>
        </c:ser>
        <c:gapWidth val="150"/>
        <c:overlap val="100"/>
        <c:axId val="46281893"/>
        <c:axId val="86128864"/>
      </c:barChart>
      <c:catAx>
        <c:axId val="46281893"/>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86128864"/>
        <c:crosses val="autoZero"/>
        <c:auto val="1"/>
        <c:lblAlgn val="ctr"/>
        <c:lblOffset val="100"/>
        <c:noMultiLvlLbl val="0"/>
      </c:catAx>
      <c:valAx>
        <c:axId val="86128864"/>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$M</a:t>
                </a:r>
              </a:p>
            </c:rich>
          </c:tx>
          <c:overlay val="0"/>
          <c:spPr>
            <a:noFill/>
            <a:ln w="0">
              <a:noFill/>
            </a:ln>
          </c:spPr>
        </c:title>
        <c:numFmt formatCode="#,##0_);\(#,##0\);0_);@_)"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46281893"/>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Figure 4: Total debt + interest expense ($M)</a:t>
            </a:r>
          </a:p>
        </c:rich>
      </c:tx>
      <c:overlay val="0"/>
      <c:spPr>
        <a:noFill/>
        <a:ln w="0">
          <a:noFill/>
        </a:ln>
      </c:spPr>
    </c:title>
    <c:autoTitleDeleted val="0"/>
    <c:plotArea>
      <c:barChart>
        <c:barDir val="col"/>
        <c:grouping val="clustered"/>
        <c:varyColors val="0"/>
        <c:ser>
          <c:idx val="0"/>
          <c:order val="0"/>
          <c:spPr>
            <a:solidFill>
              <a:srgbClr val="F2C755"/>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extLst>
              <c:ext xmlns:c15="http://schemas.microsoft.com/office/drawing/2012/chart" uri="{CE6537A1-D6FC-4f65-9D91-7224C49458BB}">
                <c15:showLeaderLines val="1"/>
              </c:ext>
            </c:extLst>
          </c:dLbls>
          <c:cat>
            <c:strRef>
              <c:f>Charts!$I$15:$S$15</c:f>
              <c:strCache>
                <c:ptCount val="11"/>
                <c:pt idx="0">
                  <c:v>2025A</c:v>
                </c:pt>
                <c:pt idx="1">
                  <c:v>2026E</c:v>
                </c:pt>
                <c:pt idx="2">
                  <c:v>2027E</c:v>
                </c:pt>
                <c:pt idx="3">
                  <c:v>2028E</c:v>
                </c:pt>
                <c:pt idx="4">
                  <c:v>2029E</c:v>
                </c:pt>
                <c:pt idx="5">
                  <c:v>2030E</c:v>
                </c:pt>
                <c:pt idx="6">
                  <c:v>2031E</c:v>
                </c:pt>
                <c:pt idx="7">
                  <c:v>2032E</c:v>
                </c:pt>
                <c:pt idx="8">
                  <c:v>2033E</c:v>
                </c:pt>
                <c:pt idx="9">
                  <c:v>2034E</c:v>
                </c:pt>
                <c:pt idx="10">
                  <c:v>2035E</c:v>
                </c:pt>
              </c:strCache>
            </c:strRef>
          </c:cat>
          <c:val>
            <c:numRef>
              <c:f>Charts!$I$23:$S$23</c:f>
              <c:numCache>
                <c:formatCode>#,##0_);\(#,##0\);0_);@_)</c:formatCode>
                <c:ptCount val="11"/>
                <c:pt idx="0">
                  <c:v>12533.9</c:v>
                </c:pt>
                <c:pt idx="1">
                  <c:v>12516.9559948862</c:v>
                </c:pt>
                <c:pt idx="2">
                  <c:v>13017.9685702222</c:v>
                </c:pt>
                <c:pt idx="3">
                  <c:v>13493.695223489</c:v>
                </c:pt>
                <c:pt idx="4">
                  <c:v>13952.4318435715</c:v>
                </c:pt>
                <c:pt idx="5">
                  <c:v>14418.2542053421</c:v>
                </c:pt>
                <c:pt idx="6">
                  <c:v>14661.1431849434</c:v>
                </c:pt>
                <c:pt idx="7">
                  <c:v>14851.7170713388</c:v>
                </c:pt>
                <c:pt idx="8">
                  <c:v>15035.7720511236</c:v>
                </c:pt>
                <c:pt idx="9">
                  <c:v>15213.7311996419</c:v>
                </c:pt>
                <c:pt idx="10">
                  <c:v>15386.0403928883</c:v>
                </c:pt>
              </c:numCache>
            </c:numRef>
          </c:val>
        </c:ser>
        <c:ser>
          <c:idx val="1"/>
          <c:order val="1"/>
          <c:spPr>
            <a:solidFill>
              <a:srgbClr val="A6A6A6"/>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extLst>
              <c:ext xmlns:c15="http://schemas.microsoft.com/office/drawing/2012/chart" uri="{CE6537A1-D6FC-4f65-9D91-7224C49458BB}">
                <c15:showLeaderLines val="1"/>
              </c:ext>
            </c:extLst>
          </c:dLbls>
          <c:cat>
            <c:strRef>
              <c:f>Charts!$I$15:$S$15</c:f>
              <c:strCache>
                <c:ptCount val="11"/>
                <c:pt idx="0">
                  <c:v>2025A</c:v>
                </c:pt>
                <c:pt idx="1">
                  <c:v>2026E</c:v>
                </c:pt>
                <c:pt idx="2">
                  <c:v>2027E</c:v>
                </c:pt>
                <c:pt idx="3">
                  <c:v>2028E</c:v>
                </c:pt>
                <c:pt idx="4">
                  <c:v>2029E</c:v>
                </c:pt>
                <c:pt idx="5">
                  <c:v>2030E</c:v>
                </c:pt>
                <c:pt idx="6">
                  <c:v>2031E</c:v>
                </c:pt>
                <c:pt idx="7">
                  <c:v>2032E</c:v>
                </c:pt>
                <c:pt idx="8">
                  <c:v>2033E</c:v>
                </c:pt>
                <c:pt idx="9">
                  <c:v>2034E</c:v>
                </c:pt>
                <c:pt idx="10">
                  <c:v>2035E</c:v>
                </c:pt>
              </c:strCache>
            </c:strRef>
          </c:cat>
          <c:val>
            <c:numRef>
              <c:f>Charts!$I$22:$S$22</c:f>
              <c:numCache>
                <c:formatCode>#,##0_);\(#,##0\);0_);@_)</c:formatCode>
                <c:ptCount val="11"/>
                <c:pt idx="0">
                  <c:v>-391.5</c:v>
                </c:pt>
                <c:pt idx="1">
                  <c:v>-588.82599</c:v>
                </c:pt>
                <c:pt idx="2">
                  <c:v>-615.70826</c:v>
                </c:pt>
                <c:pt idx="3">
                  <c:v>-642.39824</c:v>
                </c:pt>
                <c:pt idx="4">
                  <c:v>-669.29324</c:v>
                </c:pt>
                <c:pt idx="5">
                  <c:v>-715.76368</c:v>
                </c:pt>
                <c:pt idx="6">
                  <c:v>-727.515906481672</c:v>
                </c:pt>
                <c:pt idx="7">
                  <c:v>-739.771592478908</c:v>
                </c:pt>
                <c:pt idx="8">
                  <c:v>-749.387564824669</c:v>
                </c:pt>
                <c:pt idx="9">
                  <c:v>-758.674606345337</c:v>
                </c:pt>
                <c:pt idx="10">
                  <c:v>-767.654064565949</c:v>
                </c:pt>
              </c:numCache>
            </c:numRef>
          </c:val>
        </c:ser>
        <c:gapWidth val="150"/>
        <c:overlap val="0"/>
        <c:axId val="11178578"/>
        <c:axId val="20338777"/>
      </c:barChart>
      <c:catAx>
        <c:axId val="11178578"/>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20338777"/>
        <c:crosses val="autoZero"/>
        <c:auto val="1"/>
        <c:lblAlgn val="ctr"/>
        <c:lblOffset val="100"/>
        <c:noMultiLvlLbl val="0"/>
      </c:catAx>
      <c:valAx>
        <c:axId val="20338777"/>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$M</a:t>
                </a:r>
              </a:p>
            </c:rich>
          </c:tx>
          <c:overlay val="0"/>
          <c:spPr>
            <a:noFill/>
            <a:ln w="0">
              <a:noFill/>
            </a:ln>
          </c:spPr>
        </c:title>
        <c:numFmt formatCode="#,##0_);\(#,##0\);0_);@_)"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11178578"/>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Figure 5: Debt maturity ladder ($M)</a:t>
            </a:r>
          </a:p>
        </c:rich>
      </c:tx>
      <c:overlay val="0"/>
      <c:spPr>
        <a:noFill/>
        <a:ln w="0">
          <a:noFill/>
        </a:ln>
      </c:spPr>
    </c:title>
    <c:autoTitleDeleted val="0"/>
    <c:plotArea>
      <c:barChart>
        <c:barDir val="col"/>
        <c:grouping val="clustered"/>
        <c:varyColors val="0"/>
        <c:ser>
          <c:idx val="0"/>
          <c:order val="0"/>
          <c:spPr>
            <a:solidFill>
              <a:srgbClr val="F2C755"/>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extLst>
              <c:ext xmlns:c15="http://schemas.microsoft.com/office/drawing/2012/chart" uri="{CE6537A1-D6FC-4f65-9D91-7224C49458BB}">
                <c15:showLeaderLines val="1"/>
              </c:ext>
            </c:extLst>
          </c:dLbls>
          <c:cat>
            <c:strRef>
              <c:f>Charts!$I$15:$S$15</c:f>
              <c:strCache>
                <c:ptCount val="11"/>
                <c:pt idx="0">
                  <c:v>2025A</c:v>
                </c:pt>
                <c:pt idx="1">
                  <c:v>2026E</c:v>
                </c:pt>
                <c:pt idx="2">
                  <c:v>2027E</c:v>
                </c:pt>
                <c:pt idx="3">
                  <c:v>2028E</c:v>
                </c:pt>
                <c:pt idx="4">
                  <c:v>2029E</c:v>
                </c:pt>
                <c:pt idx="5">
                  <c:v>2030E</c:v>
                </c:pt>
                <c:pt idx="6">
                  <c:v>2031E</c:v>
                </c:pt>
                <c:pt idx="7">
                  <c:v>2032E</c:v>
                </c:pt>
                <c:pt idx="8">
                  <c:v>2033E</c:v>
                </c:pt>
                <c:pt idx="9">
                  <c:v>2034E</c:v>
                </c:pt>
                <c:pt idx="10">
                  <c:v>2035E</c:v>
                </c:pt>
              </c:strCache>
            </c:strRef>
          </c:cat>
          <c:val>
            <c:numRef>
              <c:f>Charts!$I$52:$S$52</c:f>
              <c:numCache>
                <c:formatCode>#,##0_);\(#,##0\);0_);@_)</c:formatCode>
                <c:ptCount val="11"/>
                <c:pt idx="0">
                  <c:v>633.8</c:v>
                </c:pt>
                <c:pt idx="1">
                  <c:v>848.1</c:v>
                </c:pt>
                <c:pt idx="2">
                  <c:v>819.4</c:v>
                </c:pt>
                <c:pt idx="3">
                  <c:v>850</c:v>
                </c:pt>
                <c:pt idx="4">
                  <c:v>2576.4</c:v>
                </c:pt>
                <c:pt idx="5">
                  <c:v>6615.2</c:v>
                </c:pt>
                <c:pt idx="6">
                  <c:v>0</c:v>
                </c:pt>
                <c:pt idx="7">
                  <c:v>0</c:v>
                </c:pt>
                <c:pt idx="8">
                  <c:v>0</c:v>
                </c:pt>
                <c:pt idx="9">
                  <c:v>0</c:v>
                </c:pt>
                <c:pt idx="10">
                  <c:v>0</c:v>
                </c:pt>
              </c:numCache>
            </c:numRef>
          </c:val>
        </c:ser>
        <c:gapWidth val="150"/>
        <c:overlap val="0"/>
        <c:axId val="13464769"/>
        <c:axId val="50883515"/>
      </c:barChart>
      <c:catAx>
        <c:axId val="13464769"/>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50883515"/>
        <c:crosses val="autoZero"/>
        <c:auto val="1"/>
        <c:lblAlgn val="ctr"/>
        <c:lblOffset val="100"/>
        <c:noMultiLvlLbl val="0"/>
      </c:catAx>
      <c:valAx>
        <c:axId val="50883515"/>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$M</a:t>
                </a:r>
              </a:p>
            </c:rich>
          </c:tx>
          <c:overlay val="0"/>
          <c:spPr>
            <a:noFill/>
            <a:ln w="0">
              <a:noFill/>
            </a:ln>
          </c:spPr>
        </c:title>
        <c:numFmt formatCode="#,##0_);\(#,##0\);0_);@_)"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13464769"/>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Figure 6: LPI 2026E-2035E (%)</a:t>
            </a:r>
          </a:p>
        </c:rich>
      </c:tx>
      <c:overlay val="0"/>
      <c:spPr>
        <a:noFill/>
        <a:ln w="0">
          <a:noFill/>
        </a:ln>
      </c:spPr>
    </c:title>
    <c:autoTitleDeleted val="0"/>
    <c:plotArea>
      <c:lineChart>
        <c:grouping val="standard"/>
        <c:varyColors val="0"/>
        <c:ser>
          <c:idx val="0"/>
          <c:order val="0"/>
          <c:spPr>
            <a:ln w="25560">
              <a:solidFill>
                <a:srgbClr val="F2C755"/>
              </a:solidFill>
              <a:round/>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extLst>
              <c:ext xmlns:c15="http://schemas.microsoft.com/office/drawing/2012/chart" uri="{CE6537A1-D6FC-4f65-9D91-7224C49458BB}">
                <c15:showLeaderLines val="1"/>
              </c:ext>
            </c:extLst>
          </c:dLbls>
          <c:cat>
            <c:strRef>
              <c:f>Charts!$J$15:$S$15</c:f>
              <c:strCache>
                <c:ptCount val="10"/>
                <c:pt idx="0">
                  <c:v>2026E</c:v>
                </c:pt>
                <c:pt idx="1">
                  <c:v>2027E</c:v>
                </c:pt>
                <c:pt idx="2">
                  <c:v>2028E</c:v>
                </c:pt>
                <c:pt idx="3">
                  <c:v>2029E</c:v>
                </c:pt>
                <c:pt idx="4">
                  <c:v>2030E</c:v>
                </c:pt>
                <c:pt idx="5">
                  <c:v>2031E</c:v>
                </c:pt>
                <c:pt idx="6">
                  <c:v>2032E</c:v>
                </c:pt>
                <c:pt idx="7">
                  <c:v>2033E</c:v>
                </c:pt>
                <c:pt idx="8">
                  <c:v>2034E</c:v>
                </c:pt>
                <c:pt idx="9">
                  <c:v>2035E</c:v>
                </c:pt>
              </c:strCache>
            </c:strRef>
          </c:cat>
          <c:val>
            <c:numRef>
              <c:f>Charts!$J$24:$S$24</c:f>
              <c:numCache>
                <c:formatCode>0.0%_);\(0.0%\);@_)</c:formatCode>
                <c:ptCount val="10"/>
                <c:pt idx="0">
                  <c:v>0.185</c:v>
                </c:pt>
                <c:pt idx="1">
                  <c:v>0.15</c:v>
                </c:pt>
                <c:pt idx="2">
                  <c:v>0.1</c:v>
                </c:pt>
                <c:pt idx="3">
                  <c:v>0.05</c:v>
                </c:pt>
                <c:pt idx="4">
                  <c:v>-0.02</c:v>
                </c:pt>
                <c:pt idx="5">
                  <c:v>0.02</c:v>
                </c:pt>
                <c:pt idx="6">
                  <c:v>0.02</c:v>
                </c:pt>
                <c:pt idx="7">
                  <c:v>0.02</c:v>
                </c:pt>
                <c:pt idx="8">
                  <c:v>0.02</c:v>
                </c:pt>
                <c:pt idx="9">
                  <c:v>0.02</c:v>
                </c:pt>
              </c:numCache>
            </c:numRef>
          </c:val>
          <c:smooth val="1"/>
        </c:ser>
        <c:hiLowLines>
          <c:spPr>
            <a:ln w="0">
              <a:noFill/>
            </a:ln>
          </c:spPr>
        </c:hiLowLines>
        <c:marker val="0"/>
        <c:axId val="52192655"/>
        <c:axId val="24394793"/>
      </c:lineChart>
      <c:catAx>
        <c:axId val="52192655"/>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24394793"/>
        <c:crosses val="autoZero"/>
        <c:auto val="1"/>
        <c:lblAlgn val="ctr"/>
        <c:lblOffset val="100"/>
        <c:noMultiLvlLbl val="0"/>
      </c:catAx>
      <c:valAx>
        <c:axId val="24394793"/>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LPI %</a:t>
                </a:r>
              </a:p>
            </c:rich>
          </c:tx>
          <c:overlay val="0"/>
          <c:spPr>
            <a:noFill/>
            <a:ln w="0">
              <a:noFill/>
            </a:ln>
          </c:spPr>
        </c:title>
        <c:numFmt formatCode="0.0%_);\(0.0%\);@_)"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52192655"/>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Figure 7: Cohort revenue stacked by vintage ($M)</a:t>
            </a:r>
          </a:p>
        </c:rich>
      </c:tx>
      <c:overlay val="0"/>
      <c:spPr>
        <a:noFill/>
        <a:ln w="0">
          <a:noFill/>
        </a:ln>
      </c:spPr>
    </c:title>
    <c:autoTitleDeleted val="0"/>
    <c:plotArea>
      <c:barChart>
        <c:barDir val="col"/>
        <c:grouping val="stacked"/>
        <c:varyColors val="0"/>
        <c:ser>
          <c:idx val="0"/>
          <c:order val="0"/>
          <c:spPr>
            <a:solidFill>
              <a:srgbClr val="F2C755"/>
            </a:solidFill>
            <a:ln w="12600">
              <a:noFill/>
            </a:ln>
          </c:spPr>
          <c:invertIfNegative val="0"/>
          <c:dLbls>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extLst>
              <c:ext xmlns:c15="http://schemas.microsoft.com/office/drawing/2012/chart" uri="{CE6537A1-D6FC-4f65-9D91-7224C49458BB}">
                <c15:showLeaderLines val="1"/>
              </c:ext>
            </c:extLst>
          </c:dLbls>
          <c:cat>
            <c:strRef>
              <c:f>Charts!$I$15:$S$15</c:f>
              <c:strCache>
                <c:ptCount val="11"/>
                <c:pt idx="0">
                  <c:v>2025A</c:v>
                </c:pt>
                <c:pt idx="1">
                  <c:v>2026E</c:v>
                </c:pt>
                <c:pt idx="2">
                  <c:v>2027E</c:v>
                </c:pt>
                <c:pt idx="3">
                  <c:v>2028E</c:v>
                </c:pt>
                <c:pt idx="4">
                  <c:v>2029E</c:v>
                </c:pt>
                <c:pt idx="5">
                  <c:v>2030E</c:v>
                </c:pt>
                <c:pt idx="6">
                  <c:v>2031E</c:v>
                </c:pt>
                <c:pt idx="7">
                  <c:v>2032E</c:v>
                </c:pt>
                <c:pt idx="8">
                  <c:v>2033E</c:v>
                </c:pt>
                <c:pt idx="9">
                  <c:v>2034E</c:v>
                </c:pt>
                <c:pt idx="10">
                  <c:v>2035E</c:v>
                </c:pt>
              </c:strCache>
            </c:strRef>
          </c:cat>
          <c:val>
            <c:numRef>
              <c:f>Charts!$I$37:$S$37</c:f>
              <c:numCache>
                <c:formatCode>#,##0_);\(#,##0\);0_);@_)</c:formatCode>
                <c:ptCount val="11"/>
                <c:pt idx="0">
                  <c:v>199.628892</c:v>
                </c:pt>
                <c:pt idx="1">
                  <c:v>199.628892</c:v>
                </c:pt>
                <c:pt idx="2">
                  <c:v>199.628892</c:v>
                </c:pt>
                <c:pt idx="3">
                  <c:v>199.628892</c:v>
                </c:pt>
                <c:pt idx="4">
                  <c:v>204.6196143</c:v>
                </c:pt>
                <c:pt idx="5">
                  <c:v>209.6103366</c:v>
                </c:pt>
                <c:pt idx="6">
                  <c:v>211.706439966</c:v>
                </c:pt>
                <c:pt idx="7">
                  <c:v>213.82350436566</c:v>
                </c:pt>
                <c:pt idx="8">
                  <c:v>215.961739409317</c:v>
                </c:pt>
                <c:pt idx="9">
                  <c:v>218.12135680341</c:v>
                </c:pt>
                <c:pt idx="10">
                  <c:v>220.302570371444</c:v>
                </c:pt>
              </c:numCache>
            </c:numRef>
          </c:val>
        </c:ser>
        <c:ser>
          <c:idx val="1"/>
          <c:order val="1"/>
          <c:spPr>
            <a:solidFill>
              <a:srgbClr val="F2D670"/>
            </a:solidFill>
            <a:ln w="12600">
              <a:noFill/>
            </a:ln>
          </c:spPr>
          <c:invertIfNegative val="0"/>
          <c:dLbls>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extLst>
              <c:ext xmlns:c15="http://schemas.microsoft.com/office/drawing/2012/chart" uri="{CE6537A1-D6FC-4f65-9D91-7224C49458BB}">
                <c15:showLeaderLines val="1"/>
              </c:ext>
            </c:extLst>
          </c:dLbls>
          <c:cat>
            <c:strRef>
              <c:f>Charts!$I$15:$S$15</c:f>
              <c:strCache>
                <c:ptCount val="11"/>
                <c:pt idx="0">
                  <c:v>2025A</c:v>
                </c:pt>
                <c:pt idx="1">
                  <c:v>2026E</c:v>
                </c:pt>
                <c:pt idx="2">
                  <c:v>2027E</c:v>
                </c:pt>
                <c:pt idx="3">
                  <c:v>2028E</c:v>
                </c:pt>
                <c:pt idx="4">
                  <c:v>2029E</c:v>
                </c:pt>
                <c:pt idx="5">
                  <c:v>2030E</c:v>
                </c:pt>
                <c:pt idx="6">
                  <c:v>2031E</c:v>
                </c:pt>
                <c:pt idx="7">
                  <c:v>2032E</c:v>
                </c:pt>
                <c:pt idx="8">
                  <c:v>2033E</c:v>
                </c:pt>
                <c:pt idx="9">
                  <c:v>2034E</c:v>
                </c:pt>
                <c:pt idx="10">
                  <c:v>2035E</c:v>
                </c:pt>
              </c:strCache>
            </c:strRef>
          </c:cat>
          <c:val>
            <c:numRef>
              <c:f>Charts!$I$38:$S$38</c:f>
              <c:numCache>
                <c:formatCode>#,##0_);\(#,##0\);0_);@_)</c:formatCode>
                <c:ptCount val="11"/>
                <c:pt idx="0">
                  <c:v>164.99484</c:v>
                </c:pt>
                <c:pt idx="1">
                  <c:v>185.3442036</c:v>
                </c:pt>
                <c:pt idx="2">
                  <c:v>195.5188854</c:v>
                </c:pt>
                <c:pt idx="3">
                  <c:v>195.5188854</c:v>
                </c:pt>
                <c:pt idx="4">
                  <c:v>195.5188854</c:v>
                </c:pt>
                <c:pt idx="5">
                  <c:v>195.5188854</c:v>
                </c:pt>
                <c:pt idx="6">
                  <c:v>199.44881499654</c:v>
                </c:pt>
                <c:pt idx="7">
                  <c:v>203.437791296471</c:v>
                </c:pt>
                <c:pt idx="8">
                  <c:v>205.472169209436</c:v>
                </c:pt>
                <c:pt idx="9">
                  <c:v>207.52689090153</c:v>
                </c:pt>
                <c:pt idx="10">
                  <c:v>209.602159810545</c:v>
                </c:pt>
              </c:numCache>
            </c:numRef>
          </c:val>
        </c:ser>
        <c:ser>
          <c:idx val="2"/>
          <c:order val="2"/>
          <c:spPr>
            <a:solidFill>
              <a:srgbClr val="E5B950"/>
            </a:solidFill>
            <a:ln w="12600">
              <a:noFill/>
            </a:ln>
          </c:spPr>
          <c:invertIfNegative val="0"/>
          <c:dLbls>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extLst>
              <c:ext xmlns:c15="http://schemas.microsoft.com/office/drawing/2012/chart" uri="{CE6537A1-D6FC-4f65-9D91-7224C49458BB}">
                <c15:showLeaderLines val="1"/>
              </c:ext>
            </c:extLst>
          </c:dLbls>
          <c:cat>
            <c:strRef>
              <c:f>Charts!$I$15:$S$15</c:f>
              <c:strCache>
                <c:ptCount val="11"/>
                <c:pt idx="0">
                  <c:v>2025A</c:v>
                </c:pt>
                <c:pt idx="1">
                  <c:v>2026E</c:v>
                </c:pt>
                <c:pt idx="2">
                  <c:v>2027E</c:v>
                </c:pt>
                <c:pt idx="3">
                  <c:v>2028E</c:v>
                </c:pt>
                <c:pt idx="4">
                  <c:v>2029E</c:v>
                </c:pt>
                <c:pt idx="5">
                  <c:v>2030E</c:v>
                </c:pt>
                <c:pt idx="6">
                  <c:v>2031E</c:v>
                </c:pt>
                <c:pt idx="7">
                  <c:v>2032E</c:v>
                </c:pt>
                <c:pt idx="8">
                  <c:v>2033E</c:v>
                </c:pt>
                <c:pt idx="9">
                  <c:v>2034E</c:v>
                </c:pt>
                <c:pt idx="10">
                  <c:v>2035E</c:v>
                </c:pt>
              </c:strCache>
            </c:strRef>
          </c:cat>
          <c:val>
            <c:numRef>
              <c:f>Charts!$I$39:$S$39</c:f>
              <c:numCache>
                <c:formatCode>#,##0_);\(#,##0\);0_);@_)</c:formatCode>
                <c:ptCount val="11"/>
                <c:pt idx="0">
                  <c:v>173.727675</c:v>
                </c:pt>
                <c:pt idx="1">
                  <c:v>173.727675</c:v>
                </c:pt>
                <c:pt idx="2">
                  <c:v>173.727675</c:v>
                </c:pt>
                <c:pt idx="3">
                  <c:v>183.861789375</c:v>
                </c:pt>
                <c:pt idx="4">
                  <c:v>191.1004425</c:v>
                </c:pt>
                <c:pt idx="5">
                  <c:v>191.1004425</c:v>
                </c:pt>
                <c:pt idx="6">
                  <c:v>193.011446925</c:v>
                </c:pt>
                <c:pt idx="7">
                  <c:v>194.94156139425</c:v>
                </c:pt>
                <c:pt idx="8">
                  <c:v>198.859886778274</c:v>
                </c:pt>
                <c:pt idx="9">
                  <c:v>202.83708451384</c:v>
                </c:pt>
                <c:pt idx="10">
                  <c:v>204.865455358978</c:v>
                </c:pt>
              </c:numCache>
            </c:numRef>
          </c:val>
        </c:ser>
        <c:ser>
          <c:idx val="3"/>
          <c:order val="3"/>
          <c:spPr>
            <a:solidFill>
              <a:srgbClr val="D9A000"/>
            </a:solidFill>
            <a:ln w="12600">
              <a:noFill/>
            </a:ln>
          </c:spPr>
          <c:invertIfNegative val="0"/>
          <c:dLbls>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extLst>
              <c:ext xmlns:c15="http://schemas.microsoft.com/office/drawing/2012/chart" uri="{CE6537A1-D6FC-4f65-9D91-7224C49458BB}">
                <c15:showLeaderLines val="1"/>
              </c:ext>
            </c:extLst>
          </c:dLbls>
          <c:cat>
            <c:strRef>
              <c:f>Charts!$I$15:$S$15</c:f>
              <c:strCache>
                <c:ptCount val="11"/>
                <c:pt idx="0">
                  <c:v>2025A</c:v>
                </c:pt>
                <c:pt idx="1">
                  <c:v>2026E</c:v>
                </c:pt>
                <c:pt idx="2">
                  <c:v>2027E</c:v>
                </c:pt>
                <c:pt idx="3">
                  <c:v>2028E</c:v>
                </c:pt>
                <c:pt idx="4">
                  <c:v>2029E</c:v>
                </c:pt>
                <c:pt idx="5">
                  <c:v>2030E</c:v>
                </c:pt>
                <c:pt idx="6">
                  <c:v>2031E</c:v>
                </c:pt>
                <c:pt idx="7">
                  <c:v>2032E</c:v>
                </c:pt>
                <c:pt idx="8">
                  <c:v>2033E</c:v>
                </c:pt>
                <c:pt idx="9">
                  <c:v>2034E</c:v>
                </c:pt>
                <c:pt idx="10">
                  <c:v>2035E</c:v>
                </c:pt>
              </c:strCache>
            </c:strRef>
          </c:cat>
          <c:val>
            <c:numRef>
              <c:f>Charts!$I$40:$S$40</c:f>
              <c:numCache>
                <c:formatCode>#,##0_);\(#,##0\);0_);@_)</c:formatCode>
                <c:ptCount val="11"/>
                <c:pt idx="0">
                  <c:v>189.843162</c:v>
                </c:pt>
                <c:pt idx="1">
                  <c:v>189.843162</c:v>
                </c:pt>
                <c:pt idx="2">
                  <c:v>189.843162</c:v>
                </c:pt>
                <c:pt idx="3">
                  <c:v>189.843162</c:v>
                </c:pt>
                <c:pt idx="4">
                  <c:v>199.3353201</c:v>
                </c:pt>
                <c:pt idx="5">
                  <c:v>199.3353201</c:v>
                </c:pt>
                <c:pt idx="6">
                  <c:v>201.328673301</c:v>
                </c:pt>
                <c:pt idx="7">
                  <c:v>203.34196003401</c:v>
                </c:pt>
                <c:pt idx="8">
                  <c:v>205.37537963435</c:v>
                </c:pt>
                <c:pt idx="9">
                  <c:v>209.503424765001</c:v>
                </c:pt>
                <c:pt idx="10">
                  <c:v>213.693493260301</c:v>
                </c:pt>
              </c:numCache>
            </c:numRef>
          </c:val>
        </c:ser>
        <c:ser>
          <c:idx val="4"/>
          <c:order val="4"/>
          <c:spPr>
            <a:solidFill>
              <a:srgbClr val="A6A6A6"/>
            </a:solidFill>
            <a:ln w="12600">
              <a:noFill/>
            </a:ln>
          </c:spPr>
          <c:invertIfNegative val="0"/>
          <c:dLbls>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extLst>
              <c:ext xmlns:c15="http://schemas.microsoft.com/office/drawing/2012/chart" uri="{CE6537A1-D6FC-4f65-9D91-7224C49458BB}">
                <c15:showLeaderLines val="1"/>
              </c:ext>
            </c:extLst>
          </c:dLbls>
          <c:cat>
            <c:strRef>
              <c:f>Charts!$I$15:$S$15</c:f>
              <c:strCache>
                <c:ptCount val="11"/>
                <c:pt idx="0">
                  <c:v>2025A</c:v>
                </c:pt>
                <c:pt idx="1">
                  <c:v>2026E</c:v>
                </c:pt>
                <c:pt idx="2">
                  <c:v>2027E</c:v>
                </c:pt>
                <c:pt idx="3">
                  <c:v>2028E</c:v>
                </c:pt>
                <c:pt idx="4">
                  <c:v>2029E</c:v>
                </c:pt>
                <c:pt idx="5">
                  <c:v>2030E</c:v>
                </c:pt>
                <c:pt idx="6">
                  <c:v>2031E</c:v>
                </c:pt>
                <c:pt idx="7">
                  <c:v>2032E</c:v>
                </c:pt>
                <c:pt idx="8">
                  <c:v>2033E</c:v>
                </c:pt>
                <c:pt idx="9">
                  <c:v>2034E</c:v>
                </c:pt>
                <c:pt idx="10">
                  <c:v>2035E</c:v>
                </c:pt>
              </c:strCache>
            </c:strRef>
          </c:cat>
          <c:val>
            <c:numRef>
              <c:f>Charts!$I$41:$S$41</c:f>
              <c:numCache>
                <c:formatCode>#,##0_);\(#,##0\);0_);@_)</c:formatCode>
                <c:ptCount val="11"/>
                <c:pt idx="0">
                  <c:v>215.719605</c:v>
                </c:pt>
                <c:pt idx="1">
                  <c:v>215.719605</c:v>
                </c:pt>
                <c:pt idx="2">
                  <c:v>215.719605</c:v>
                </c:pt>
                <c:pt idx="3">
                  <c:v>215.719605</c:v>
                </c:pt>
                <c:pt idx="4">
                  <c:v>217.517268375</c:v>
                </c:pt>
                <c:pt idx="5">
                  <c:v>226.50558525</c:v>
                </c:pt>
                <c:pt idx="6">
                  <c:v>228.7706411025</c:v>
                </c:pt>
                <c:pt idx="7">
                  <c:v>231.058347513525</c:v>
                </c:pt>
                <c:pt idx="8">
                  <c:v>233.36893098866</c:v>
                </c:pt>
                <c:pt idx="9">
                  <c:v>238.059646501532</c:v>
                </c:pt>
                <c:pt idx="10">
                  <c:v>242.820839431563</c:v>
                </c:pt>
              </c:numCache>
            </c:numRef>
          </c:val>
        </c:ser>
        <c:ser>
          <c:idx val="5"/>
          <c:order val="5"/>
          <c:spPr>
            <a:solidFill>
              <a:srgbClr val="292934"/>
            </a:solidFill>
            <a:ln w="12600">
              <a:noFill/>
            </a:ln>
          </c:spPr>
          <c:invertIfNegative val="0"/>
          <c:dLbls>
            <c:txPr>
              <a:bodyPr wrap="square"/>
              <a:lstStyle/>
              <a:p>
                <a:pPr>
                  <a:defRPr sz="1000" b="0" u="none" strike="noStrike">
                    <a:solidFill>
                      <a:srgbClr val="000000"/>
                    </a:solidFill>
                    <a:uFillTx/>
                    <a:latin typeface="Arial"/>
                  </a:defRPr>
                </a:pPr>
              </a:p>
            </c:txPr>
            <c:dLblPos val="ctr"/>
            <c:showLegendKey val="0"/>
            <c:showVal val="0"/>
            <c:showCatName val="0"/>
            <c:showSerName val="0"/>
            <c:showPercent val="0"/>
            <c:separator>; </c:separator>
            <c:extLst>
              <c:ext xmlns:c15="http://schemas.microsoft.com/office/drawing/2012/chart" uri="{CE6537A1-D6FC-4f65-9D91-7224C49458BB}">
                <c15:showLeaderLines val="1"/>
              </c:ext>
            </c:extLst>
          </c:dLbls>
          <c:cat>
            <c:strRef>
              <c:f>Charts!$I$15:$S$15</c:f>
              <c:strCache>
                <c:ptCount val="11"/>
                <c:pt idx="0">
                  <c:v>2025A</c:v>
                </c:pt>
                <c:pt idx="1">
                  <c:v>2026E</c:v>
                </c:pt>
                <c:pt idx="2">
                  <c:v>2027E</c:v>
                </c:pt>
                <c:pt idx="3">
                  <c:v>2028E</c:v>
                </c:pt>
                <c:pt idx="4">
                  <c:v>2029E</c:v>
                </c:pt>
                <c:pt idx="5">
                  <c:v>2030E</c:v>
                </c:pt>
                <c:pt idx="6">
                  <c:v>2031E</c:v>
                </c:pt>
                <c:pt idx="7">
                  <c:v>2032E</c:v>
                </c:pt>
                <c:pt idx="8">
                  <c:v>2033E</c:v>
                </c:pt>
                <c:pt idx="9">
                  <c:v>2034E</c:v>
                </c:pt>
                <c:pt idx="10">
                  <c:v>2035E</c:v>
                </c:pt>
              </c:strCache>
            </c:strRef>
          </c:cat>
          <c:val>
            <c:numRef>
              <c:f>Charts!$I$42:$S$42</c:f>
              <c:numCache>
                <c:formatCode>#,##0_);\(#,##0\);0_);@_)</c:formatCode>
                <c:ptCount val="11"/>
                <c:pt idx="0">
                  <c:v>20.6919</c:v>
                </c:pt>
                <c:pt idx="1">
                  <c:v>20.6919</c:v>
                </c:pt>
                <c:pt idx="2">
                  <c:v>20.6919</c:v>
                </c:pt>
                <c:pt idx="3">
                  <c:v>20.6919</c:v>
                </c:pt>
                <c:pt idx="4">
                  <c:v>20.6919</c:v>
                </c:pt>
                <c:pt idx="5">
                  <c:v>20.6919</c:v>
                </c:pt>
                <c:pt idx="6">
                  <c:v>20.898819</c:v>
                </c:pt>
                <c:pt idx="7">
                  <c:v>21.10780719</c:v>
                </c:pt>
                <c:pt idx="8">
                  <c:v>21.3188852619</c:v>
                </c:pt>
                <c:pt idx="9">
                  <c:v>21.532074114519</c:v>
                </c:pt>
                <c:pt idx="10">
                  <c:v>21.7473948556642</c:v>
                </c:pt>
              </c:numCache>
            </c:numRef>
          </c:val>
        </c:ser>
        <c:gapWidth val="150"/>
        <c:overlap val="100"/>
        <c:axId val="5284496"/>
        <c:axId val="12337721"/>
      </c:barChart>
      <c:catAx>
        <c:axId val="5284496"/>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12337721"/>
        <c:crosses val="autoZero"/>
        <c:auto val="1"/>
        <c:lblAlgn val="ctr"/>
        <c:lblOffset val="100"/>
        <c:noMultiLvlLbl val="0"/>
      </c:catAx>
      <c:valAx>
        <c:axId val="12337721"/>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$M</a:t>
                </a:r>
              </a:p>
            </c:rich>
          </c:tx>
          <c:overlay val="0"/>
          <c:spPr>
            <a:noFill/>
            <a:ln w="0">
              <a:noFill/>
            </a:ln>
          </c:spPr>
        </c:title>
        <c:numFmt formatCode="#,##0_);\(#,##0\);0_);@_)"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5284496"/>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Figure 8: Acquired pool revenue + rate</a:t>
            </a:r>
          </a:p>
        </c:rich>
      </c:tx>
      <c:overlay val="0"/>
      <c:spPr>
        <a:noFill/>
        <a:ln w="0">
          <a:noFill/>
        </a:ln>
      </c:spPr>
    </c:title>
    <c:autoTitleDeleted val="0"/>
    <c:plotArea>
      <c:barChart>
        <c:barDir val="col"/>
        <c:grouping val="clustered"/>
        <c:varyColors val="0"/>
        <c:ser>
          <c:idx val="0"/>
          <c:order val="0"/>
          <c:spPr>
            <a:solidFill>
              <a:srgbClr val="F2C755"/>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extLst>
              <c:ext xmlns:c15="http://schemas.microsoft.com/office/drawing/2012/chart" uri="{CE6537A1-D6FC-4f65-9D91-7224C49458BB}">
                <c15:showLeaderLines val="1"/>
              </c:ext>
            </c:extLst>
          </c:dLbls>
          <c:cat>
            <c:strRef>
              <c:f>Charts!$J$15:$S$15</c:f>
              <c:strCache>
                <c:ptCount val="10"/>
                <c:pt idx="0">
                  <c:v>2026E</c:v>
                </c:pt>
                <c:pt idx="1">
                  <c:v>2027E</c:v>
                </c:pt>
                <c:pt idx="2">
                  <c:v>2028E</c:v>
                </c:pt>
                <c:pt idx="3">
                  <c:v>2029E</c:v>
                </c:pt>
                <c:pt idx="4">
                  <c:v>2030E</c:v>
                </c:pt>
                <c:pt idx="5">
                  <c:v>2031E</c:v>
                </c:pt>
                <c:pt idx="6">
                  <c:v>2032E</c:v>
                </c:pt>
                <c:pt idx="7">
                  <c:v>2033E</c:v>
                </c:pt>
                <c:pt idx="8">
                  <c:v>2034E</c:v>
                </c:pt>
                <c:pt idx="9">
                  <c:v>2035E</c:v>
                </c:pt>
              </c:strCache>
            </c:strRef>
          </c:cat>
          <c:val>
            <c:numRef>
              <c:f>Charts!$J$36:$S$36</c:f>
              <c:numCache>
                <c:formatCode>#,##0_);\(#,##0\);0_);@_)</c:formatCode>
                <c:ptCount val="10"/>
                <c:pt idx="0">
                  <c:v>543</c:v>
                </c:pt>
                <c:pt idx="1">
                  <c:v>563.3625</c:v>
                </c:pt>
                <c:pt idx="2">
                  <c:v>577.4465625</c:v>
                </c:pt>
                <c:pt idx="3">
                  <c:v>584.66464453125</c:v>
                </c:pt>
                <c:pt idx="4">
                  <c:v>581.741321308594</c:v>
                </c:pt>
                <c:pt idx="5">
                  <c:v>590.496528194288</c:v>
                </c:pt>
                <c:pt idx="6">
                  <c:v>599.383500943612</c:v>
                </c:pt>
                <c:pt idx="7">
                  <c:v>608.404222632813</c:v>
                </c:pt>
                <c:pt idx="8">
                  <c:v>617.560706183437</c:v>
                </c:pt>
                <c:pt idx="9">
                  <c:v>626.854994811498</c:v>
                </c:pt>
              </c:numCache>
            </c:numRef>
          </c:val>
        </c:ser>
        <c:ser>
          <c:idx val="1"/>
          <c:order val="1"/>
          <c:spPr>
            <a:solidFill>
              <a:srgbClr val="292934"/>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extLst>
              <c:ext xmlns:c15="http://schemas.microsoft.com/office/drawing/2012/chart" uri="{CE6537A1-D6FC-4f65-9D91-7224C49458BB}">
                <c15:showLeaderLines val="1"/>
              </c:ext>
            </c:extLst>
          </c:dLbls>
          <c:cat>
            <c:strRef>
              <c:f>Charts!$J$15:$S$15</c:f>
              <c:strCache>
                <c:ptCount val="10"/>
                <c:pt idx="0">
                  <c:v>2026E</c:v>
                </c:pt>
                <c:pt idx="1">
                  <c:v>2027E</c:v>
                </c:pt>
                <c:pt idx="2">
                  <c:v>2028E</c:v>
                </c:pt>
                <c:pt idx="3">
                  <c:v>2029E</c:v>
                </c:pt>
                <c:pt idx="4">
                  <c:v>2030E</c:v>
                </c:pt>
                <c:pt idx="5">
                  <c:v>2031E</c:v>
                </c:pt>
                <c:pt idx="6">
                  <c:v>2032E</c:v>
                </c:pt>
                <c:pt idx="7">
                  <c:v>2033E</c:v>
                </c:pt>
                <c:pt idx="8">
                  <c:v>2034E</c:v>
                </c:pt>
                <c:pt idx="9">
                  <c:v>2035E</c:v>
                </c:pt>
              </c:strCache>
            </c:strRef>
          </c:cat>
          <c:val>
            <c:numRef>
              <c:f>Charts!$J$35:$S$35</c:f>
              <c:numCache>
                <c:formatCode>0.0%_);\(0.0%\);@_)</c:formatCode>
                <c:ptCount val="10"/>
                <c:pt idx="0">
                  <c:v>5510.73222712742</c:v>
                </c:pt>
                <c:pt idx="1">
                  <c:v>5717.3846856447</c:v>
                </c:pt>
                <c:pt idx="2">
                  <c:v>5860.31930278581</c:v>
                </c:pt>
                <c:pt idx="3">
                  <c:v>5933.57329407064</c:v>
                </c:pt>
                <c:pt idx="4">
                  <c:v>5903.90542760028</c:v>
                </c:pt>
                <c:pt idx="5">
                  <c:v>5933.42495473828</c:v>
                </c:pt>
                <c:pt idx="6">
                  <c:v>5963.09207951197</c:v>
                </c:pt>
                <c:pt idx="7">
                  <c:v>5992.90753990953</c:v>
                </c:pt>
                <c:pt idx="8">
                  <c:v>6022.87207760908</c:v>
                </c:pt>
                <c:pt idx="9">
                  <c:v>6052.98643799712</c:v>
                </c:pt>
              </c:numCache>
            </c:numRef>
          </c:val>
        </c:ser>
        <c:gapWidth val="150"/>
        <c:overlap val="0"/>
        <c:axId val="14149548"/>
        <c:axId val="20419706"/>
      </c:barChart>
      <c:catAx>
        <c:axId val="14149548"/>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20419706"/>
        <c:crosses val="autoZero"/>
        <c:auto val="1"/>
        <c:lblAlgn val="ctr"/>
        <c:lblOffset val="100"/>
        <c:noMultiLvlLbl val="0"/>
      </c:catAx>
      <c:valAx>
        <c:axId val="20419706"/>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$M / $/car</a:t>
                </a:r>
              </a:p>
            </c:rich>
          </c:tx>
          <c:overlay val="0"/>
          <c:spPr>
            <a:noFill/>
            <a:ln w="0">
              <a:noFill/>
            </a:ln>
          </c:spPr>
        </c:title>
        <c:numFmt formatCode="#,##0_);\(#,##0\);0_);@_)"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14149548"/>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Figure 9: Disposition gains 2020A-2027E + SELL flip ($M)</a:t>
            </a:r>
          </a:p>
        </c:rich>
      </c:tx>
      <c:overlay val="0"/>
      <c:spPr>
        <a:noFill/>
        <a:ln w="0">
          <a:noFill/>
        </a:ln>
      </c:spPr>
    </c:title>
    <c:autoTitleDeleted val="0"/>
    <c:plotArea>
      <c:barChart>
        <c:barDir val="col"/>
        <c:grouping val="clustered"/>
        <c:varyColors val="0"/>
        <c:ser>
          <c:idx val="0"/>
          <c:order val="0"/>
          <c:spPr>
            <a:solidFill>
              <a:srgbClr val="F2C755"/>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extLst>
              <c:ext xmlns:c15="http://schemas.microsoft.com/office/drawing/2012/chart" uri="{CE6537A1-D6FC-4f65-9D91-7224C49458BB}">
                <c15:showLeaderLines val="1"/>
              </c:ext>
            </c:extLst>
          </c:dLbls>
          <c:cat>
            <c:strRef>
              <c:f>Charts!$I$15:$Q$15</c:f>
              <c:strCache>
                <c:ptCount val="9"/>
                <c:pt idx="0">
                  <c:v>2025A</c:v>
                </c:pt>
                <c:pt idx="1">
                  <c:v>2026E</c:v>
                </c:pt>
                <c:pt idx="2">
                  <c:v>2027E</c:v>
                </c:pt>
                <c:pt idx="3">
                  <c:v>2028E</c:v>
                </c:pt>
                <c:pt idx="4">
                  <c:v>2029E</c:v>
                </c:pt>
                <c:pt idx="5">
                  <c:v>2030E</c:v>
                </c:pt>
                <c:pt idx="6">
                  <c:v>2031E</c:v>
                </c:pt>
                <c:pt idx="7">
                  <c:v>2032E</c:v>
                </c:pt>
                <c:pt idx="8">
                  <c:v>2033E</c:v>
                </c:pt>
              </c:strCache>
            </c:strRef>
          </c:cat>
          <c:val>
            <c:numRef>
              <c:f>Charts!$I$90:$Q$90</c:f>
              <c:numCache>
                <c:formatCode>#,##0_);\(#,##0\);0_);@_)</c:formatCode>
                <c:ptCount val="9"/>
                <c:pt idx="0">
                  <c:v>41.7</c:v>
                </c:pt>
                <c:pt idx="1">
                  <c:v>105.9</c:v>
                </c:pt>
                <c:pt idx="2">
                  <c:v>77.9</c:v>
                </c:pt>
                <c:pt idx="3">
                  <c:v>130.3</c:v>
                </c:pt>
                <c:pt idx="4">
                  <c:v>138.3</c:v>
                </c:pt>
                <c:pt idx="5">
                  <c:v>136.9</c:v>
                </c:pt>
                <c:pt idx="6">
                  <c:v>136.9</c:v>
                </c:pt>
                <c:pt idx="7">
                  <c:v>210.5</c:v>
                </c:pt>
                <c:pt idx="8">
                  <c:v>210.5</c:v>
                </c:pt>
              </c:numCache>
            </c:numRef>
          </c:val>
        </c:ser>
        <c:ser>
          <c:idx val="1"/>
          <c:order val="1"/>
          <c:spPr>
            <a:solidFill>
              <a:srgbClr val="292934"/>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extLst>
              <c:ext xmlns:c15="http://schemas.microsoft.com/office/drawing/2012/chart" uri="{CE6537A1-D6FC-4f65-9D91-7224C49458BB}">
                <c15:showLeaderLines val="1"/>
              </c:ext>
            </c:extLst>
          </c:dLbls>
          <c:cat>
            <c:strRef>
              <c:f>Charts!$I$15:$Q$15</c:f>
              <c:strCache>
                <c:ptCount val="9"/>
                <c:pt idx="0">
                  <c:v>2025A</c:v>
                </c:pt>
                <c:pt idx="1">
                  <c:v>2026E</c:v>
                </c:pt>
                <c:pt idx="2">
                  <c:v>2027E</c:v>
                </c:pt>
                <c:pt idx="3">
                  <c:v>2028E</c:v>
                </c:pt>
                <c:pt idx="4">
                  <c:v>2029E</c:v>
                </c:pt>
                <c:pt idx="5">
                  <c:v>2030E</c:v>
                </c:pt>
                <c:pt idx="6">
                  <c:v>2031E</c:v>
                </c:pt>
                <c:pt idx="7">
                  <c:v>2032E</c:v>
                </c:pt>
                <c:pt idx="8">
                  <c:v>2033E</c:v>
                </c:pt>
              </c:strCache>
            </c:strRef>
          </c:cat>
          <c:val>
            <c:numRef>
              <c:f>Charts!$I$91:$Q$91</c:f>
              <c:numCache>
                <c:formatCode>#,##0_);\(#,##0\);0_);@_)</c:formatCode>
                <c:ptCount val="9"/>
                <c:pt idx="0">
                  <c:v>100.004650263395</c:v>
                </c:pt>
                <c:pt idx="1">
                  <c:v>100.004650263395</c:v>
                </c:pt>
                <c:pt idx="2">
                  <c:v>100.004650263395</c:v>
                </c:pt>
                <c:pt idx="3">
                  <c:v>100.004650263395</c:v>
                </c:pt>
                <c:pt idx="4">
                  <c:v>100.004650263395</c:v>
                </c:pt>
                <c:pt idx="5">
                  <c:v>100.004650263395</c:v>
                </c:pt>
                <c:pt idx="6">
                  <c:v>100.004650263395</c:v>
                </c:pt>
                <c:pt idx="7">
                  <c:v>100.004650263395</c:v>
                </c:pt>
                <c:pt idx="8">
                  <c:v>100.004650263395</c:v>
                </c:pt>
              </c:numCache>
            </c:numRef>
          </c:val>
        </c:ser>
        <c:gapWidth val="150"/>
        <c:overlap val="0"/>
        <c:axId val="15377787"/>
        <c:axId val="24554856"/>
      </c:barChart>
      <c:catAx>
        <c:axId val="15377787"/>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24554856"/>
        <c:crosses val="autoZero"/>
        <c:auto val="1"/>
        <c:lblAlgn val="ctr"/>
        <c:lblOffset val="100"/>
        <c:noMultiLvlLbl val="0"/>
      </c:catAx>
      <c:valAx>
        <c:axId val="24554856"/>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$M</a:t>
                </a:r>
              </a:p>
            </c:rich>
          </c:tx>
          <c:overlay val="0"/>
          <c:spPr>
            <a:noFill/>
            <a:ln w="0">
              <a:noFill/>
            </a:ln>
          </c:spPr>
        </c:title>
        <c:numFmt formatCode="#,##0_);\(#,##0\);0_);@_)"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15377787"/>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Figure 10: Valuation football field ($/sh)</a:t>
            </a:r>
          </a:p>
        </c:rich>
      </c:tx>
      <c:overlay val="0"/>
      <c:spPr>
        <a:noFill/>
        <a:ln w="0">
          <a:noFill/>
        </a:ln>
      </c:spPr>
    </c:title>
    <c:autoTitleDeleted val="0"/>
    <c:plotArea>
      <c:barChart>
        <c:barDir val="bar"/>
        <c:grouping val="clustered"/>
        <c:varyColors val="0"/>
        <c:ser>
          <c:idx val="0"/>
          <c:order val="0"/>
          <c:spPr>
            <a:solidFill>
              <a:srgbClr val="F2C755"/>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extLst>
              <c:ext xmlns:c15="http://schemas.microsoft.com/office/drawing/2012/chart" uri="{CE6537A1-D6FC-4f65-9D91-7224C49458BB}">
                <c15:showLeaderLines val="1"/>
              </c:ext>
            </c:extLst>
          </c:dLbls>
          <c:cat>
            <c:strRef>
              <c:f>Charts!$D$64:$M$64</c:f>
              <c:strCache>
                <c:ptCount val="10"/>
                <c:pt idx="0">
                  <c:v>P/E bear</c:v>
                </c:pt>
                <c:pt idx="1">
                  <c:v>P/E base</c:v>
                </c:pt>
                <c:pt idx="2">
                  <c:v>P/E bull</c:v>
                </c:pt>
                <c:pt idx="3">
                  <c:v>NAV</c:v>
                </c:pt>
                <c:pt idx="4">
                  <c:v>Residual Income</c:v>
                </c:pt>
                <c:pt idx="5">
                  <c:v>Peer P/B</c:v>
                </c:pt>
                <c:pt idx="6">
                  <c:v>DCF Gordon</c:v>
                </c:pt>
                <c:pt idx="7">
                  <c:v>DCF exit</c:v>
                </c:pt>
                <c:pt idx="8">
                  <c:v>FCFE perp</c:v>
                </c:pt>
                <c:pt idx="9">
                  <c:v>FCFE P/B</c:v>
                </c:pt>
              </c:strCache>
            </c:strRef>
          </c:cat>
          <c:val>
            <c:numRef>
              <c:f>Charts!$D$65:$M$65</c:f>
              <c:numCache>
                <c:formatCode>#,##0_);\(#,##0\);0_);@_)</c:formatCode>
                <c:ptCount val="10"/>
                <c:pt idx="0">
                  <c:v>149.56213472346</c:v>
                </c:pt>
                <c:pt idx="1">
                  <c:v>166.276819774034</c:v>
                </c:pt>
                <c:pt idx="2">
                  <c:v>188.529898606358</c:v>
                </c:pt>
                <c:pt idx="3">
                  <c:v>169.738951211227</c:v>
                </c:pt>
                <c:pt idx="4">
                  <c:v>93.4605263806057</c:v>
                </c:pt>
                <c:pt idx="5">
                  <c:v>142.36069856274</c:v>
                </c:pt>
                <c:pt idx="6">
                  <c:v>458.930130203241</c:v>
                </c:pt>
                <c:pt idx="7">
                  <c:v>82.5181341593946</c:v>
                </c:pt>
                <c:pt idx="8">
                  <c:v>73.610214991098</c:v>
                </c:pt>
                <c:pt idx="9">
                  <c:v>114.614683236849</c:v>
                </c:pt>
              </c:numCache>
            </c:numRef>
          </c:val>
        </c:ser>
        <c:gapWidth val="150"/>
        <c:overlap val="0"/>
        <c:axId val="59654812"/>
        <c:axId val="96858956"/>
      </c:barChart>
      <c:catAx>
        <c:axId val="59654812"/>
        <c:scaling>
          <c:orientation val="minMax"/>
        </c:scaling>
        <c:delete val="0"/>
        <c:axPos val="b"/>
        <c:title>
          <c:tx>
            <c:rich>
              <a:bodyPr rot="-5400000"/>
              <a:lstStyle/>
              <a:p>
                <a:pPr>
                  <a:defRPr sz="1300" b="0" u="none" strike="noStrike">
                    <a:uFillTx/>
                    <a:latin typeface="Arial"/>
                  </a:defRPr>
                </a:pPr>
                <a:r>
                  <a:rPr sz="1000" b="1" u="none" strike="noStrike">
                    <a:solidFill>
                      <a:srgbClr val="000000"/>
                    </a:solidFill>
                    <a:uFillTx/>
                    <a:latin typeface="Calibri"/>
                  </a:rPr>
                  <a:t>$/sh</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96858956"/>
        <c:crosses val="autoZero"/>
        <c:auto val="1"/>
        <c:lblAlgn val="ctr"/>
        <c:lblOffset val="100"/>
        <c:noMultiLvlLbl val="0"/>
      </c:catAx>
      <c:valAx>
        <c:axId val="96858956"/>
        <c:scaling>
          <c:orientation val="minMax"/>
        </c:scaling>
        <c:delete val="0"/>
        <c:axPos val="l"/>
        <c:majorGridlines>
          <c:spPr>
            <a:ln w="0">
              <a:solidFill>
                <a:srgbClr val="B3B3B3"/>
              </a:solidFill>
            </a:ln>
          </c:spPr>
        </c:majorGridlines>
        <c:numFmt formatCode="#,##0_);\(#,##0\);0_);@_)"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59654812"/>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Figure 11: NTM P/E 10-yr history</a:t>
            </a:r>
          </a:p>
        </c:rich>
      </c:tx>
      <c:overlay val="0"/>
      <c:spPr>
        <a:noFill/>
        <a:ln w="0">
          <a:noFill/>
        </a:ln>
      </c:spPr>
    </c:title>
    <c:autoTitleDeleted val="0"/>
    <c:plotArea>
      <c:lineChart>
        <c:grouping val="standard"/>
        <c:varyColors val="0"/>
        <c:ser>
          <c:idx val="0"/>
          <c:order val="0"/>
          <c:tx>
            <c:strRef>
              <c:f>"NTM P/E daily"</c:f>
              <c:strCache>
                <c:ptCount val="1"/>
                <c:pt idx="0">
                  <c:v>NTM P/E daily</c:v>
                </c:pt>
              </c:strCache>
            </c:strRef>
          </c:tx>
          <c:spPr>
            <a:ln w="25560">
              <a:solidFill>
                <a:srgbClr val="292934"/>
              </a:solidFill>
              <a:round/>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extLst>
              <c:ext xmlns:c15="http://schemas.microsoft.com/office/drawing/2012/chart" uri="{CE6537A1-D6FC-4f65-9D91-7224C49458BB}">
                <c15:showLeaderLines val="1"/>
              </c:ext>
            </c:extLst>
          </c:dLbls>
          <c:val>
            <c:numRef>
              <c:f>Valuation!$N$212:$N$2817</c:f>
              <c:numCache>
                <c:formatCode>General</c:formatCode>
                <c:ptCount val="2606"/>
                <c:pt idx="0">
                  <c:v>8.62</c:v>
                </c:pt>
                <c:pt idx="1">
                  <c:v>8.69</c:v>
                </c:pt>
                <c:pt idx="2">
                  <c:v>8.92</c:v>
                </c:pt>
                <c:pt idx="3">
                  <c:v>8.98</c:v>
                </c:pt>
                <c:pt idx="4">
                  <c:v>9.19</c:v>
                </c:pt>
                <c:pt idx="5">
                  <c:v>9.13</c:v>
                </c:pt>
                <c:pt idx="6">
                  <c:v>9.22</c:v>
                </c:pt>
                <c:pt idx="7">
                  <c:v>9.3</c:v>
                </c:pt>
                <c:pt idx="8">
                  <c:v>9.35</c:v>
                </c:pt>
                <c:pt idx="9">
                  <c:v>9.27</c:v>
                </c:pt>
                <c:pt idx="10">
                  <c:v>9.37</c:v>
                </c:pt>
                <c:pt idx="11">
                  <c:v>9.17</c:v>
                </c:pt>
                <c:pt idx="12">
                  <c:v>9.11</c:v>
                </c:pt>
                <c:pt idx="13">
                  <c:v>9.03</c:v>
                </c:pt>
                <c:pt idx="14">
                  <c:v>9.02</c:v>
                </c:pt>
                <c:pt idx="15">
                  <c:v>9.25</c:v>
                </c:pt>
                <c:pt idx="16">
                  <c:v>9.19</c:v>
                </c:pt>
                <c:pt idx="17">
                  <c:v>9.43</c:v>
                </c:pt>
                <c:pt idx="18">
                  <c:v>9.77</c:v>
                </c:pt>
                <c:pt idx="19">
                  <c:v>9.79</c:v>
                </c:pt>
                <c:pt idx="20">
                  <c:v>9.78</c:v>
                </c:pt>
                <c:pt idx="21">
                  <c:v>9.53</c:v>
                </c:pt>
                <c:pt idx="22">
                  <c:v>9.4</c:v>
                </c:pt>
                <c:pt idx="23">
                  <c:v>9.32</c:v>
                </c:pt>
                <c:pt idx="24">
                  <c:v>9.22</c:v>
                </c:pt>
                <c:pt idx="25">
                  <c:v>9.25</c:v>
                </c:pt>
                <c:pt idx="26">
                  <c:v>9.06</c:v>
                </c:pt>
                <c:pt idx="27">
                  <c:v>9.02</c:v>
                </c:pt>
                <c:pt idx="28">
                  <c:v>9.21</c:v>
                </c:pt>
                <c:pt idx="29">
                  <c:v>9.45</c:v>
                </c:pt>
                <c:pt idx="30">
                  <c:v>9.68</c:v>
                </c:pt>
                <c:pt idx="31">
                  <c:v>9.62</c:v>
                </c:pt>
                <c:pt idx="32">
                  <c:v>10.31</c:v>
                </c:pt>
                <c:pt idx="33">
                  <c:v>10.47</c:v>
                </c:pt>
                <c:pt idx="34">
                  <c:v>10.69</c:v>
                </c:pt>
                <c:pt idx="35">
                  <c:v>10.9</c:v>
                </c:pt>
                <c:pt idx="36">
                  <c:v>10.97</c:v>
                </c:pt>
                <c:pt idx="37">
                  <c:v>10.83</c:v>
                </c:pt>
                <c:pt idx="38">
                  <c:v>10.86</c:v>
                </c:pt>
                <c:pt idx="39">
                  <c:v>10.94</c:v>
                </c:pt>
                <c:pt idx="40">
                  <c:v>11.11</c:v>
                </c:pt>
                <c:pt idx="41">
                  <c:v>11.32</c:v>
                </c:pt>
                <c:pt idx="42">
                  <c:v>11.58</c:v>
                </c:pt>
                <c:pt idx="43">
                  <c:v>11.59</c:v>
                </c:pt>
                <c:pt idx="44">
                  <c:v>11.62</c:v>
                </c:pt>
                <c:pt idx="45">
                  <c:v>11.44</c:v>
                </c:pt>
                <c:pt idx="46">
                  <c:v>11.5</c:v>
                </c:pt>
                <c:pt idx="47">
                  <c:v>11.78</c:v>
                </c:pt>
                <c:pt idx="48">
                  <c:v>12.16</c:v>
                </c:pt>
                <c:pt idx="49">
                  <c:v>12.24</c:v>
                </c:pt>
                <c:pt idx="50">
                  <c:v>12.5</c:v>
                </c:pt>
                <c:pt idx="51">
                  <c:v>12.98</c:v>
                </c:pt>
                <c:pt idx="52">
                  <c:v>13.22</c:v>
                </c:pt>
                <c:pt idx="53">
                  <c:v>13.35</c:v>
                </c:pt>
                <c:pt idx="54">
                  <c:v>13.43</c:v>
                </c:pt>
                <c:pt idx="55">
                  <c:v>13.44</c:v>
                </c:pt>
                <c:pt idx="56">
                  <c:v>13.34</c:v>
                </c:pt>
                <c:pt idx="57">
                  <c:v>13.05</c:v>
                </c:pt>
                <c:pt idx="58">
                  <c:v>13.25</c:v>
                </c:pt>
                <c:pt idx="59">
                  <c:v>13.33</c:v>
                </c:pt>
                <c:pt idx="60">
                  <c:v>13.48</c:v>
                </c:pt>
                <c:pt idx="61">
                  <c:v>14.05</c:v>
                </c:pt>
                <c:pt idx="62">
                  <c:v>13.86</c:v>
                </c:pt>
                <c:pt idx="63">
                  <c:v>13.86</c:v>
                </c:pt>
                <c:pt idx="64">
                  <c:v>13.85</c:v>
                </c:pt>
                <c:pt idx="65">
                  <c:v>13.88</c:v>
                </c:pt>
                <c:pt idx="66">
                  <c:v>13.95</c:v>
                </c:pt>
                <c:pt idx="67">
                  <c:v>13.89</c:v>
                </c:pt>
                <c:pt idx="68">
                  <c:v>13.8</c:v>
                </c:pt>
                <c:pt idx="69">
                  <c:v>13.58</c:v>
                </c:pt>
                <c:pt idx="70">
                  <c:v>13.6</c:v>
                </c:pt>
                <c:pt idx="71">
                  <c:v>13.49</c:v>
                </c:pt>
                <c:pt idx="72">
                  <c:v>13.76</c:v>
                </c:pt>
                <c:pt idx="73">
                  <c:v>13.3</c:v>
                </c:pt>
                <c:pt idx="74">
                  <c:v>13.33</c:v>
                </c:pt>
                <c:pt idx="75">
                  <c:v>13.05</c:v>
                </c:pt>
                <c:pt idx="76">
                  <c:v>13.13</c:v>
                </c:pt>
                <c:pt idx="77">
                  <c:v>13.13</c:v>
                </c:pt>
                <c:pt idx="78">
                  <c:v>12.62</c:v>
                </c:pt>
                <c:pt idx="79">
                  <c:v>12.78</c:v>
                </c:pt>
                <c:pt idx="80">
                  <c:v>12.79</c:v>
                </c:pt>
                <c:pt idx="81">
                  <c:v>12.56</c:v>
                </c:pt>
                <c:pt idx="82">
                  <c:v>12.68</c:v>
                </c:pt>
                <c:pt idx="83">
                  <c:v>13.23</c:v>
                </c:pt>
                <c:pt idx="84">
                  <c:v>13.31</c:v>
                </c:pt>
                <c:pt idx="85">
                  <c:v>13.26</c:v>
                </c:pt>
                <c:pt idx="86">
                  <c:v>13.41</c:v>
                </c:pt>
                <c:pt idx="87">
                  <c:v>13.73</c:v>
                </c:pt>
                <c:pt idx="88">
                  <c:v>13.54</c:v>
                </c:pt>
                <c:pt idx="89">
                  <c:v>13.43</c:v>
                </c:pt>
                <c:pt idx="90">
                  <c:v>13.29</c:v>
                </c:pt>
                <c:pt idx="91">
                  <c:v>12.97</c:v>
                </c:pt>
                <c:pt idx="92">
                  <c:v>13.13</c:v>
                </c:pt>
                <c:pt idx="93">
                  <c:v>12.89</c:v>
                </c:pt>
                <c:pt idx="94">
                  <c:v>13.15</c:v>
                </c:pt>
                <c:pt idx="95">
                  <c:v>13.07</c:v>
                </c:pt>
                <c:pt idx="96">
                  <c:v>13.01</c:v>
                </c:pt>
                <c:pt idx="97">
                  <c:v>12.88</c:v>
                </c:pt>
                <c:pt idx="98">
                  <c:v>13.04</c:v>
                </c:pt>
                <c:pt idx="99">
                  <c:v>13.18</c:v>
                </c:pt>
                <c:pt idx="100">
                  <c:v>13.18</c:v>
                </c:pt>
                <c:pt idx="101">
                  <c:v>13.22</c:v>
                </c:pt>
                <c:pt idx="102">
                  <c:v>13.36</c:v>
                </c:pt>
                <c:pt idx="103">
                  <c:v>13.22</c:v>
                </c:pt>
                <c:pt idx="104">
                  <c:v>13.41</c:v>
                </c:pt>
                <c:pt idx="105">
                  <c:v>13.42</c:v>
                </c:pt>
                <c:pt idx="106">
                  <c:v>13.22</c:v>
                </c:pt>
                <c:pt idx="107">
                  <c:v>13.17</c:v>
                </c:pt>
                <c:pt idx="108">
                  <c:v>13.14</c:v>
                </c:pt>
                <c:pt idx="109">
                  <c:v>13.25</c:v>
                </c:pt>
                <c:pt idx="110">
                  <c:v>13.49</c:v>
                </c:pt>
                <c:pt idx="111">
                  <c:v>13.06</c:v>
                </c:pt>
                <c:pt idx="112">
                  <c:v>13.41</c:v>
                </c:pt>
                <c:pt idx="113">
                  <c:v>13.12</c:v>
                </c:pt>
                <c:pt idx="114">
                  <c:v>13.26</c:v>
                </c:pt>
                <c:pt idx="115">
                  <c:v>13.23</c:v>
                </c:pt>
                <c:pt idx="116">
                  <c:v>13.13</c:v>
                </c:pt>
                <c:pt idx="117">
                  <c:v>13.11</c:v>
                </c:pt>
                <c:pt idx="118">
                  <c:v>12.99</c:v>
                </c:pt>
                <c:pt idx="119">
                  <c:v>13.16</c:v>
                </c:pt>
                <c:pt idx="120">
                  <c:v>13.34</c:v>
                </c:pt>
                <c:pt idx="121">
                  <c:v>13.27</c:v>
                </c:pt>
                <c:pt idx="122">
                  <c:v>13.43</c:v>
                </c:pt>
                <c:pt idx="123">
                  <c:v>13.4</c:v>
                </c:pt>
                <c:pt idx="124">
                  <c:v>13.55</c:v>
                </c:pt>
                <c:pt idx="125">
                  <c:v>13.31</c:v>
                </c:pt>
                <c:pt idx="126">
                  <c:v>12.98</c:v>
                </c:pt>
                <c:pt idx="127">
                  <c:v>12.99</c:v>
                </c:pt>
                <c:pt idx="128">
                  <c:v>13.19</c:v>
                </c:pt>
                <c:pt idx="129">
                  <c:v>13.1</c:v>
                </c:pt>
                <c:pt idx="130">
                  <c:v>13</c:v>
                </c:pt>
                <c:pt idx="131">
                  <c:v>13.42</c:v>
                </c:pt>
                <c:pt idx="132">
                  <c:v>13.46</c:v>
                </c:pt>
                <c:pt idx="133">
                  <c:v>13.74</c:v>
                </c:pt>
                <c:pt idx="134">
                  <c:v>13.79</c:v>
                </c:pt>
                <c:pt idx="135">
                  <c:v>13.65</c:v>
                </c:pt>
                <c:pt idx="136">
                  <c:v>13.66</c:v>
                </c:pt>
                <c:pt idx="137">
                  <c:v>13.76</c:v>
                </c:pt>
                <c:pt idx="138">
                  <c:v>14.04</c:v>
                </c:pt>
                <c:pt idx="139">
                  <c:v>14.02</c:v>
                </c:pt>
                <c:pt idx="140">
                  <c:v>14.09</c:v>
                </c:pt>
                <c:pt idx="141">
                  <c:v>14.15</c:v>
                </c:pt>
                <c:pt idx="142">
                  <c:v>13.61</c:v>
                </c:pt>
                <c:pt idx="143">
                  <c:v>13.38</c:v>
                </c:pt>
                <c:pt idx="144">
                  <c:v>13.39</c:v>
                </c:pt>
                <c:pt idx="145">
                  <c:v>13.62</c:v>
                </c:pt>
                <c:pt idx="146">
                  <c:v>13.51</c:v>
                </c:pt>
                <c:pt idx="147">
                  <c:v>13.63</c:v>
                </c:pt>
                <c:pt idx="148">
                  <c:v>13.94</c:v>
                </c:pt>
                <c:pt idx="149">
                  <c:v>13.74</c:v>
                </c:pt>
                <c:pt idx="150">
                  <c:v>13.77</c:v>
                </c:pt>
                <c:pt idx="151">
                  <c:v>13.74</c:v>
                </c:pt>
                <c:pt idx="152">
                  <c:v>13.7</c:v>
                </c:pt>
                <c:pt idx="153">
                  <c:v>13.65</c:v>
                </c:pt>
                <c:pt idx="154">
                  <c:v>13.47</c:v>
                </c:pt>
                <c:pt idx="155">
                  <c:v>13.35</c:v>
                </c:pt>
                <c:pt idx="156">
                  <c:v>13.35</c:v>
                </c:pt>
                <c:pt idx="157">
                  <c:v>13.4</c:v>
                </c:pt>
                <c:pt idx="158">
                  <c:v>13.33</c:v>
                </c:pt>
                <c:pt idx="159">
                  <c:v>13.49</c:v>
                </c:pt>
                <c:pt idx="160">
                  <c:v>13.51</c:v>
                </c:pt>
                <c:pt idx="161">
                  <c:v>13.37</c:v>
                </c:pt>
                <c:pt idx="162">
                  <c:v>13.42</c:v>
                </c:pt>
                <c:pt idx="163">
                  <c:v>13.38</c:v>
                </c:pt>
                <c:pt idx="164">
                  <c:v>13.22</c:v>
                </c:pt>
                <c:pt idx="165">
                  <c:v>13.32</c:v>
                </c:pt>
                <c:pt idx="166">
                  <c:v>13.31</c:v>
                </c:pt>
                <c:pt idx="167">
                  <c:v>13</c:v>
                </c:pt>
                <c:pt idx="168">
                  <c:v>12.97</c:v>
                </c:pt>
                <c:pt idx="169">
                  <c:v>13.39</c:v>
                </c:pt>
                <c:pt idx="170">
                  <c:v>13.65</c:v>
                </c:pt>
                <c:pt idx="171">
                  <c:v>13.94</c:v>
                </c:pt>
                <c:pt idx="172">
                  <c:v>13.81</c:v>
                </c:pt>
                <c:pt idx="173">
                  <c:v>13.76</c:v>
                </c:pt>
                <c:pt idx="174">
                  <c:v>13.55</c:v>
                </c:pt>
                <c:pt idx="175">
                  <c:v>13.56</c:v>
                </c:pt>
                <c:pt idx="176">
                  <c:v>13.44</c:v>
                </c:pt>
                <c:pt idx="177">
                  <c:v>13.48</c:v>
                </c:pt>
                <c:pt idx="178">
                  <c:v>13.93</c:v>
                </c:pt>
                <c:pt idx="179">
                  <c:v>14.11</c:v>
                </c:pt>
                <c:pt idx="180">
                  <c:v>13.97</c:v>
                </c:pt>
                <c:pt idx="181">
                  <c:v>13.82</c:v>
                </c:pt>
                <c:pt idx="182">
                  <c:v>13.75</c:v>
                </c:pt>
                <c:pt idx="183">
                  <c:v>14.16</c:v>
                </c:pt>
                <c:pt idx="184">
                  <c:v>14.24</c:v>
                </c:pt>
                <c:pt idx="185">
                  <c:v>14.75</c:v>
                </c:pt>
                <c:pt idx="186">
                  <c:v>14.9</c:v>
                </c:pt>
                <c:pt idx="187">
                  <c:v>14.7</c:v>
                </c:pt>
                <c:pt idx="188">
                  <c:v>14.72</c:v>
                </c:pt>
                <c:pt idx="189">
                  <c:v>14.76</c:v>
                </c:pt>
                <c:pt idx="190">
                  <c:v>14.83</c:v>
                </c:pt>
                <c:pt idx="191">
                  <c:v>14.54</c:v>
                </c:pt>
                <c:pt idx="192">
                  <c:v>14.05</c:v>
                </c:pt>
                <c:pt idx="193">
                  <c:v>14.14</c:v>
                </c:pt>
                <c:pt idx="194">
                  <c:v>14.38</c:v>
                </c:pt>
                <c:pt idx="195">
                  <c:v>14.55</c:v>
                </c:pt>
                <c:pt idx="196">
                  <c:v>14.37</c:v>
                </c:pt>
                <c:pt idx="197">
                  <c:v>14.61</c:v>
                </c:pt>
                <c:pt idx="198">
                  <c:v>14.62</c:v>
                </c:pt>
                <c:pt idx="199">
                  <c:v>14.69</c:v>
                </c:pt>
                <c:pt idx="200">
                  <c:v>14.91</c:v>
                </c:pt>
                <c:pt idx="201">
                  <c:v>14.92</c:v>
                </c:pt>
                <c:pt idx="202">
                  <c:v>14.61</c:v>
                </c:pt>
                <c:pt idx="203">
                  <c:v>14.37</c:v>
                </c:pt>
                <c:pt idx="204">
                  <c:v>14.52</c:v>
                </c:pt>
                <c:pt idx="205">
                  <c:v>14.39</c:v>
                </c:pt>
                <c:pt idx="206">
                  <c:v>14.31</c:v>
                </c:pt>
                <c:pt idx="207">
                  <c:v>14.23</c:v>
                </c:pt>
                <c:pt idx="208">
                  <c:v>14.15</c:v>
                </c:pt>
                <c:pt idx="209">
                  <c:v>14.18</c:v>
                </c:pt>
                <c:pt idx="210">
                  <c:v>14.48</c:v>
                </c:pt>
                <c:pt idx="211">
                  <c:v>14.3</c:v>
                </c:pt>
                <c:pt idx="212">
                  <c:v>14.51</c:v>
                </c:pt>
                <c:pt idx="213">
                  <c:v>14.38</c:v>
                </c:pt>
                <c:pt idx="214">
                  <c:v>14.15</c:v>
                </c:pt>
                <c:pt idx="215">
                  <c:v>14.32</c:v>
                </c:pt>
                <c:pt idx="216">
                  <c:v>14.41</c:v>
                </c:pt>
                <c:pt idx="217">
                  <c:v>14.01</c:v>
                </c:pt>
                <c:pt idx="218">
                  <c:v>14.05</c:v>
                </c:pt>
                <c:pt idx="219">
                  <c:v>14.14</c:v>
                </c:pt>
                <c:pt idx="220">
                  <c:v>14.18</c:v>
                </c:pt>
                <c:pt idx="221">
                  <c:v>14.22</c:v>
                </c:pt>
                <c:pt idx="222">
                  <c:v>14.24</c:v>
                </c:pt>
                <c:pt idx="223">
                  <c:v>14.15</c:v>
                </c:pt>
                <c:pt idx="224">
                  <c:v>14.42</c:v>
                </c:pt>
                <c:pt idx="225">
                  <c:v>14.62</c:v>
                </c:pt>
                <c:pt idx="226">
                  <c:v>14.75</c:v>
                </c:pt>
                <c:pt idx="227">
                  <c:v>14.42</c:v>
                </c:pt>
                <c:pt idx="228">
                  <c:v>14.22</c:v>
                </c:pt>
                <c:pt idx="229">
                  <c:v>14.27</c:v>
                </c:pt>
                <c:pt idx="230">
                  <c:v>14.54</c:v>
                </c:pt>
                <c:pt idx="231">
                  <c:v>14.39</c:v>
                </c:pt>
                <c:pt idx="232">
                  <c:v>14.31</c:v>
                </c:pt>
                <c:pt idx="233">
                  <c:v>13.95</c:v>
                </c:pt>
                <c:pt idx="234">
                  <c:v>13.95</c:v>
                </c:pt>
                <c:pt idx="235">
                  <c:v>13.88</c:v>
                </c:pt>
                <c:pt idx="236">
                  <c:v>14.18</c:v>
                </c:pt>
                <c:pt idx="237">
                  <c:v>14.14</c:v>
                </c:pt>
                <c:pt idx="238">
                  <c:v>13.92</c:v>
                </c:pt>
                <c:pt idx="239">
                  <c:v>14.11</c:v>
                </c:pt>
                <c:pt idx="240">
                  <c:v>13.98</c:v>
                </c:pt>
                <c:pt idx="241">
                  <c:v>14.03</c:v>
                </c:pt>
                <c:pt idx="242">
                  <c:v>14</c:v>
                </c:pt>
                <c:pt idx="243">
                  <c:v>14.02</c:v>
                </c:pt>
                <c:pt idx="244">
                  <c:v>14.37</c:v>
                </c:pt>
                <c:pt idx="245">
                  <c:v>14.39</c:v>
                </c:pt>
                <c:pt idx="246">
                  <c:v>14.2</c:v>
                </c:pt>
                <c:pt idx="247">
                  <c:v>14.01</c:v>
                </c:pt>
                <c:pt idx="248">
                  <c:v>13.69</c:v>
                </c:pt>
                <c:pt idx="249">
                  <c:v>13.54</c:v>
                </c:pt>
                <c:pt idx="250">
                  <c:v>13.58</c:v>
                </c:pt>
                <c:pt idx="251">
                  <c:v>13.7</c:v>
                </c:pt>
                <c:pt idx="252">
                  <c:v>13.63</c:v>
                </c:pt>
                <c:pt idx="253">
                  <c:v>13.71</c:v>
                </c:pt>
                <c:pt idx="254">
                  <c:v>13.67</c:v>
                </c:pt>
                <c:pt idx="255">
                  <c:v>13.76</c:v>
                </c:pt>
                <c:pt idx="256">
                  <c:v>13.87</c:v>
                </c:pt>
                <c:pt idx="257">
                  <c:v>14.33</c:v>
                </c:pt>
                <c:pt idx="258">
                  <c:v>14.33</c:v>
                </c:pt>
                <c:pt idx="259">
                  <c:v>14.33</c:v>
                </c:pt>
                <c:pt idx="260">
                  <c:v>14.43</c:v>
                </c:pt>
                <c:pt idx="261">
                  <c:v>14.52</c:v>
                </c:pt>
                <c:pt idx="262">
                  <c:v>14.6</c:v>
                </c:pt>
                <c:pt idx="263">
                  <c:v>14.69</c:v>
                </c:pt>
                <c:pt idx="264">
                  <c:v>14.36</c:v>
                </c:pt>
                <c:pt idx="265">
                  <c:v>14.54</c:v>
                </c:pt>
                <c:pt idx="266">
                  <c:v>14.62</c:v>
                </c:pt>
                <c:pt idx="267">
                  <c:v>14.4</c:v>
                </c:pt>
                <c:pt idx="268">
                  <c:v>14.6</c:v>
                </c:pt>
                <c:pt idx="269">
                  <c:v>14.74</c:v>
                </c:pt>
                <c:pt idx="270">
                  <c:v>14.66</c:v>
                </c:pt>
                <c:pt idx="271">
                  <c:v>14.62</c:v>
                </c:pt>
                <c:pt idx="272">
                  <c:v>14.67</c:v>
                </c:pt>
                <c:pt idx="273">
                  <c:v>14.74</c:v>
                </c:pt>
                <c:pt idx="274">
                  <c:v>14.84</c:v>
                </c:pt>
                <c:pt idx="275">
                  <c:v>14.99</c:v>
                </c:pt>
                <c:pt idx="276">
                  <c:v>15</c:v>
                </c:pt>
                <c:pt idx="277">
                  <c:v>15.08</c:v>
                </c:pt>
                <c:pt idx="278">
                  <c:v>14.3</c:v>
                </c:pt>
                <c:pt idx="279">
                  <c:v>14.25</c:v>
                </c:pt>
                <c:pt idx="280">
                  <c:v>14.04</c:v>
                </c:pt>
                <c:pt idx="281">
                  <c:v>14.02</c:v>
                </c:pt>
                <c:pt idx="282">
                  <c:v>14.01</c:v>
                </c:pt>
                <c:pt idx="283">
                  <c:v>14.02</c:v>
                </c:pt>
                <c:pt idx="284">
                  <c:v>14.17</c:v>
                </c:pt>
                <c:pt idx="285">
                  <c:v>13.95</c:v>
                </c:pt>
                <c:pt idx="286">
                  <c:v>13.91</c:v>
                </c:pt>
                <c:pt idx="287">
                  <c:v>13.88</c:v>
                </c:pt>
                <c:pt idx="288">
                  <c:v>13.89</c:v>
                </c:pt>
                <c:pt idx="289">
                  <c:v>13.76</c:v>
                </c:pt>
                <c:pt idx="290">
                  <c:v>13.71</c:v>
                </c:pt>
                <c:pt idx="291">
                  <c:v>13.57</c:v>
                </c:pt>
                <c:pt idx="292">
                  <c:v>13.73</c:v>
                </c:pt>
                <c:pt idx="293">
                  <c:v>13.7</c:v>
                </c:pt>
                <c:pt idx="294">
                  <c:v>13.84</c:v>
                </c:pt>
                <c:pt idx="295">
                  <c:v>13.75</c:v>
                </c:pt>
                <c:pt idx="296">
                  <c:v>13.55</c:v>
                </c:pt>
                <c:pt idx="297">
                  <c:v>13.3</c:v>
                </c:pt>
                <c:pt idx="298">
                  <c:v>13.44</c:v>
                </c:pt>
                <c:pt idx="299">
                  <c:v>13.56</c:v>
                </c:pt>
                <c:pt idx="300">
                  <c:v>13.65</c:v>
                </c:pt>
                <c:pt idx="301">
                  <c:v>13.73</c:v>
                </c:pt>
                <c:pt idx="302">
                  <c:v>13.93</c:v>
                </c:pt>
                <c:pt idx="303">
                  <c:v>13.93</c:v>
                </c:pt>
                <c:pt idx="304">
                  <c:v>13.9</c:v>
                </c:pt>
                <c:pt idx="305">
                  <c:v>13.99</c:v>
                </c:pt>
                <c:pt idx="306">
                  <c:v>14.39</c:v>
                </c:pt>
                <c:pt idx="307">
                  <c:v>14.53</c:v>
                </c:pt>
                <c:pt idx="308">
                  <c:v>14.94</c:v>
                </c:pt>
                <c:pt idx="309">
                  <c:v>14.56</c:v>
                </c:pt>
                <c:pt idx="310">
                  <c:v>15</c:v>
                </c:pt>
                <c:pt idx="311">
                  <c:v>14.81</c:v>
                </c:pt>
                <c:pt idx="312">
                  <c:v>14.52</c:v>
                </c:pt>
                <c:pt idx="313">
                  <c:v>14.73</c:v>
                </c:pt>
                <c:pt idx="314">
                  <c:v>14.71</c:v>
                </c:pt>
                <c:pt idx="315">
                  <c:v>14.54</c:v>
                </c:pt>
                <c:pt idx="316">
                  <c:v>14.58</c:v>
                </c:pt>
                <c:pt idx="317">
                  <c:v>14.61</c:v>
                </c:pt>
                <c:pt idx="318">
                  <c:v>14.1</c:v>
                </c:pt>
                <c:pt idx="319">
                  <c:v>14.35</c:v>
                </c:pt>
                <c:pt idx="320">
                  <c:v>14.47</c:v>
                </c:pt>
                <c:pt idx="321">
                  <c:v>14.45</c:v>
                </c:pt>
                <c:pt idx="322">
                  <c:v>14.51</c:v>
                </c:pt>
                <c:pt idx="323">
                  <c:v>14.53</c:v>
                </c:pt>
                <c:pt idx="324">
                  <c:v>14.43</c:v>
                </c:pt>
                <c:pt idx="325">
                  <c:v>14.45</c:v>
                </c:pt>
                <c:pt idx="326">
                  <c:v>14.64</c:v>
                </c:pt>
                <c:pt idx="327">
                  <c:v>14.67</c:v>
                </c:pt>
                <c:pt idx="328">
                  <c:v>14.76</c:v>
                </c:pt>
                <c:pt idx="329">
                  <c:v>14.38</c:v>
                </c:pt>
                <c:pt idx="330">
                  <c:v>14.38</c:v>
                </c:pt>
                <c:pt idx="331">
                  <c:v>14.81</c:v>
                </c:pt>
                <c:pt idx="332">
                  <c:v>14.3</c:v>
                </c:pt>
                <c:pt idx="333">
                  <c:v>14.49</c:v>
                </c:pt>
                <c:pt idx="334">
                  <c:v>14.39</c:v>
                </c:pt>
                <c:pt idx="335">
                  <c:v>14.49</c:v>
                </c:pt>
                <c:pt idx="336">
                  <c:v>14.66</c:v>
                </c:pt>
                <c:pt idx="337">
                  <c:v>14.36</c:v>
                </c:pt>
                <c:pt idx="338">
                  <c:v>14.81</c:v>
                </c:pt>
                <c:pt idx="339">
                  <c:v>15.13</c:v>
                </c:pt>
                <c:pt idx="340">
                  <c:v>15.12</c:v>
                </c:pt>
                <c:pt idx="341">
                  <c:v>14.95</c:v>
                </c:pt>
                <c:pt idx="342">
                  <c:v>14.83</c:v>
                </c:pt>
                <c:pt idx="343">
                  <c:v>14.37</c:v>
                </c:pt>
                <c:pt idx="344">
                  <c:v>14.85</c:v>
                </c:pt>
                <c:pt idx="345">
                  <c:v>14.85</c:v>
                </c:pt>
                <c:pt idx="346">
                  <c:v>14.82</c:v>
                </c:pt>
                <c:pt idx="347">
                  <c:v>14.88</c:v>
                </c:pt>
                <c:pt idx="348">
                  <c:v>14.98</c:v>
                </c:pt>
                <c:pt idx="349">
                  <c:v>15.35</c:v>
                </c:pt>
                <c:pt idx="350">
                  <c:v>15.35</c:v>
                </c:pt>
                <c:pt idx="351">
                  <c:v>15.25</c:v>
                </c:pt>
                <c:pt idx="352">
                  <c:v>15.15</c:v>
                </c:pt>
                <c:pt idx="353">
                  <c:v>15</c:v>
                </c:pt>
                <c:pt idx="354">
                  <c:v>14.62</c:v>
                </c:pt>
                <c:pt idx="355">
                  <c:v>14.23</c:v>
                </c:pt>
                <c:pt idx="356">
                  <c:v>14.17</c:v>
                </c:pt>
                <c:pt idx="357">
                  <c:v>14.15</c:v>
                </c:pt>
                <c:pt idx="358">
                  <c:v>13.87</c:v>
                </c:pt>
                <c:pt idx="359">
                  <c:v>14</c:v>
                </c:pt>
                <c:pt idx="360">
                  <c:v>14.16</c:v>
                </c:pt>
                <c:pt idx="361">
                  <c:v>14.31</c:v>
                </c:pt>
                <c:pt idx="362">
                  <c:v>14.74</c:v>
                </c:pt>
                <c:pt idx="363">
                  <c:v>14.84</c:v>
                </c:pt>
                <c:pt idx="364">
                  <c:v>15.04</c:v>
                </c:pt>
                <c:pt idx="365">
                  <c:v>15.03</c:v>
                </c:pt>
                <c:pt idx="366">
                  <c:v>14.91</c:v>
                </c:pt>
                <c:pt idx="367">
                  <c:v>15.25</c:v>
                </c:pt>
                <c:pt idx="368">
                  <c:v>15.28</c:v>
                </c:pt>
                <c:pt idx="369">
                  <c:v>15.37</c:v>
                </c:pt>
                <c:pt idx="370">
                  <c:v>15.33</c:v>
                </c:pt>
                <c:pt idx="371">
                  <c:v>15.09</c:v>
                </c:pt>
                <c:pt idx="372">
                  <c:v>14.64</c:v>
                </c:pt>
                <c:pt idx="373">
                  <c:v>14.48</c:v>
                </c:pt>
                <c:pt idx="374">
                  <c:v>14.45</c:v>
                </c:pt>
                <c:pt idx="375">
                  <c:v>14.6</c:v>
                </c:pt>
                <c:pt idx="376">
                  <c:v>14.64</c:v>
                </c:pt>
                <c:pt idx="377">
                  <c:v>14.65</c:v>
                </c:pt>
                <c:pt idx="378">
                  <c:v>14.56</c:v>
                </c:pt>
                <c:pt idx="379">
                  <c:v>15.13</c:v>
                </c:pt>
                <c:pt idx="380">
                  <c:v>14.82</c:v>
                </c:pt>
                <c:pt idx="381">
                  <c:v>14.59</c:v>
                </c:pt>
                <c:pt idx="382">
                  <c:v>14.63</c:v>
                </c:pt>
                <c:pt idx="383">
                  <c:v>14.65</c:v>
                </c:pt>
                <c:pt idx="384">
                  <c:v>14.86</c:v>
                </c:pt>
                <c:pt idx="385">
                  <c:v>14.67</c:v>
                </c:pt>
                <c:pt idx="386">
                  <c:v>14.69</c:v>
                </c:pt>
                <c:pt idx="387">
                  <c:v>14.81</c:v>
                </c:pt>
                <c:pt idx="388">
                  <c:v>14.45</c:v>
                </c:pt>
                <c:pt idx="389">
                  <c:v>14.37</c:v>
                </c:pt>
                <c:pt idx="390">
                  <c:v>14.94</c:v>
                </c:pt>
                <c:pt idx="391">
                  <c:v>14.38</c:v>
                </c:pt>
                <c:pt idx="392">
                  <c:v>14.36</c:v>
                </c:pt>
                <c:pt idx="393">
                  <c:v>14.49</c:v>
                </c:pt>
                <c:pt idx="394">
                  <c:v>14.49</c:v>
                </c:pt>
                <c:pt idx="395">
                  <c:v>14.16</c:v>
                </c:pt>
                <c:pt idx="396">
                  <c:v>14.41</c:v>
                </c:pt>
                <c:pt idx="397">
                  <c:v>14.47</c:v>
                </c:pt>
                <c:pt idx="398">
                  <c:v>14.6</c:v>
                </c:pt>
                <c:pt idx="399">
                  <c:v>14.15</c:v>
                </c:pt>
                <c:pt idx="400">
                  <c:v>13.99</c:v>
                </c:pt>
                <c:pt idx="401">
                  <c:v>14.31</c:v>
                </c:pt>
                <c:pt idx="402">
                  <c:v>14.32</c:v>
                </c:pt>
                <c:pt idx="403">
                  <c:v>14.42</c:v>
                </c:pt>
                <c:pt idx="404">
                  <c:v>14.36</c:v>
                </c:pt>
                <c:pt idx="405">
                  <c:v>14.71</c:v>
                </c:pt>
                <c:pt idx="406">
                  <c:v>14.43</c:v>
                </c:pt>
                <c:pt idx="407">
                  <c:v>14.71</c:v>
                </c:pt>
                <c:pt idx="408">
                  <c:v>14.48</c:v>
                </c:pt>
                <c:pt idx="409">
                  <c:v>14.41</c:v>
                </c:pt>
                <c:pt idx="410">
                  <c:v>14.44</c:v>
                </c:pt>
                <c:pt idx="411">
                  <c:v>14.35</c:v>
                </c:pt>
                <c:pt idx="412">
                  <c:v>14.22</c:v>
                </c:pt>
                <c:pt idx="413">
                  <c:v>13.98</c:v>
                </c:pt>
                <c:pt idx="414">
                  <c:v>13.99</c:v>
                </c:pt>
                <c:pt idx="415">
                  <c:v>13.68</c:v>
                </c:pt>
                <c:pt idx="416">
                  <c:v>13.76</c:v>
                </c:pt>
                <c:pt idx="417">
                  <c:v>13.87</c:v>
                </c:pt>
                <c:pt idx="418">
                  <c:v>14.13</c:v>
                </c:pt>
                <c:pt idx="419">
                  <c:v>14.49</c:v>
                </c:pt>
                <c:pt idx="420">
                  <c:v>14.62</c:v>
                </c:pt>
                <c:pt idx="421">
                  <c:v>14.7</c:v>
                </c:pt>
                <c:pt idx="422">
                  <c:v>14.94</c:v>
                </c:pt>
                <c:pt idx="423">
                  <c:v>15.14</c:v>
                </c:pt>
                <c:pt idx="424">
                  <c:v>15.05</c:v>
                </c:pt>
                <c:pt idx="425">
                  <c:v>15.06</c:v>
                </c:pt>
                <c:pt idx="426">
                  <c:v>15.29</c:v>
                </c:pt>
                <c:pt idx="427">
                  <c:v>15.56</c:v>
                </c:pt>
                <c:pt idx="428">
                  <c:v>15.46</c:v>
                </c:pt>
                <c:pt idx="429">
                  <c:v>15.66</c:v>
                </c:pt>
                <c:pt idx="430">
                  <c:v>15.86</c:v>
                </c:pt>
                <c:pt idx="431">
                  <c:v>15.36</c:v>
                </c:pt>
                <c:pt idx="432">
                  <c:v>15.19</c:v>
                </c:pt>
                <c:pt idx="433">
                  <c:v>15.2</c:v>
                </c:pt>
                <c:pt idx="434">
                  <c:v>15.16</c:v>
                </c:pt>
                <c:pt idx="435">
                  <c:v>15.16</c:v>
                </c:pt>
                <c:pt idx="436">
                  <c:v>14.99</c:v>
                </c:pt>
                <c:pt idx="437">
                  <c:v>15.35</c:v>
                </c:pt>
                <c:pt idx="438">
                  <c:v>15.03</c:v>
                </c:pt>
                <c:pt idx="439">
                  <c:v>15.22</c:v>
                </c:pt>
                <c:pt idx="440">
                  <c:v>15.3</c:v>
                </c:pt>
                <c:pt idx="441">
                  <c:v>15.25</c:v>
                </c:pt>
                <c:pt idx="442">
                  <c:v>15.05</c:v>
                </c:pt>
                <c:pt idx="443">
                  <c:v>15.32</c:v>
                </c:pt>
                <c:pt idx="444">
                  <c:v>15.07</c:v>
                </c:pt>
                <c:pt idx="445">
                  <c:v>15.13</c:v>
                </c:pt>
                <c:pt idx="446">
                  <c:v>15.12</c:v>
                </c:pt>
                <c:pt idx="447">
                  <c:v>14.88</c:v>
                </c:pt>
                <c:pt idx="448">
                  <c:v>15.02</c:v>
                </c:pt>
                <c:pt idx="449">
                  <c:v>14.96</c:v>
                </c:pt>
                <c:pt idx="450">
                  <c:v>15.01</c:v>
                </c:pt>
                <c:pt idx="451">
                  <c:v>14.87</c:v>
                </c:pt>
                <c:pt idx="452">
                  <c:v>15.04</c:v>
                </c:pt>
                <c:pt idx="453">
                  <c:v>14.68</c:v>
                </c:pt>
                <c:pt idx="454">
                  <c:v>14.72</c:v>
                </c:pt>
                <c:pt idx="455">
                  <c:v>14.47</c:v>
                </c:pt>
                <c:pt idx="456">
                  <c:v>14.57</c:v>
                </c:pt>
                <c:pt idx="457">
                  <c:v>14.37</c:v>
                </c:pt>
                <c:pt idx="458">
                  <c:v>14.39</c:v>
                </c:pt>
                <c:pt idx="459">
                  <c:v>15.46</c:v>
                </c:pt>
                <c:pt idx="460">
                  <c:v>15.44</c:v>
                </c:pt>
                <c:pt idx="461">
                  <c:v>15.57</c:v>
                </c:pt>
                <c:pt idx="462">
                  <c:v>15.57</c:v>
                </c:pt>
                <c:pt idx="463">
                  <c:v>15.81</c:v>
                </c:pt>
                <c:pt idx="464">
                  <c:v>15.7</c:v>
                </c:pt>
                <c:pt idx="465">
                  <c:v>16.05</c:v>
                </c:pt>
                <c:pt idx="466">
                  <c:v>15.77</c:v>
                </c:pt>
                <c:pt idx="467">
                  <c:v>15.79</c:v>
                </c:pt>
                <c:pt idx="468">
                  <c:v>15.76</c:v>
                </c:pt>
                <c:pt idx="469">
                  <c:v>16.01</c:v>
                </c:pt>
                <c:pt idx="470">
                  <c:v>16.03</c:v>
                </c:pt>
                <c:pt idx="471">
                  <c:v>16.03</c:v>
                </c:pt>
                <c:pt idx="472">
                  <c:v>16.09</c:v>
                </c:pt>
                <c:pt idx="473">
                  <c:v>16.69</c:v>
                </c:pt>
                <c:pt idx="474">
                  <c:v>17.45</c:v>
                </c:pt>
                <c:pt idx="475">
                  <c:v>17.15</c:v>
                </c:pt>
                <c:pt idx="476">
                  <c:v>16.78</c:v>
                </c:pt>
                <c:pt idx="477">
                  <c:v>16.9</c:v>
                </c:pt>
                <c:pt idx="478">
                  <c:v>16.72</c:v>
                </c:pt>
                <c:pt idx="479">
                  <c:v>16.26</c:v>
                </c:pt>
                <c:pt idx="480">
                  <c:v>15.97</c:v>
                </c:pt>
                <c:pt idx="481">
                  <c:v>16.16</c:v>
                </c:pt>
                <c:pt idx="482">
                  <c:v>16.28</c:v>
                </c:pt>
                <c:pt idx="483">
                  <c:v>16.29</c:v>
                </c:pt>
                <c:pt idx="484">
                  <c:v>16.4</c:v>
                </c:pt>
                <c:pt idx="485">
                  <c:v>16.49</c:v>
                </c:pt>
                <c:pt idx="486">
                  <c:v>16.75</c:v>
                </c:pt>
                <c:pt idx="487">
                  <c:v>16.7</c:v>
                </c:pt>
                <c:pt idx="488">
                  <c:v>16.6</c:v>
                </c:pt>
                <c:pt idx="489">
                  <c:v>16.55</c:v>
                </c:pt>
                <c:pt idx="490">
                  <c:v>16.24</c:v>
                </c:pt>
                <c:pt idx="491">
                  <c:v>16.38</c:v>
                </c:pt>
                <c:pt idx="492">
                  <c:v>16</c:v>
                </c:pt>
                <c:pt idx="493">
                  <c:v>16.13</c:v>
                </c:pt>
                <c:pt idx="494">
                  <c:v>16.29</c:v>
                </c:pt>
                <c:pt idx="495">
                  <c:v>16.44</c:v>
                </c:pt>
                <c:pt idx="496">
                  <c:v>16.84</c:v>
                </c:pt>
                <c:pt idx="497">
                  <c:v>16.86</c:v>
                </c:pt>
                <c:pt idx="498">
                  <c:v>16.73</c:v>
                </c:pt>
                <c:pt idx="499">
                  <c:v>16.82</c:v>
                </c:pt>
                <c:pt idx="500">
                  <c:v>16.95</c:v>
                </c:pt>
                <c:pt idx="501">
                  <c:v>16.78</c:v>
                </c:pt>
                <c:pt idx="502">
                  <c:v>16.73</c:v>
                </c:pt>
                <c:pt idx="503">
                  <c:v>16.7</c:v>
                </c:pt>
                <c:pt idx="504">
                  <c:v>16.57</c:v>
                </c:pt>
                <c:pt idx="505">
                  <c:v>16.57</c:v>
                </c:pt>
                <c:pt idx="506">
                  <c:v>16.36</c:v>
                </c:pt>
                <c:pt idx="507">
                  <c:v>16.37</c:v>
                </c:pt>
                <c:pt idx="508">
                  <c:v>16.34</c:v>
                </c:pt>
                <c:pt idx="509">
                  <c:v>16.3</c:v>
                </c:pt>
                <c:pt idx="510">
                  <c:v>16.43</c:v>
                </c:pt>
                <c:pt idx="511">
                  <c:v>16.3</c:v>
                </c:pt>
                <c:pt idx="512">
                  <c:v>16.07</c:v>
                </c:pt>
                <c:pt idx="513">
                  <c:v>16.21</c:v>
                </c:pt>
                <c:pt idx="514">
                  <c:v>16.31</c:v>
                </c:pt>
                <c:pt idx="515">
                  <c:v>16.53</c:v>
                </c:pt>
                <c:pt idx="516">
                  <c:v>16.64</c:v>
                </c:pt>
                <c:pt idx="517">
                  <c:v>16.65</c:v>
                </c:pt>
                <c:pt idx="518">
                  <c:v>16.8</c:v>
                </c:pt>
                <c:pt idx="519">
                  <c:v>16.81</c:v>
                </c:pt>
                <c:pt idx="520">
                  <c:v>16.92</c:v>
                </c:pt>
                <c:pt idx="521">
                  <c:v>16.88</c:v>
                </c:pt>
                <c:pt idx="522">
                  <c:v>16.92</c:v>
                </c:pt>
                <c:pt idx="523">
                  <c:v>16.99</c:v>
                </c:pt>
                <c:pt idx="524">
                  <c:v>16.98</c:v>
                </c:pt>
                <c:pt idx="525">
                  <c:v>16.98</c:v>
                </c:pt>
                <c:pt idx="526">
                  <c:v>16.89</c:v>
                </c:pt>
                <c:pt idx="527">
                  <c:v>17.18</c:v>
                </c:pt>
                <c:pt idx="528">
                  <c:v>17.27</c:v>
                </c:pt>
                <c:pt idx="529">
                  <c:v>17.4</c:v>
                </c:pt>
                <c:pt idx="530">
                  <c:v>17.47</c:v>
                </c:pt>
                <c:pt idx="531">
                  <c:v>17.38</c:v>
                </c:pt>
                <c:pt idx="532">
                  <c:v>16.53</c:v>
                </c:pt>
                <c:pt idx="533">
                  <c:v>16.06</c:v>
                </c:pt>
                <c:pt idx="534">
                  <c:v>16.08</c:v>
                </c:pt>
                <c:pt idx="535">
                  <c:v>16.34</c:v>
                </c:pt>
                <c:pt idx="536">
                  <c:v>16.72</c:v>
                </c:pt>
                <c:pt idx="537">
                  <c:v>16.52</c:v>
                </c:pt>
                <c:pt idx="538">
                  <c:v>16.17</c:v>
                </c:pt>
                <c:pt idx="539">
                  <c:v>16.12</c:v>
                </c:pt>
                <c:pt idx="540">
                  <c:v>16.35</c:v>
                </c:pt>
                <c:pt idx="541">
                  <c:v>15.38</c:v>
                </c:pt>
                <c:pt idx="542">
                  <c:v>14.43</c:v>
                </c:pt>
                <c:pt idx="543">
                  <c:v>14.3</c:v>
                </c:pt>
                <c:pt idx="544">
                  <c:v>14.25</c:v>
                </c:pt>
                <c:pt idx="545">
                  <c:v>14.36</c:v>
                </c:pt>
                <c:pt idx="546">
                  <c:v>14.36</c:v>
                </c:pt>
                <c:pt idx="547">
                  <c:v>14.73</c:v>
                </c:pt>
                <c:pt idx="548">
                  <c:v>15</c:v>
                </c:pt>
                <c:pt idx="549">
                  <c:v>15.05</c:v>
                </c:pt>
                <c:pt idx="550">
                  <c:v>15.24</c:v>
                </c:pt>
                <c:pt idx="551">
                  <c:v>15.39</c:v>
                </c:pt>
                <c:pt idx="552">
                  <c:v>15.67</c:v>
                </c:pt>
                <c:pt idx="553">
                  <c:v>15.71</c:v>
                </c:pt>
                <c:pt idx="554">
                  <c:v>15.48</c:v>
                </c:pt>
                <c:pt idx="555">
                  <c:v>15.02</c:v>
                </c:pt>
                <c:pt idx="556">
                  <c:v>15.47</c:v>
                </c:pt>
                <c:pt idx="557">
                  <c:v>15.58</c:v>
                </c:pt>
                <c:pt idx="558">
                  <c:v>16.03</c:v>
                </c:pt>
                <c:pt idx="559">
                  <c:v>16.25</c:v>
                </c:pt>
                <c:pt idx="560">
                  <c:v>15.79</c:v>
                </c:pt>
                <c:pt idx="561">
                  <c:v>15.43</c:v>
                </c:pt>
                <c:pt idx="562">
                  <c:v>15.65</c:v>
                </c:pt>
                <c:pt idx="563">
                  <c:v>15.65</c:v>
                </c:pt>
                <c:pt idx="564">
                  <c:v>15.59</c:v>
                </c:pt>
                <c:pt idx="565">
                  <c:v>15.93</c:v>
                </c:pt>
                <c:pt idx="566">
                  <c:v>15.93</c:v>
                </c:pt>
                <c:pt idx="567">
                  <c:v>16.51</c:v>
                </c:pt>
                <c:pt idx="568">
                  <c:v>16.32</c:v>
                </c:pt>
                <c:pt idx="569">
                  <c:v>16.39</c:v>
                </c:pt>
                <c:pt idx="570">
                  <c:v>16.46</c:v>
                </c:pt>
                <c:pt idx="571">
                  <c:v>15.51</c:v>
                </c:pt>
                <c:pt idx="572">
                  <c:v>15.51</c:v>
                </c:pt>
                <c:pt idx="573">
                  <c:v>15.46</c:v>
                </c:pt>
                <c:pt idx="574">
                  <c:v>15.16</c:v>
                </c:pt>
                <c:pt idx="575">
                  <c:v>15.05</c:v>
                </c:pt>
                <c:pt idx="576">
                  <c:v>15.12</c:v>
                </c:pt>
                <c:pt idx="577">
                  <c:v>15.29</c:v>
                </c:pt>
                <c:pt idx="578">
                  <c:v>14.75</c:v>
                </c:pt>
                <c:pt idx="579">
                  <c:v>14.46</c:v>
                </c:pt>
                <c:pt idx="580">
                  <c:v>14.16</c:v>
                </c:pt>
                <c:pt idx="581">
                  <c:v>14.2</c:v>
                </c:pt>
                <c:pt idx="582">
                  <c:v>13.87</c:v>
                </c:pt>
                <c:pt idx="583">
                  <c:v>13.68</c:v>
                </c:pt>
                <c:pt idx="584">
                  <c:v>13.56</c:v>
                </c:pt>
                <c:pt idx="585">
                  <c:v>13.43</c:v>
                </c:pt>
                <c:pt idx="586">
                  <c:v>13.43</c:v>
                </c:pt>
                <c:pt idx="587">
                  <c:v>14.09</c:v>
                </c:pt>
                <c:pt idx="588">
                  <c:v>14.18</c:v>
                </c:pt>
                <c:pt idx="589">
                  <c:v>13.97</c:v>
                </c:pt>
                <c:pt idx="590">
                  <c:v>13.9</c:v>
                </c:pt>
                <c:pt idx="591">
                  <c:v>13.9</c:v>
                </c:pt>
                <c:pt idx="592">
                  <c:v>13.88</c:v>
                </c:pt>
                <c:pt idx="593">
                  <c:v>13.34</c:v>
                </c:pt>
                <c:pt idx="594">
                  <c:v>13.95</c:v>
                </c:pt>
                <c:pt idx="595">
                  <c:v>13.79</c:v>
                </c:pt>
                <c:pt idx="596">
                  <c:v>14.1</c:v>
                </c:pt>
                <c:pt idx="597">
                  <c:v>14.08</c:v>
                </c:pt>
                <c:pt idx="598">
                  <c:v>14.2</c:v>
                </c:pt>
                <c:pt idx="599">
                  <c:v>14.14</c:v>
                </c:pt>
                <c:pt idx="600">
                  <c:v>14.01</c:v>
                </c:pt>
                <c:pt idx="601">
                  <c:v>13.96</c:v>
                </c:pt>
                <c:pt idx="602">
                  <c:v>13.98</c:v>
                </c:pt>
                <c:pt idx="603">
                  <c:v>14.23</c:v>
                </c:pt>
                <c:pt idx="604">
                  <c:v>14.43</c:v>
                </c:pt>
                <c:pt idx="605">
                  <c:v>14.43</c:v>
                </c:pt>
                <c:pt idx="606">
                  <c:v>14.16</c:v>
                </c:pt>
                <c:pt idx="607">
                  <c:v>14.24</c:v>
                </c:pt>
                <c:pt idx="608">
                  <c:v>14.34</c:v>
                </c:pt>
                <c:pt idx="609">
                  <c:v>14.78</c:v>
                </c:pt>
                <c:pt idx="610">
                  <c:v>14.9</c:v>
                </c:pt>
                <c:pt idx="611">
                  <c:v>15.17</c:v>
                </c:pt>
                <c:pt idx="612">
                  <c:v>15.3</c:v>
                </c:pt>
                <c:pt idx="613">
                  <c:v>15.01</c:v>
                </c:pt>
                <c:pt idx="614">
                  <c:v>14.95</c:v>
                </c:pt>
                <c:pt idx="615">
                  <c:v>15.01</c:v>
                </c:pt>
                <c:pt idx="616">
                  <c:v>15.01</c:v>
                </c:pt>
                <c:pt idx="617">
                  <c:v>14.79</c:v>
                </c:pt>
                <c:pt idx="618">
                  <c:v>14.63</c:v>
                </c:pt>
                <c:pt idx="619">
                  <c:v>14.44</c:v>
                </c:pt>
                <c:pt idx="620">
                  <c:v>14.56</c:v>
                </c:pt>
                <c:pt idx="621">
                  <c:v>14.75</c:v>
                </c:pt>
                <c:pt idx="622">
                  <c:v>14.86</c:v>
                </c:pt>
                <c:pt idx="623">
                  <c:v>15.12</c:v>
                </c:pt>
                <c:pt idx="624">
                  <c:v>15.38</c:v>
                </c:pt>
                <c:pt idx="625">
                  <c:v>15.38</c:v>
                </c:pt>
                <c:pt idx="626">
                  <c:v>15.46</c:v>
                </c:pt>
                <c:pt idx="627">
                  <c:v>15.66</c:v>
                </c:pt>
                <c:pt idx="628">
                  <c:v>15.25</c:v>
                </c:pt>
                <c:pt idx="629">
                  <c:v>15.36</c:v>
                </c:pt>
                <c:pt idx="630">
                  <c:v>15.54</c:v>
                </c:pt>
                <c:pt idx="631">
                  <c:v>15.47</c:v>
                </c:pt>
                <c:pt idx="632">
                  <c:v>15.53</c:v>
                </c:pt>
                <c:pt idx="633">
                  <c:v>15.72</c:v>
                </c:pt>
                <c:pt idx="634">
                  <c:v>15.35</c:v>
                </c:pt>
                <c:pt idx="635">
                  <c:v>15.32</c:v>
                </c:pt>
                <c:pt idx="636">
                  <c:v>15.16</c:v>
                </c:pt>
                <c:pt idx="637">
                  <c:v>14.9</c:v>
                </c:pt>
                <c:pt idx="638">
                  <c:v>14.91</c:v>
                </c:pt>
                <c:pt idx="639">
                  <c:v>14.86</c:v>
                </c:pt>
                <c:pt idx="640">
                  <c:v>15.01</c:v>
                </c:pt>
                <c:pt idx="641">
                  <c:v>15.01</c:v>
                </c:pt>
                <c:pt idx="642">
                  <c:v>15.13</c:v>
                </c:pt>
                <c:pt idx="643">
                  <c:v>14.88</c:v>
                </c:pt>
                <c:pt idx="644">
                  <c:v>14.87</c:v>
                </c:pt>
                <c:pt idx="645">
                  <c:v>15.14</c:v>
                </c:pt>
                <c:pt idx="646">
                  <c:v>15.11</c:v>
                </c:pt>
                <c:pt idx="647">
                  <c:v>15.06</c:v>
                </c:pt>
                <c:pt idx="648">
                  <c:v>15.36</c:v>
                </c:pt>
                <c:pt idx="649">
                  <c:v>14.25</c:v>
                </c:pt>
                <c:pt idx="650">
                  <c:v>14.19</c:v>
                </c:pt>
                <c:pt idx="651">
                  <c:v>14.66</c:v>
                </c:pt>
                <c:pt idx="652">
                  <c:v>14.82</c:v>
                </c:pt>
                <c:pt idx="653">
                  <c:v>14.85</c:v>
                </c:pt>
                <c:pt idx="654">
                  <c:v>15.06</c:v>
                </c:pt>
                <c:pt idx="655">
                  <c:v>15.32</c:v>
                </c:pt>
                <c:pt idx="656">
                  <c:v>15.24</c:v>
                </c:pt>
                <c:pt idx="657">
                  <c:v>15.28</c:v>
                </c:pt>
                <c:pt idx="658">
                  <c:v>15.47</c:v>
                </c:pt>
                <c:pt idx="659">
                  <c:v>15.55</c:v>
                </c:pt>
                <c:pt idx="660">
                  <c:v>15.35</c:v>
                </c:pt>
                <c:pt idx="661">
                  <c:v>15.05</c:v>
                </c:pt>
                <c:pt idx="662">
                  <c:v>15.21</c:v>
                </c:pt>
                <c:pt idx="663">
                  <c:v>15.32</c:v>
                </c:pt>
                <c:pt idx="664">
                  <c:v>15.73</c:v>
                </c:pt>
                <c:pt idx="665">
                  <c:v>15.28</c:v>
                </c:pt>
                <c:pt idx="666">
                  <c:v>15.47</c:v>
                </c:pt>
                <c:pt idx="667">
                  <c:v>15.32</c:v>
                </c:pt>
                <c:pt idx="668">
                  <c:v>15.49</c:v>
                </c:pt>
                <c:pt idx="669">
                  <c:v>15.49</c:v>
                </c:pt>
                <c:pt idx="670">
                  <c:v>15.28</c:v>
                </c:pt>
                <c:pt idx="671">
                  <c:v>15.46</c:v>
                </c:pt>
                <c:pt idx="672">
                  <c:v>15.52</c:v>
                </c:pt>
                <c:pt idx="673">
                  <c:v>14.89</c:v>
                </c:pt>
                <c:pt idx="674">
                  <c:v>15.28</c:v>
                </c:pt>
                <c:pt idx="675">
                  <c:v>15.25</c:v>
                </c:pt>
                <c:pt idx="676">
                  <c:v>15.16</c:v>
                </c:pt>
                <c:pt idx="677">
                  <c:v>15.13</c:v>
                </c:pt>
                <c:pt idx="678">
                  <c:v>15.05</c:v>
                </c:pt>
                <c:pt idx="679">
                  <c:v>15.38</c:v>
                </c:pt>
                <c:pt idx="680">
                  <c:v>15.21</c:v>
                </c:pt>
                <c:pt idx="681">
                  <c:v>14.8</c:v>
                </c:pt>
                <c:pt idx="682">
                  <c:v>14.74</c:v>
                </c:pt>
                <c:pt idx="683">
                  <c:v>14.85</c:v>
                </c:pt>
                <c:pt idx="684">
                  <c:v>14.96</c:v>
                </c:pt>
                <c:pt idx="685">
                  <c:v>14.81</c:v>
                </c:pt>
                <c:pt idx="686">
                  <c:v>15.04</c:v>
                </c:pt>
                <c:pt idx="687">
                  <c:v>15.18</c:v>
                </c:pt>
                <c:pt idx="688">
                  <c:v>15.22</c:v>
                </c:pt>
                <c:pt idx="689">
                  <c:v>15.12</c:v>
                </c:pt>
                <c:pt idx="690">
                  <c:v>14.87</c:v>
                </c:pt>
                <c:pt idx="691">
                  <c:v>15.04</c:v>
                </c:pt>
                <c:pt idx="692">
                  <c:v>14.74</c:v>
                </c:pt>
                <c:pt idx="693">
                  <c:v>14.42</c:v>
                </c:pt>
                <c:pt idx="694">
                  <c:v>14.38</c:v>
                </c:pt>
                <c:pt idx="695">
                  <c:v>14.37</c:v>
                </c:pt>
                <c:pt idx="696">
                  <c:v>14.39</c:v>
                </c:pt>
                <c:pt idx="697">
                  <c:v>14.22</c:v>
                </c:pt>
                <c:pt idx="698">
                  <c:v>14.15</c:v>
                </c:pt>
                <c:pt idx="699">
                  <c:v>13.69</c:v>
                </c:pt>
                <c:pt idx="700">
                  <c:v>13.89</c:v>
                </c:pt>
                <c:pt idx="701">
                  <c:v>14.44</c:v>
                </c:pt>
                <c:pt idx="702">
                  <c:v>14.38</c:v>
                </c:pt>
                <c:pt idx="703">
                  <c:v>14.42</c:v>
                </c:pt>
                <c:pt idx="704">
                  <c:v>14.57</c:v>
                </c:pt>
                <c:pt idx="705">
                  <c:v>14.74</c:v>
                </c:pt>
                <c:pt idx="706">
                  <c:v>14.75</c:v>
                </c:pt>
                <c:pt idx="707">
                  <c:v>14.66</c:v>
                </c:pt>
                <c:pt idx="708">
                  <c:v>14.65</c:v>
                </c:pt>
                <c:pt idx="709">
                  <c:v>14.49</c:v>
                </c:pt>
                <c:pt idx="710">
                  <c:v>14.24</c:v>
                </c:pt>
                <c:pt idx="711">
                  <c:v>14.78</c:v>
                </c:pt>
                <c:pt idx="712">
                  <c:v>14.88</c:v>
                </c:pt>
                <c:pt idx="713">
                  <c:v>15.17</c:v>
                </c:pt>
                <c:pt idx="714">
                  <c:v>15.16</c:v>
                </c:pt>
                <c:pt idx="715">
                  <c:v>14.75</c:v>
                </c:pt>
                <c:pt idx="716">
                  <c:v>14.81</c:v>
                </c:pt>
                <c:pt idx="717">
                  <c:v>14.93</c:v>
                </c:pt>
                <c:pt idx="718">
                  <c:v>15.2</c:v>
                </c:pt>
                <c:pt idx="719">
                  <c:v>15.51</c:v>
                </c:pt>
                <c:pt idx="720">
                  <c:v>15.44</c:v>
                </c:pt>
                <c:pt idx="721">
                  <c:v>15.1</c:v>
                </c:pt>
                <c:pt idx="722">
                  <c:v>15.13</c:v>
                </c:pt>
                <c:pt idx="723">
                  <c:v>15.13</c:v>
                </c:pt>
                <c:pt idx="724">
                  <c:v>15.23</c:v>
                </c:pt>
                <c:pt idx="725">
                  <c:v>14.99</c:v>
                </c:pt>
                <c:pt idx="726">
                  <c:v>14.74</c:v>
                </c:pt>
                <c:pt idx="727">
                  <c:v>14.65</c:v>
                </c:pt>
                <c:pt idx="728">
                  <c:v>14.75</c:v>
                </c:pt>
                <c:pt idx="729">
                  <c:v>15.08</c:v>
                </c:pt>
                <c:pt idx="730">
                  <c:v>14.81</c:v>
                </c:pt>
                <c:pt idx="731">
                  <c:v>14.99</c:v>
                </c:pt>
                <c:pt idx="732">
                  <c:v>14.87</c:v>
                </c:pt>
                <c:pt idx="733">
                  <c:v>15.09</c:v>
                </c:pt>
                <c:pt idx="734">
                  <c:v>14.55</c:v>
                </c:pt>
                <c:pt idx="735">
                  <c:v>14.79</c:v>
                </c:pt>
                <c:pt idx="736">
                  <c:v>14.84</c:v>
                </c:pt>
                <c:pt idx="737">
                  <c:v>15.07</c:v>
                </c:pt>
                <c:pt idx="738">
                  <c:v>14.82</c:v>
                </c:pt>
                <c:pt idx="739">
                  <c:v>14.93</c:v>
                </c:pt>
                <c:pt idx="740">
                  <c:v>14.91</c:v>
                </c:pt>
                <c:pt idx="741">
                  <c:v>15.12</c:v>
                </c:pt>
                <c:pt idx="742">
                  <c:v>14.88</c:v>
                </c:pt>
                <c:pt idx="743">
                  <c:v>14.68</c:v>
                </c:pt>
                <c:pt idx="744">
                  <c:v>14.66</c:v>
                </c:pt>
                <c:pt idx="745">
                  <c:v>14.19</c:v>
                </c:pt>
                <c:pt idx="746">
                  <c:v>14.37</c:v>
                </c:pt>
                <c:pt idx="747">
                  <c:v>14.43</c:v>
                </c:pt>
                <c:pt idx="748">
                  <c:v>14.78</c:v>
                </c:pt>
                <c:pt idx="749">
                  <c:v>14.52</c:v>
                </c:pt>
                <c:pt idx="750">
                  <c:v>14.41</c:v>
                </c:pt>
                <c:pt idx="751">
                  <c:v>14.5</c:v>
                </c:pt>
                <c:pt idx="752">
                  <c:v>14.04</c:v>
                </c:pt>
                <c:pt idx="753">
                  <c:v>13.85</c:v>
                </c:pt>
                <c:pt idx="754">
                  <c:v>14.33</c:v>
                </c:pt>
                <c:pt idx="755">
                  <c:v>14.55</c:v>
                </c:pt>
                <c:pt idx="756">
                  <c:v>14.49</c:v>
                </c:pt>
                <c:pt idx="757">
                  <c:v>14.65</c:v>
                </c:pt>
                <c:pt idx="758">
                  <c:v>14.59</c:v>
                </c:pt>
                <c:pt idx="759">
                  <c:v>13.95</c:v>
                </c:pt>
                <c:pt idx="760">
                  <c:v>14.06</c:v>
                </c:pt>
                <c:pt idx="761">
                  <c:v>13.91</c:v>
                </c:pt>
                <c:pt idx="762">
                  <c:v>14.06</c:v>
                </c:pt>
                <c:pt idx="763">
                  <c:v>14.28</c:v>
                </c:pt>
                <c:pt idx="764">
                  <c:v>14.34</c:v>
                </c:pt>
                <c:pt idx="765">
                  <c:v>14.34</c:v>
                </c:pt>
                <c:pt idx="766">
                  <c:v>14.01</c:v>
                </c:pt>
                <c:pt idx="767">
                  <c:v>14.2</c:v>
                </c:pt>
                <c:pt idx="768">
                  <c:v>14.63</c:v>
                </c:pt>
                <c:pt idx="769">
                  <c:v>14.58</c:v>
                </c:pt>
                <c:pt idx="770">
                  <c:v>15.02</c:v>
                </c:pt>
                <c:pt idx="771">
                  <c:v>15.36</c:v>
                </c:pt>
                <c:pt idx="772">
                  <c:v>15.55</c:v>
                </c:pt>
                <c:pt idx="773">
                  <c:v>15.58</c:v>
                </c:pt>
                <c:pt idx="774">
                  <c:v>15.8</c:v>
                </c:pt>
                <c:pt idx="775">
                  <c:v>15.71</c:v>
                </c:pt>
                <c:pt idx="776">
                  <c:v>15.61</c:v>
                </c:pt>
                <c:pt idx="777">
                  <c:v>15.45</c:v>
                </c:pt>
                <c:pt idx="778">
                  <c:v>15.01</c:v>
                </c:pt>
                <c:pt idx="779">
                  <c:v>14.99</c:v>
                </c:pt>
                <c:pt idx="780">
                  <c:v>15.18</c:v>
                </c:pt>
                <c:pt idx="781">
                  <c:v>14.99</c:v>
                </c:pt>
                <c:pt idx="782">
                  <c:v>15.24</c:v>
                </c:pt>
                <c:pt idx="783">
                  <c:v>15</c:v>
                </c:pt>
                <c:pt idx="784">
                  <c:v>14.94</c:v>
                </c:pt>
                <c:pt idx="785">
                  <c:v>14.96</c:v>
                </c:pt>
                <c:pt idx="786">
                  <c:v>14.63</c:v>
                </c:pt>
                <c:pt idx="787">
                  <c:v>14.15</c:v>
                </c:pt>
                <c:pt idx="788">
                  <c:v>14.26</c:v>
                </c:pt>
                <c:pt idx="789">
                  <c:v>14.35</c:v>
                </c:pt>
                <c:pt idx="790">
                  <c:v>14.2</c:v>
                </c:pt>
                <c:pt idx="791">
                  <c:v>14.05</c:v>
                </c:pt>
                <c:pt idx="792">
                  <c:v>14.04</c:v>
                </c:pt>
                <c:pt idx="793">
                  <c:v>14.25</c:v>
                </c:pt>
                <c:pt idx="794">
                  <c:v>14.54</c:v>
                </c:pt>
                <c:pt idx="795">
                  <c:v>14.65</c:v>
                </c:pt>
                <c:pt idx="796">
                  <c:v>14.59</c:v>
                </c:pt>
                <c:pt idx="797">
                  <c:v>14.37</c:v>
                </c:pt>
                <c:pt idx="798">
                  <c:v>14.41</c:v>
                </c:pt>
                <c:pt idx="799">
                  <c:v>14.46</c:v>
                </c:pt>
                <c:pt idx="800">
                  <c:v>14.72</c:v>
                </c:pt>
                <c:pt idx="801">
                  <c:v>15.09</c:v>
                </c:pt>
                <c:pt idx="802">
                  <c:v>15.21</c:v>
                </c:pt>
                <c:pt idx="803">
                  <c:v>15.3</c:v>
                </c:pt>
                <c:pt idx="804">
                  <c:v>15.45</c:v>
                </c:pt>
                <c:pt idx="805">
                  <c:v>15.57</c:v>
                </c:pt>
                <c:pt idx="806">
                  <c:v>15.67</c:v>
                </c:pt>
                <c:pt idx="807">
                  <c:v>15.36</c:v>
                </c:pt>
                <c:pt idx="808">
                  <c:v>15.24</c:v>
                </c:pt>
                <c:pt idx="809">
                  <c:v>15.54</c:v>
                </c:pt>
                <c:pt idx="810">
                  <c:v>15.84</c:v>
                </c:pt>
                <c:pt idx="811">
                  <c:v>16.23</c:v>
                </c:pt>
                <c:pt idx="812">
                  <c:v>16.24</c:v>
                </c:pt>
                <c:pt idx="813">
                  <c:v>16.27</c:v>
                </c:pt>
                <c:pt idx="814">
                  <c:v>16.16</c:v>
                </c:pt>
                <c:pt idx="815">
                  <c:v>15.95</c:v>
                </c:pt>
                <c:pt idx="816">
                  <c:v>15.72</c:v>
                </c:pt>
                <c:pt idx="817">
                  <c:v>15.51</c:v>
                </c:pt>
                <c:pt idx="818">
                  <c:v>15.43</c:v>
                </c:pt>
                <c:pt idx="819">
                  <c:v>15.45</c:v>
                </c:pt>
                <c:pt idx="820">
                  <c:v>15.39</c:v>
                </c:pt>
                <c:pt idx="821">
                  <c:v>15.75</c:v>
                </c:pt>
                <c:pt idx="822">
                  <c:v>15.85</c:v>
                </c:pt>
                <c:pt idx="823">
                  <c:v>15.8</c:v>
                </c:pt>
                <c:pt idx="824">
                  <c:v>15.86</c:v>
                </c:pt>
                <c:pt idx="825">
                  <c:v>15.96</c:v>
                </c:pt>
                <c:pt idx="826">
                  <c:v>15.63</c:v>
                </c:pt>
                <c:pt idx="827">
                  <c:v>15.6</c:v>
                </c:pt>
                <c:pt idx="828">
                  <c:v>15.6</c:v>
                </c:pt>
                <c:pt idx="829">
                  <c:v>15.48</c:v>
                </c:pt>
                <c:pt idx="830">
                  <c:v>15.43</c:v>
                </c:pt>
                <c:pt idx="831">
                  <c:v>15.35</c:v>
                </c:pt>
                <c:pt idx="832">
                  <c:v>15.43</c:v>
                </c:pt>
                <c:pt idx="833">
                  <c:v>15.49</c:v>
                </c:pt>
                <c:pt idx="834">
                  <c:v>15.64</c:v>
                </c:pt>
                <c:pt idx="835">
                  <c:v>15.63</c:v>
                </c:pt>
                <c:pt idx="836">
                  <c:v>15.66</c:v>
                </c:pt>
                <c:pt idx="837">
                  <c:v>15.84</c:v>
                </c:pt>
                <c:pt idx="838">
                  <c:v>15.97</c:v>
                </c:pt>
                <c:pt idx="839">
                  <c:v>15.88</c:v>
                </c:pt>
                <c:pt idx="840">
                  <c:v>15.75</c:v>
                </c:pt>
                <c:pt idx="841">
                  <c:v>15.84</c:v>
                </c:pt>
                <c:pt idx="842">
                  <c:v>15.95</c:v>
                </c:pt>
                <c:pt idx="843">
                  <c:v>16.03</c:v>
                </c:pt>
                <c:pt idx="844">
                  <c:v>16.2</c:v>
                </c:pt>
                <c:pt idx="845">
                  <c:v>16.23</c:v>
                </c:pt>
                <c:pt idx="846">
                  <c:v>16.1</c:v>
                </c:pt>
                <c:pt idx="847">
                  <c:v>16.1</c:v>
                </c:pt>
                <c:pt idx="848">
                  <c:v>16.24</c:v>
                </c:pt>
                <c:pt idx="849">
                  <c:v>16.09</c:v>
                </c:pt>
                <c:pt idx="850">
                  <c:v>15.73</c:v>
                </c:pt>
                <c:pt idx="851">
                  <c:v>15.8</c:v>
                </c:pt>
                <c:pt idx="852">
                  <c:v>15.79</c:v>
                </c:pt>
                <c:pt idx="853">
                  <c:v>15.91</c:v>
                </c:pt>
                <c:pt idx="854">
                  <c:v>15.82</c:v>
                </c:pt>
                <c:pt idx="855">
                  <c:v>15.57</c:v>
                </c:pt>
                <c:pt idx="856">
                  <c:v>15.55</c:v>
                </c:pt>
                <c:pt idx="857">
                  <c:v>15.46</c:v>
                </c:pt>
                <c:pt idx="858">
                  <c:v>15.41</c:v>
                </c:pt>
                <c:pt idx="859">
                  <c:v>15.32</c:v>
                </c:pt>
                <c:pt idx="860">
                  <c:v>15.34</c:v>
                </c:pt>
                <c:pt idx="861">
                  <c:v>15.05</c:v>
                </c:pt>
                <c:pt idx="862">
                  <c:v>15.02</c:v>
                </c:pt>
                <c:pt idx="863">
                  <c:v>15.17</c:v>
                </c:pt>
                <c:pt idx="864">
                  <c:v>14.71</c:v>
                </c:pt>
                <c:pt idx="865">
                  <c:v>14.7</c:v>
                </c:pt>
                <c:pt idx="866">
                  <c:v>14.27</c:v>
                </c:pt>
                <c:pt idx="867">
                  <c:v>14.3</c:v>
                </c:pt>
                <c:pt idx="868">
                  <c:v>14.31</c:v>
                </c:pt>
                <c:pt idx="869">
                  <c:v>14.19</c:v>
                </c:pt>
                <c:pt idx="870">
                  <c:v>13.68</c:v>
                </c:pt>
                <c:pt idx="871">
                  <c:v>13.76</c:v>
                </c:pt>
                <c:pt idx="872">
                  <c:v>13.67</c:v>
                </c:pt>
                <c:pt idx="873">
                  <c:v>13.65</c:v>
                </c:pt>
                <c:pt idx="874">
                  <c:v>13.22</c:v>
                </c:pt>
                <c:pt idx="875">
                  <c:v>13.27</c:v>
                </c:pt>
                <c:pt idx="876">
                  <c:v>13.51</c:v>
                </c:pt>
                <c:pt idx="877">
                  <c:v>13.74</c:v>
                </c:pt>
                <c:pt idx="878">
                  <c:v>13.52</c:v>
                </c:pt>
                <c:pt idx="879">
                  <c:v>13.27</c:v>
                </c:pt>
                <c:pt idx="880">
                  <c:v>13.54</c:v>
                </c:pt>
                <c:pt idx="881">
                  <c:v>13.62</c:v>
                </c:pt>
                <c:pt idx="882">
                  <c:v>13.81</c:v>
                </c:pt>
                <c:pt idx="883">
                  <c:v>13.6</c:v>
                </c:pt>
                <c:pt idx="884">
                  <c:v>13.4</c:v>
                </c:pt>
                <c:pt idx="885">
                  <c:v>13.4</c:v>
                </c:pt>
                <c:pt idx="886">
                  <c:v>13.48</c:v>
                </c:pt>
                <c:pt idx="887">
                  <c:v>13.56</c:v>
                </c:pt>
                <c:pt idx="888">
                  <c:v>13.9</c:v>
                </c:pt>
                <c:pt idx="889">
                  <c:v>13.88</c:v>
                </c:pt>
                <c:pt idx="890">
                  <c:v>13.21</c:v>
                </c:pt>
                <c:pt idx="891">
                  <c:v>13.03</c:v>
                </c:pt>
                <c:pt idx="892">
                  <c:v>12.97</c:v>
                </c:pt>
                <c:pt idx="893">
                  <c:v>12.5</c:v>
                </c:pt>
                <c:pt idx="894">
                  <c:v>12.4</c:v>
                </c:pt>
                <c:pt idx="895">
                  <c:v>12.61</c:v>
                </c:pt>
                <c:pt idx="896">
                  <c:v>12.43</c:v>
                </c:pt>
                <c:pt idx="897">
                  <c:v>12.74</c:v>
                </c:pt>
                <c:pt idx="898">
                  <c:v>12.47</c:v>
                </c:pt>
                <c:pt idx="899">
                  <c:v>12.24</c:v>
                </c:pt>
                <c:pt idx="900">
                  <c:v>10.73</c:v>
                </c:pt>
                <c:pt idx="901">
                  <c:v>11.43</c:v>
                </c:pt>
                <c:pt idx="902">
                  <c:v>10.45</c:v>
                </c:pt>
                <c:pt idx="903">
                  <c:v>9.63</c:v>
                </c:pt>
                <c:pt idx="904">
                  <c:v>11.25</c:v>
                </c:pt>
                <c:pt idx="905">
                  <c:v>9.83</c:v>
                </c:pt>
                <c:pt idx="906">
                  <c:v>10.56</c:v>
                </c:pt>
                <c:pt idx="907">
                  <c:v>9.42</c:v>
                </c:pt>
                <c:pt idx="908">
                  <c:v>9.91</c:v>
                </c:pt>
                <c:pt idx="909">
                  <c:v>9.5</c:v>
                </c:pt>
                <c:pt idx="910">
                  <c:v>9.49</c:v>
                </c:pt>
                <c:pt idx="911">
                  <c:v>10.29</c:v>
                </c:pt>
                <c:pt idx="912">
                  <c:v>10.43</c:v>
                </c:pt>
                <c:pt idx="913">
                  <c:v>10.75</c:v>
                </c:pt>
                <c:pt idx="914">
                  <c:v>10.11</c:v>
                </c:pt>
                <c:pt idx="915">
                  <c:v>10.47</c:v>
                </c:pt>
                <c:pt idx="916">
                  <c:v>10.82</c:v>
                </c:pt>
                <c:pt idx="917">
                  <c:v>10.08</c:v>
                </c:pt>
                <c:pt idx="918">
                  <c:v>11.31</c:v>
                </c:pt>
                <c:pt idx="919">
                  <c:v>10.98</c:v>
                </c:pt>
                <c:pt idx="920">
                  <c:v>11.82</c:v>
                </c:pt>
                <c:pt idx="921">
                  <c:v>12.75</c:v>
                </c:pt>
                <c:pt idx="922">
                  <c:v>12.73</c:v>
                </c:pt>
                <c:pt idx="923">
                  <c:v>12.2</c:v>
                </c:pt>
                <c:pt idx="924">
                  <c:v>12.2</c:v>
                </c:pt>
                <c:pt idx="925">
                  <c:v>11.18</c:v>
                </c:pt>
                <c:pt idx="926">
                  <c:v>12.48</c:v>
                </c:pt>
                <c:pt idx="927">
                  <c:v>12.11</c:v>
                </c:pt>
                <c:pt idx="928">
                  <c:v>12.13</c:v>
                </c:pt>
                <c:pt idx="929">
                  <c:v>12.49</c:v>
                </c:pt>
                <c:pt idx="930">
                  <c:v>11.71</c:v>
                </c:pt>
                <c:pt idx="931">
                  <c:v>11.85</c:v>
                </c:pt>
                <c:pt idx="932">
                  <c:v>11.8</c:v>
                </c:pt>
                <c:pt idx="933">
                  <c:v>12.39</c:v>
                </c:pt>
                <c:pt idx="934">
                  <c:v>12.37</c:v>
                </c:pt>
                <c:pt idx="935">
                  <c:v>13</c:v>
                </c:pt>
                <c:pt idx="936">
                  <c:v>13.3</c:v>
                </c:pt>
                <c:pt idx="937">
                  <c:v>13.59</c:v>
                </c:pt>
                <c:pt idx="938">
                  <c:v>13.07</c:v>
                </c:pt>
                <c:pt idx="939">
                  <c:v>12.68</c:v>
                </c:pt>
                <c:pt idx="940">
                  <c:v>13.45</c:v>
                </c:pt>
                <c:pt idx="941">
                  <c:v>13.55</c:v>
                </c:pt>
                <c:pt idx="942">
                  <c:v>13.03</c:v>
                </c:pt>
                <c:pt idx="943">
                  <c:v>13.14</c:v>
                </c:pt>
                <c:pt idx="944">
                  <c:v>13.65</c:v>
                </c:pt>
                <c:pt idx="945">
                  <c:v>13.13</c:v>
                </c:pt>
                <c:pt idx="946">
                  <c:v>12.64</c:v>
                </c:pt>
                <c:pt idx="947">
                  <c:v>12.13</c:v>
                </c:pt>
                <c:pt idx="948">
                  <c:v>12.06</c:v>
                </c:pt>
                <c:pt idx="949">
                  <c:v>12.26</c:v>
                </c:pt>
                <c:pt idx="950">
                  <c:v>13.46</c:v>
                </c:pt>
                <c:pt idx="951">
                  <c:v>13</c:v>
                </c:pt>
                <c:pt idx="952">
                  <c:v>13.76</c:v>
                </c:pt>
                <c:pt idx="953">
                  <c:v>13.93</c:v>
                </c:pt>
                <c:pt idx="954">
                  <c:v>14</c:v>
                </c:pt>
                <c:pt idx="955">
                  <c:v>13.99</c:v>
                </c:pt>
                <c:pt idx="956">
                  <c:v>14.07</c:v>
                </c:pt>
                <c:pt idx="957">
                  <c:v>15.06</c:v>
                </c:pt>
                <c:pt idx="958">
                  <c:v>14.62</c:v>
                </c:pt>
                <c:pt idx="959">
                  <c:v>14.18</c:v>
                </c:pt>
                <c:pt idx="960">
                  <c:v>13.98</c:v>
                </c:pt>
                <c:pt idx="961">
                  <c:v>14.2</c:v>
                </c:pt>
                <c:pt idx="962">
                  <c:v>14.69</c:v>
                </c:pt>
                <c:pt idx="963">
                  <c:v>15.11</c:v>
                </c:pt>
                <c:pt idx="964">
                  <c:v>15.52</c:v>
                </c:pt>
                <c:pt idx="965">
                  <c:v>15.57</c:v>
                </c:pt>
                <c:pt idx="966">
                  <c:v>15.3</c:v>
                </c:pt>
                <c:pt idx="967">
                  <c:v>14.75</c:v>
                </c:pt>
                <c:pt idx="968">
                  <c:v>13.38</c:v>
                </c:pt>
                <c:pt idx="969">
                  <c:v>13.8</c:v>
                </c:pt>
                <c:pt idx="970">
                  <c:v>14.53</c:v>
                </c:pt>
                <c:pt idx="971">
                  <c:v>14.94</c:v>
                </c:pt>
                <c:pt idx="972">
                  <c:v>14.73</c:v>
                </c:pt>
                <c:pt idx="973">
                  <c:v>14.66</c:v>
                </c:pt>
                <c:pt idx="974">
                  <c:v>14.45</c:v>
                </c:pt>
                <c:pt idx="975">
                  <c:v>14.46</c:v>
                </c:pt>
                <c:pt idx="976">
                  <c:v>14.5</c:v>
                </c:pt>
                <c:pt idx="977">
                  <c:v>13.96</c:v>
                </c:pt>
                <c:pt idx="978">
                  <c:v>14.16</c:v>
                </c:pt>
                <c:pt idx="979">
                  <c:v>13.43</c:v>
                </c:pt>
                <c:pt idx="980">
                  <c:v>14.25</c:v>
                </c:pt>
                <c:pt idx="981">
                  <c:v>14.72</c:v>
                </c:pt>
                <c:pt idx="982">
                  <c:v>14</c:v>
                </c:pt>
                <c:pt idx="983">
                  <c:v>14.27</c:v>
                </c:pt>
                <c:pt idx="984">
                  <c:v>14.27</c:v>
                </c:pt>
                <c:pt idx="985">
                  <c:v>14.76</c:v>
                </c:pt>
                <c:pt idx="986">
                  <c:v>14.08</c:v>
                </c:pt>
                <c:pt idx="987">
                  <c:v>14.21</c:v>
                </c:pt>
                <c:pt idx="988">
                  <c:v>13.93</c:v>
                </c:pt>
                <c:pt idx="989">
                  <c:v>14.49</c:v>
                </c:pt>
                <c:pt idx="990">
                  <c:v>14.48</c:v>
                </c:pt>
                <c:pt idx="991">
                  <c:v>14.75</c:v>
                </c:pt>
                <c:pt idx="992">
                  <c:v>15.55</c:v>
                </c:pt>
                <c:pt idx="993">
                  <c:v>15.78</c:v>
                </c:pt>
                <c:pt idx="994">
                  <c:v>15.26</c:v>
                </c:pt>
                <c:pt idx="995">
                  <c:v>15.06</c:v>
                </c:pt>
                <c:pt idx="996">
                  <c:v>15.21</c:v>
                </c:pt>
                <c:pt idx="997">
                  <c:v>15.19</c:v>
                </c:pt>
                <c:pt idx="998">
                  <c:v>15.27</c:v>
                </c:pt>
                <c:pt idx="999">
                  <c:v>15.2</c:v>
                </c:pt>
                <c:pt idx="1000">
                  <c:v>15.09</c:v>
                </c:pt>
                <c:pt idx="1001">
                  <c:v>14.9</c:v>
                </c:pt>
                <c:pt idx="1002">
                  <c:v>15.01</c:v>
                </c:pt>
                <c:pt idx="1003">
                  <c:v>14.7</c:v>
                </c:pt>
                <c:pt idx="1004">
                  <c:v>14.75</c:v>
                </c:pt>
                <c:pt idx="1005">
                  <c:v>14.71</c:v>
                </c:pt>
                <c:pt idx="1006">
                  <c:v>14.93</c:v>
                </c:pt>
                <c:pt idx="1007">
                  <c:v>15.35</c:v>
                </c:pt>
                <c:pt idx="1008">
                  <c:v>15.49</c:v>
                </c:pt>
                <c:pt idx="1009">
                  <c:v>15.68</c:v>
                </c:pt>
                <c:pt idx="1010">
                  <c:v>16.11</c:v>
                </c:pt>
                <c:pt idx="1011">
                  <c:v>16.33</c:v>
                </c:pt>
                <c:pt idx="1012">
                  <c:v>16.12</c:v>
                </c:pt>
                <c:pt idx="1013">
                  <c:v>15.9</c:v>
                </c:pt>
                <c:pt idx="1014">
                  <c:v>16.21</c:v>
                </c:pt>
                <c:pt idx="1015">
                  <c:v>16</c:v>
                </c:pt>
                <c:pt idx="1016">
                  <c:v>15.53</c:v>
                </c:pt>
                <c:pt idx="1017">
                  <c:v>15.82</c:v>
                </c:pt>
                <c:pt idx="1018">
                  <c:v>15.75</c:v>
                </c:pt>
                <c:pt idx="1019">
                  <c:v>15.64</c:v>
                </c:pt>
                <c:pt idx="1020">
                  <c:v>15.91</c:v>
                </c:pt>
                <c:pt idx="1021">
                  <c:v>15.98</c:v>
                </c:pt>
                <c:pt idx="1022">
                  <c:v>16.02</c:v>
                </c:pt>
                <c:pt idx="1023">
                  <c:v>16.38</c:v>
                </c:pt>
                <c:pt idx="1024">
                  <c:v>16.52</c:v>
                </c:pt>
                <c:pt idx="1025">
                  <c:v>16.2</c:v>
                </c:pt>
                <c:pt idx="1026">
                  <c:v>16.48</c:v>
                </c:pt>
                <c:pt idx="1027">
                  <c:v>16.39</c:v>
                </c:pt>
                <c:pt idx="1028">
                  <c:v>16.11</c:v>
                </c:pt>
                <c:pt idx="1029">
                  <c:v>16.12</c:v>
                </c:pt>
                <c:pt idx="1030">
                  <c:v>16.13</c:v>
                </c:pt>
                <c:pt idx="1031">
                  <c:v>15.52</c:v>
                </c:pt>
                <c:pt idx="1032">
                  <c:v>15.47</c:v>
                </c:pt>
                <c:pt idx="1033">
                  <c:v>15.19</c:v>
                </c:pt>
                <c:pt idx="1034">
                  <c:v>15.26</c:v>
                </c:pt>
                <c:pt idx="1035">
                  <c:v>15.48</c:v>
                </c:pt>
                <c:pt idx="1036">
                  <c:v>15.49</c:v>
                </c:pt>
                <c:pt idx="1037">
                  <c:v>15.69</c:v>
                </c:pt>
                <c:pt idx="1038">
                  <c:v>16.27</c:v>
                </c:pt>
                <c:pt idx="1039">
                  <c:v>16.18</c:v>
                </c:pt>
                <c:pt idx="1040">
                  <c:v>15.34</c:v>
                </c:pt>
                <c:pt idx="1041">
                  <c:v>15.59</c:v>
                </c:pt>
                <c:pt idx="1042">
                  <c:v>15.39</c:v>
                </c:pt>
                <c:pt idx="1043">
                  <c:v>15.46</c:v>
                </c:pt>
                <c:pt idx="1044">
                  <c:v>15.53</c:v>
                </c:pt>
                <c:pt idx="1045">
                  <c:v>15.85</c:v>
                </c:pt>
                <c:pt idx="1046">
                  <c:v>15.72</c:v>
                </c:pt>
                <c:pt idx="1047">
                  <c:v>15.75</c:v>
                </c:pt>
                <c:pt idx="1048">
                  <c:v>15.83</c:v>
                </c:pt>
                <c:pt idx="1049">
                  <c:v>16.17</c:v>
                </c:pt>
                <c:pt idx="1050">
                  <c:v>16.32</c:v>
                </c:pt>
                <c:pt idx="1051">
                  <c:v>16.24</c:v>
                </c:pt>
                <c:pt idx="1052">
                  <c:v>16.66</c:v>
                </c:pt>
                <c:pt idx="1053">
                  <c:v>16.76</c:v>
                </c:pt>
                <c:pt idx="1054">
                  <c:v>16.55</c:v>
                </c:pt>
                <c:pt idx="1055">
                  <c:v>16.68</c:v>
                </c:pt>
                <c:pt idx="1056">
                  <c:v>16.26</c:v>
                </c:pt>
                <c:pt idx="1057">
                  <c:v>16.59</c:v>
                </c:pt>
                <c:pt idx="1058">
                  <c:v>16.75</c:v>
                </c:pt>
                <c:pt idx="1059">
                  <c:v>16.82</c:v>
                </c:pt>
                <c:pt idx="1060">
                  <c:v>16.68</c:v>
                </c:pt>
                <c:pt idx="1061">
                  <c:v>16.92</c:v>
                </c:pt>
                <c:pt idx="1062">
                  <c:v>16.59</c:v>
                </c:pt>
                <c:pt idx="1063">
                  <c:v>16.9</c:v>
                </c:pt>
                <c:pt idx="1064">
                  <c:v>17.01</c:v>
                </c:pt>
                <c:pt idx="1065">
                  <c:v>16.79</c:v>
                </c:pt>
                <c:pt idx="1066">
                  <c:v>16.76</c:v>
                </c:pt>
                <c:pt idx="1067">
                  <c:v>15.8</c:v>
                </c:pt>
                <c:pt idx="1068">
                  <c:v>16.24</c:v>
                </c:pt>
                <c:pt idx="1069">
                  <c:v>16.37</c:v>
                </c:pt>
                <c:pt idx="1070">
                  <c:v>16.89</c:v>
                </c:pt>
                <c:pt idx="1071">
                  <c:v>17.62</c:v>
                </c:pt>
                <c:pt idx="1072">
                  <c:v>16.74</c:v>
                </c:pt>
                <c:pt idx="1073">
                  <c:v>17.41</c:v>
                </c:pt>
                <c:pt idx="1074">
                  <c:v>17.3</c:v>
                </c:pt>
                <c:pt idx="1075">
                  <c:v>18.62</c:v>
                </c:pt>
                <c:pt idx="1076">
                  <c:v>19.23</c:v>
                </c:pt>
                <c:pt idx="1077">
                  <c:v>19.19</c:v>
                </c:pt>
                <c:pt idx="1078">
                  <c:v>18.67</c:v>
                </c:pt>
                <c:pt idx="1079">
                  <c:v>19.02</c:v>
                </c:pt>
                <c:pt idx="1080">
                  <c:v>19.74</c:v>
                </c:pt>
                <c:pt idx="1081">
                  <c:v>19.45</c:v>
                </c:pt>
                <c:pt idx="1082">
                  <c:v>19.28</c:v>
                </c:pt>
                <c:pt idx="1083">
                  <c:v>19.38</c:v>
                </c:pt>
                <c:pt idx="1084">
                  <c:v>19.27</c:v>
                </c:pt>
                <c:pt idx="1085">
                  <c:v>20.03</c:v>
                </c:pt>
                <c:pt idx="1086">
                  <c:v>20.25</c:v>
                </c:pt>
                <c:pt idx="1087">
                  <c:v>19.72</c:v>
                </c:pt>
                <c:pt idx="1088">
                  <c:v>19.73</c:v>
                </c:pt>
                <c:pt idx="1089">
                  <c:v>19.75</c:v>
                </c:pt>
                <c:pt idx="1090">
                  <c:v>19.4</c:v>
                </c:pt>
                <c:pt idx="1091">
                  <c:v>19.48</c:v>
                </c:pt>
                <c:pt idx="1092">
                  <c:v>19.88</c:v>
                </c:pt>
                <c:pt idx="1093">
                  <c:v>19.91</c:v>
                </c:pt>
                <c:pt idx="1094">
                  <c:v>20.67</c:v>
                </c:pt>
                <c:pt idx="1095">
                  <c:v>21.09</c:v>
                </c:pt>
                <c:pt idx="1096">
                  <c:v>21.13</c:v>
                </c:pt>
                <c:pt idx="1097">
                  <c:v>20.99</c:v>
                </c:pt>
                <c:pt idx="1098">
                  <c:v>20.83</c:v>
                </c:pt>
                <c:pt idx="1099">
                  <c:v>20.79</c:v>
                </c:pt>
                <c:pt idx="1100">
                  <c:v>20.37</c:v>
                </c:pt>
                <c:pt idx="1101">
                  <c:v>20.54</c:v>
                </c:pt>
                <c:pt idx="1102">
                  <c:v>20.39</c:v>
                </c:pt>
                <c:pt idx="1103">
                  <c:v>20.45</c:v>
                </c:pt>
                <c:pt idx="1104">
                  <c:v>20.37</c:v>
                </c:pt>
                <c:pt idx="1105">
                  <c:v>20.44</c:v>
                </c:pt>
                <c:pt idx="1106">
                  <c:v>20.47</c:v>
                </c:pt>
                <c:pt idx="1107">
                  <c:v>20.7</c:v>
                </c:pt>
                <c:pt idx="1108">
                  <c:v>20.77</c:v>
                </c:pt>
                <c:pt idx="1109">
                  <c:v>20.78</c:v>
                </c:pt>
                <c:pt idx="1110">
                  <c:v>20.91</c:v>
                </c:pt>
                <c:pt idx="1111">
                  <c:v>20.59</c:v>
                </c:pt>
                <c:pt idx="1112">
                  <c:v>20.79</c:v>
                </c:pt>
                <c:pt idx="1113">
                  <c:v>20.55</c:v>
                </c:pt>
                <c:pt idx="1114">
                  <c:v>20.54</c:v>
                </c:pt>
                <c:pt idx="1115">
                  <c:v>20.16</c:v>
                </c:pt>
                <c:pt idx="1116">
                  <c:v>20.36</c:v>
                </c:pt>
                <c:pt idx="1117">
                  <c:v>21.26</c:v>
                </c:pt>
                <c:pt idx="1118">
                  <c:v>21.45</c:v>
                </c:pt>
                <c:pt idx="1119">
                  <c:v>21.39</c:v>
                </c:pt>
                <c:pt idx="1120">
                  <c:v>21.5</c:v>
                </c:pt>
                <c:pt idx="1121">
                  <c:v>21.98</c:v>
                </c:pt>
                <c:pt idx="1122">
                  <c:v>21.44</c:v>
                </c:pt>
                <c:pt idx="1123">
                  <c:v>21.67</c:v>
                </c:pt>
                <c:pt idx="1124">
                  <c:v>21.82</c:v>
                </c:pt>
                <c:pt idx="1125">
                  <c:v>21.79</c:v>
                </c:pt>
                <c:pt idx="1126">
                  <c:v>21.93</c:v>
                </c:pt>
                <c:pt idx="1127">
                  <c:v>21.7</c:v>
                </c:pt>
                <c:pt idx="1128">
                  <c:v>21.08</c:v>
                </c:pt>
                <c:pt idx="1129">
                  <c:v>21.15</c:v>
                </c:pt>
                <c:pt idx="1130">
                  <c:v>21.43</c:v>
                </c:pt>
                <c:pt idx="1131">
                  <c:v>21.32</c:v>
                </c:pt>
                <c:pt idx="1132">
                  <c:v>21.91</c:v>
                </c:pt>
                <c:pt idx="1133">
                  <c:v>20.52</c:v>
                </c:pt>
                <c:pt idx="1134">
                  <c:v>22.2</c:v>
                </c:pt>
                <c:pt idx="1135">
                  <c:v>22.09</c:v>
                </c:pt>
                <c:pt idx="1136">
                  <c:v>22.06</c:v>
                </c:pt>
                <c:pt idx="1137">
                  <c:v>22</c:v>
                </c:pt>
                <c:pt idx="1138">
                  <c:v>22.32</c:v>
                </c:pt>
                <c:pt idx="1139">
                  <c:v>22.8</c:v>
                </c:pt>
                <c:pt idx="1140">
                  <c:v>23.22</c:v>
                </c:pt>
                <c:pt idx="1141">
                  <c:v>23.17</c:v>
                </c:pt>
                <c:pt idx="1142">
                  <c:v>22.96</c:v>
                </c:pt>
                <c:pt idx="1143">
                  <c:v>23.03</c:v>
                </c:pt>
                <c:pt idx="1144">
                  <c:v>23.44</c:v>
                </c:pt>
                <c:pt idx="1145">
                  <c:v>23.41</c:v>
                </c:pt>
                <c:pt idx="1146">
                  <c:v>23.29</c:v>
                </c:pt>
                <c:pt idx="1147">
                  <c:v>22.79</c:v>
                </c:pt>
                <c:pt idx="1148">
                  <c:v>22.75</c:v>
                </c:pt>
                <c:pt idx="1149">
                  <c:v>23.47</c:v>
                </c:pt>
                <c:pt idx="1150">
                  <c:v>23.35</c:v>
                </c:pt>
                <c:pt idx="1151">
                  <c:v>23.24</c:v>
                </c:pt>
                <c:pt idx="1152">
                  <c:v>23.38</c:v>
                </c:pt>
                <c:pt idx="1153">
                  <c:v>22.61</c:v>
                </c:pt>
                <c:pt idx="1154">
                  <c:v>22.45</c:v>
                </c:pt>
                <c:pt idx="1155">
                  <c:v>23.11</c:v>
                </c:pt>
                <c:pt idx="1156">
                  <c:v>22.6</c:v>
                </c:pt>
                <c:pt idx="1157">
                  <c:v>22.67</c:v>
                </c:pt>
                <c:pt idx="1158">
                  <c:v>22.42</c:v>
                </c:pt>
                <c:pt idx="1159">
                  <c:v>22.85</c:v>
                </c:pt>
                <c:pt idx="1160">
                  <c:v>22.9</c:v>
                </c:pt>
                <c:pt idx="1161">
                  <c:v>22.58</c:v>
                </c:pt>
                <c:pt idx="1162">
                  <c:v>22.88</c:v>
                </c:pt>
                <c:pt idx="1163">
                  <c:v>23.23</c:v>
                </c:pt>
                <c:pt idx="1164">
                  <c:v>23.58</c:v>
                </c:pt>
                <c:pt idx="1165">
                  <c:v>22.91</c:v>
                </c:pt>
                <c:pt idx="1166">
                  <c:v>22.66</c:v>
                </c:pt>
                <c:pt idx="1167">
                  <c:v>22.26</c:v>
                </c:pt>
                <c:pt idx="1168">
                  <c:v>21.11</c:v>
                </c:pt>
                <c:pt idx="1169">
                  <c:v>20.58</c:v>
                </c:pt>
                <c:pt idx="1170">
                  <c:v>20.55</c:v>
                </c:pt>
                <c:pt idx="1171">
                  <c:v>20.28</c:v>
                </c:pt>
                <c:pt idx="1172">
                  <c:v>20.7</c:v>
                </c:pt>
                <c:pt idx="1173">
                  <c:v>20.97</c:v>
                </c:pt>
                <c:pt idx="1174">
                  <c:v>21.59</c:v>
                </c:pt>
                <c:pt idx="1175">
                  <c:v>21.03</c:v>
                </c:pt>
                <c:pt idx="1176">
                  <c:v>21.44</c:v>
                </c:pt>
                <c:pt idx="1177">
                  <c:v>21.45</c:v>
                </c:pt>
                <c:pt idx="1178">
                  <c:v>21.77</c:v>
                </c:pt>
                <c:pt idx="1179">
                  <c:v>21.76</c:v>
                </c:pt>
                <c:pt idx="1180">
                  <c:v>21.96</c:v>
                </c:pt>
                <c:pt idx="1181">
                  <c:v>21.92</c:v>
                </c:pt>
                <c:pt idx="1182">
                  <c:v>21.64</c:v>
                </c:pt>
                <c:pt idx="1183">
                  <c:v>21.62</c:v>
                </c:pt>
                <c:pt idx="1184">
                  <c:v>21.64</c:v>
                </c:pt>
                <c:pt idx="1185">
                  <c:v>22</c:v>
                </c:pt>
                <c:pt idx="1186">
                  <c:v>21.58</c:v>
                </c:pt>
                <c:pt idx="1187">
                  <c:v>21.98</c:v>
                </c:pt>
                <c:pt idx="1188">
                  <c:v>22.08</c:v>
                </c:pt>
                <c:pt idx="1189">
                  <c:v>21.9</c:v>
                </c:pt>
                <c:pt idx="1190">
                  <c:v>21.82</c:v>
                </c:pt>
                <c:pt idx="1191">
                  <c:v>21</c:v>
                </c:pt>
                <c:pt idx="1192">
                  <c:v>21.55</c:v>
                </c:pt>
                <c:pt idx="1193">
                  <c:v>21.38</c:v>
                </c:pt>
                <c:pt idx="1194">
                  <c:v>21.88</c:v>
                </c:pt>
                <c:pt idx="1195">
                  <c:v>22.01</c:v>
                </c:pt>
                <c:pt idx="1196">
                  <c:v>21.99</c:v>
                </c:pt>
                <c:pt idx="1197">
                  <c:v>22.11</c:v>
                </c:pt>
                <c:pt idx="1198">
                  <c:v>22.19</c:v>
                </c:pt>
                <c:pt idx="1199">
                  <c:v>22.13</c:v>
                </c:pt>
                <c:pt idx="1200">
                  <c:v>22.19</c:v>
                </c:pt>
                <c:pt idx="1201">
                  <c:v>22.42</c:v>
                </c:pt>
                <c:pt idx="1202">
                  <c:v>22.64</c:v>
                </c:pt>
                <c:pt idx="1203">
                  <c:v>22.89</c:v>
                </c:pt>
                <c:pt idx="1204">
                  <c:v>23.39</c:v>
                </c:pt>
                <c:pt idx="1205">
                  <c:v>23.51</c:v>
                </c:pt>
                <c:pt idx="1206">
                  <c:v>23.36</c:v>
                </c:pt>
                <c:pt idx="1207">
                  <c:v>22.3</c:v>
                </c:pt>
                <c:pt idx="1208">
                  <c:v>22.41</c:v>
                </c:pt>
                <c:pt idx="1209">
                  <c:v>22.7</c:v>
                </c:pt>
                <c:pt idx="1210">
                  <c:v>22.26</c:v>
                </c:pt>
                <c:pt idx="1211">
                  <c:v>21.64</c:v>
                </c:pt>
                <c:pt idx="1212">
                  <c:v>21.47</c:v>
                </c:pt>
                <c:pt idx="1213">
                  <c:v>21.61</c:v>
                </c:pt>
                <c:pt idx="1214">
                  <c:v>21.8</c:v>
                </c:pt>
                <c:pt idx="1215">
                  <c:v>22.04</c:v>
                </c:pt>
                <c:pt idx="1216">
                  <c:v>21.65</c:v>
                </c:pt>
                <c:pt idx="1217">
                  <c:v>21.6</c:v>
                </c:pt>
                <c:pt idx="1218">
                  <c:v>21.88</c:v>
                </c:pt>
                <c:pt idx="1219">
                  <c:v>21.91</c:v>
                </c:pt>
                <c:pt idx="1220">
                  <c:v>21.87</c:v>
                </c:pt>
                <c:pt idx="1221">
                  <c:v>22.2</c:v>
                </c:pt>
                <c:pt idx="1222">
                  <c:v>22.04</c:v>
                </c:pt>
                <c:pt idx="1223">
                  <c:v>21.59</c:v>
                </c:pt>
                <c:pt idx="1224">
                  <c:v>21.37</c:v>
                </c:pt>
                <c:pt idx="1225">
                  <c:v>21.22</c:v>
                </c:pt>
                <c:pt idx="1226">
                  <c:v>21.31</c:v>
                </c:pt>
                <c:pt idx="1227">
                  <c:v>21.3</c:v>
                </c:pt>
                <c:pt idx="1228">
                  <c:v>21.41</c:v>
                </c:pt>
                <c:pt idx="1229">
                  <c:v>21.45</c:v>
                </c:pt>
                <c:pt idx="1230">
                  <c:v>21.03</c:v>
                </c:pt>
                <c:pt idx="1231">
                  <c:v>21.24</c:v>
                </c:pt>
                <c:pt idx="1232">
                  <c:v>21.07</c:v>
                </c:pt>
                <c:pt idx="1233">
                  <c:v>19.88</c:v>
                </c:pt>
                <c:pt idx="1234">
                  <c:v>19.29</c:v>
                </c:pt>
                <c:pt idx="1235">
                  <c:v>19.89</c:v>
                </c:pt>
                <c:pt idx="1236">
                  <c:v>19.85</c:v>
                </c:pt>
                <c:pt idx="1237">
                  <c:v>19.62</c:v>
                </c:pt>
                <c:pt idx="1238">
                  <c:v>20.19</c:v>
                </c:pt>
                <c:pt idx="1239">
                  <c:v>19.79</c:v>
                </c:pt>
                <c:pt idx="1240">
                  <c:v>19.39</c:v>
                </c:pt>
                <c:pt idx="1241">
                  <c:v>18.81</c:v>
                </c:pt>
                <c:pt idx="1242">
                  <c:v>19.2</c:v>
                </c:pt>
                <c:pt idx="1243">
                  <c:v>19.25</c:v>
                </c:pt>
                <c:pt idx="1244">
                  <c:v>19.03</c:v>
                </c:pt>
                <c:pt idx="1245">
                  <c:v>19</c:v>
                </c:pt>
                <c:pt idx="1246">
                  <c:v>18.75</c:v>
                </c:pt>
                <c:pt idx="1247">
                  <c:v>18.79</c:v>
                </c:pt>
                <c:pt idx="1248">
                  <c:v>18.53</c:v>
                </c:pt>
                <c:pt idx="1249">
                  <c:v>18.91</c:v>
                </c:pt>
                <c:pt idx="1250">
                  <c:v>19.01</c:v>
                </c:pt>
                <c:pt idx="1251">
                  <c:v>18.85</c:v>
                </c:pt>
                <c:pt idx="1252">
                  <c:v>18.85</c:v>
                </c:pt>
                <c:pt idx="1253">
                  <c:v>18.87</c:v>
                </c:pt>
                <c:pt idx="1254">
                  <c:v>18.97</c:v>
                </c:pt>
                <c:pt idx="1255">
                  <c:v>18.41</c:v>
                </c:pt>
                <c:pt idx="1256">
                  <c:v>18.93</c:v>
                </c:pt>
                <c:pt idx="1257">
                  <c:v>18.98</c:v>
                </c:pt>
                <c:pt idx="1258">
                  <c:v>18.52</c:v>
                </c:pt>
                <c:pt idx="1259">
                  <c:v>18.6</c:v>
                </c:pt>
                <c:pt idx="1260">
                  <c:v>18.79</c:v>
                </c:pt>
                <c:pt idx="1261">
                  <c:v>18.66</c:v>
                </c:pt>
                <c:pt idx="1262">
                  <c:v>18.72</c:v>
                </c:pt>
                <c:pt idx="1263">
                  <c:v>18.97</c:v>
                </c:pt>
                <c:pt idx="1264">
                  <c:v>19.01</c:v>
                </c:pt>
                <c:pt idx="1265">
                  <c:v>18.45</c:v>
                </c:pt>
                <c:pt idx="1266">
                  <c:v>18.79</c:v>
                </c:pt>
                <c:pt idx="1267">
                  <c:v>18.29</c:v>
                </c:pt>
                <c:pt idx="1268">
                  <c:v>18.5</c:v>
                </c:pt>
                <c:pt idx="1269">
                  <c:v>19.02</c:v>
                </c:pt>
                <c:pt idx="1270">
                  <c:v>18.63</c:v>
                </c:pt>
                <c:pt idx="1271">
                  <c:v>18.92</c:v>
                </c:pt>
                <c:pt idx="1272">
                  <c:v>19.39</c:v>
                </c:pt>
                <c:pt idx="1273">
                  <c:v>19.21</c:v>
                </c:pt>
                <c:pt idx="1274">
                  <c:v>19.2</c:v>
                </c:pt>
                <c:pt idx="1275">
                  <c:v>19.06</c:v>
                </c:pt>
                <c:pt idx="1276">
                  <c:v>18.73</c:v>
                </c:pt>
                <c:pt idx="1277">
                  <c:v>17.86</c:v>
                </c:pt>
                <c:pt idx="1278">
                  <c:v>17.49</c:v>
                </c:pt>
                <c:pt idx="1279">
                  <c:v>17.62</c:v>
                </c:pt>
                <c:pt idx="1280">
                  <c:v>17.67</c:v>
                </c:pt>
                <c:pt idx="1281">
                  <c:v>17.85</c:v>
                </c:pt>
                <c:pt idx="1282">
                  <c:v>18.16</c:v>
                </c:pt>
                <c:pt idx="1283">
                  <c:v>18.11</c:v>
                </c:pt>
                <c:pt idx="1284">
                  <c:v>18.67</c:v>
                </c:pt>
                <c:pt idx="1285">
                  <c:v>18.66</c:v>
                </c:pt>
                <c:pt idx="1286">
                  <c:v>18.61</c:v>
                </c:pt>
                <c:pt idx="1287">
                  <c:v>18.55</c:v>
                </c:pt>
                <c:pt idx="1288">
                  <c:v>18.41</c:v>
                </c:pt>
                <c:pt idx="1289">
                  <c:v>18.33</c:v>
                </c:pt>
                <c:pt idx="1290">
                  <c:v>18.31</c:v>
                </c:pt>
                <c:pt idx="1291">
                  <c:v>17.99</c:v>
                </c:pt>
                <c:pt idx="1292">
                  <c:v>17.91</c:v>
                </c:pt>
                <c:pt idx="1293">
                  <c:v>17.97</c:v>
                </c:pt>
                <c:pt idx="1294">
                  <c:v>17.87</c:v>
                </c:pt>
                <c:pt idx="1295">
                  <c:v>17.98</c:v>
                </c:pt>
                <c:pt idx="1296">
                  <c:v>17.44</c:v>
                </c:pt>
                <c:pt idx="1297">
                  <c:v>17.69</c:v>
                </c:pt>
                <c:pt idx="1298">
                  <c:v>17.52</c:v>
                </c:pt>
                <c:pt idx="1299">
                  <c:v>17.43</c:v>
                </c:pt>
                <c:pt idx="1300">
                  <c:v>17.28</c:v>
                </c:pt>
                <c:pt idx="1301">
                  <c:v>17.08</c:v>
                </c:pt>
                <c:pt idx="1302">
                  <c:v>17.32</c:v>
                </c:pt>
                <c:pt idx="1303">
                  <c:v>17.61</c:v>
                </c:pt>
                <c:pt idx="1304">
                  <c:v>17.75</c:v>
                </c:pt>
                <c:pt idx="1305">
                  <c:v>18.15</c:v>
                </c:pt>
                <c:pt idx="1306">
                  <c:v>17.92</c:v>
                </c:pt>
                <c:pt idx="1307">
                  <c:v>18.24</c:v>
                </c:pt>
                <c:pt idx="1308">
                  <c:v>17.87</c:v>
                </c:pt>
                <c:pt idx="1309">
                  <c:v>18.28</c:v>
                </c:pt>
                <c:pt idx="1310">
                  <c:v>18.43</c:v>
                </c:pt>
                <c:pt idx="1311">
                  <c:v>18.25</c:v>
                </c:pt>
                <c:pt idx="1312">
                  <c:v>18.34</c:v>
                </c:pt>
                <c:pt idx="1313">
                  <c:v>18.44</c:v>
                </c:pt>
                <c:pt idx="1314">
                  <c:v>18.22</c:v>
                </c:pt>
                <c:pt idx="1315">
                  <c:v>18.28</c:v>
                </c:pt>
                <c:pt idx="1316">
                  <c:v>18.37</c:v>
                </c:pt>
                <c:pt idx="1317">
                  <c:v>18.35</c:v>
                </c:pt>
                <c:pt idx="1318">
                  <c:v>18.67</c:v>
                </c:pt>
                <c:pt idx="1319">
                  <c:v>19</c:v>
                </c:pt>
                <c:pt idx="1320">
                  <c:v>19.07</c:v>
                </c:pt>
                <c:pt idx="1321">
                  <c:v>19.05</c:v>
                </c:pt>
                <c:pt idx="1322">
                  <c:v>19.49</c:v>
                </c:pt>
                <c:pt idx="1323">
                  <c:v>18.89</c:v>
                </c:pt>
                <c:pt idx="1324">
                  <c:v>18.49</c:v>
                </c:pt>
                <c:pt idx="1325">
                  <c:v>18.82</c:v>
                </c:pt>
                <c:pt idx="1326">
                  <c:v>18.91</c:v>
                </c:pt>
                <c:pt idx="1327">
                  <c:v>18.37</c:v>
                </c:pt>
                <c:pt idx="1328">
                  <c:v>18.81</c:v>
                </c:pt>
                <c:pt idx="1329">
                  <c:v>18.67</c:v>
                </c:pt>
                <c:pt idx="1330">
                  <c:v>19.02</c:v>
                </c:pt>
                <c:pt idx="1331">
                  <c:v>19.11</c:v>
                </c:pt>
                <c:pt idx="1332">
                  <c:v>19.47</c:v>
                </c:pt>
                <c:pt idx="1333">
                  <c:v>19.66</c:v>
                </c:pt>
                <c:pt idx="1334">
                  <c:v>20.48</c:v>
                </c:pt>
                <c:pt idx="1335">
                  <c:v>20.75</c:v>
                </c:pt>
                <c:pt idx="1336">
                  <c:v>20.5</c:v>
                </c:pt>
                <c:pt idx="1337">
                  <c:v>20.49</c:v>
                </c:pt>
                <c:pt idx="1338">
                  <c:v>20.51</c:v>
                </c:pt>
                <c:pt idx="1339">
                  <c:v>20.47</c:v>
                </c:pt>
                <c:pt idx="1340">
                  <c:v>20.03</c:v>
                </c:pt>
                <c:pt idx="1341">
                  <c:v>19.84</c:v>
                </c:pt>
                <c:pt idx="1342">
                  <c:v>19.86</c:v>
                </c:pt>
                <c:pt idx="1343">
                  <c:v>19.95</c:v>
                </c:pt>
                <c:pt idx="1344">
                  <c:v>19.91</c:v>
                </c:pt>
                <c:pt idx="1345">
                  <c:v>20.37</c:v>
                </c:pt>
                <c:pt idx="1346">
                  <c:v>20.56</c:v>
                </c:pt>
                <c:pt idx="1347">
                  <c:v>20.32</c:v>
                </c:pt>
                <c:pt idx="1348">
                  <c:v>20.31</c:v>
                </c:pt>
                <c:pt idx="1349">
                  <c:v>19.84</c:v>
                </c:pt>
                <c:pt idx="1350">
                  <c:v>19.7</c:v>
                </c:pt>
                <c:pt idx="1351">
                  <c:v>19.15</c:v>
                </c:pt>
                <c:pt idx="1352">
                  <c:v>18.77</c:v>
                </c:pt>
                <c:pt idx="1353">
                  <c:v>19.44</c:v>
                </c:pt>
                <c:pt idx="1354">
                  <c:v>19.58</c:v>
                </c:pt>
                <c:pt idx="1355">
                  <c:v>20.49</c:v>
                </c:pt>
                <c:pt idx="1356">
                  <c:v>20.64</c:v>
                </c:pt>
                <c:pt idx="1357">
                  <c:v>20.49</c:v>
                </c:pt>
                <c:pt idx="1358">
                  <c:v>20.26</c:v>
                </c:pt>
                <c:pt idx="1359">
                  <c:v>20.18</c:v>
                </c:pt>
                <c:pt idx="1360">
                  <c:v>19.87</c:v>
                </c:pt>
                <c:pt idx="1361">
                  <c:v>19.61</c:v>
                </c:pt>
                <c:pt idx="1362">
                  <c:v>19.82</c:v>
                </c:pt>
                <c:pt idx="1363">
                  <c:v>19.73</c:v>
                </c:pt>
                <c:pt idx="1364">
                  <c:v>19.39</c:v>
                </c:pt>
                <c:pt idx="1365">
                  <c:v>19.3</c:v>
                </c:pt>
                <c:pt idx="1366">
                  <c:v>19.8</c:v>
                </c:pt>
                <c:pt idx="1367">
                  <c:v>19.79</c:v>
                </c:pt>
                <c:pt idx="1368">
                  <c:v>19.83</c:v>
                </c:pt>
                <c:pt idx="1369">
                  <c:v>19.83</c:v>
                </c:pt>
                <c:pt idx="1370">
                  <c:v>19.85</c:v>
                </c:pt>
                <c:pt idx="1371">
                  <c:v>19.8</c:v>
                </c:pt>
                <c:pt idx="1372">
                  <c:v>19.93</c:v>
                </c:pt>
                <c:pt idx="1373">
                  <c:v>19.79</c:v>
                </c:pt>
                <c:pt idx="1374">
                  <c:v>19.99</c:v>
                </c:pt>
                <c:pt idx="1375">
                  <c:v>19.91</c:v>
                </c:pt>
                <c:pt idx="1376">
                  <c:v>20.18</c:v>
                </c:pt>
                <c:pt idx="1377">
                  <c:v>20.08</c:v>
                </c:pt>
                <c:pt idx="1378">
                  <c:v>20.15</c:v>
                </c:pt>
                <c:pt idx="1379">
                  <c:v>19.69</c:v>
                </c:pt>
                <c:pt idx="1380">
                  <c:v>19.4</c:v>
                </c:pt>
                <c:pt idx="1381">
                  <c:v>19.29</c:v>
                </c:pt>
                <c:pt idx="1382">
                  <c:v>19.23</c:v>
                </c:pt>
                <c:pt idx="1383">
                  <c:v>19.39</c:v>
                </c:pt>
                <c:pt idx="1384">
                  <c:v>19.42</c:v>
                </c:pt>
                <c:pt idx="1385">
                  <c:v>19.39</c:v>
                </c:pt>
                <c:pt idx="1386">
                  <c:v>19.17</c:v>
                </c:pt>
                <c:pt idx="1387">
                  <c:v>18.73</c:v>
                </c:pt>
                <c:pt idx="1388">
                  <c:v>18.37</c:v>
                </c:pt>
                <c:pt idx="1389">
                  <c:v>18.12</c:v>
                </c:pt>
                <c:pt idx="1390">
                  <c:v>18.21</c:v>
                </c:pt>
                <c:pt idx="1391">
                  <c:v>18.17</c:v>
                </c:pt>
                <c:pt idx="1392">
                  <c:v>18.46</c:v>
                </c:pt>
                <c:pt idx="1393">
                  <c:v>18.34</c:v>
                </c:pt>
                <c:pt idx="1394">
                  <c:v>18.67</c:v>
                </c:pt>
                <c:pt idx="1395">
                  <c:v>18.57</c:v>
                </c:pt>
                <c:pt idx="1396">
                  <c:v>18.77</c:v>
                </c:pt>
                <c:pt idx="1397">
                  <c:v>18.15</c:v>
                </c:pt>
                <c:pt idx="1398">
                  <c:v>18.22</c:v>
                </c:pt>
                <c:pt idx="1399">
                  <c:v>17.97</c:v>
                </c:pt>
                <c:pt idx="1400">
                  <c:v>17.92</c:v>
                </c:pt>
                <c:pt idx="1401">
                  <c:v>18.14</c:v>
                </c:pt>
                <c:pt idx="1402">
                  <c:v>18.06</c:v>
                </c:pt>
                <c:pt idx="1403">
                  <c:v>17.69</c:v>
                </c:pt>
                <c:pt idx="1404">
                  <c:v>17.63</c:v>
                </c:pt>
                <c:pt idx="1405">
                  <c:v>17.86</c:v>
                </c:pt>
                <c:pt idx="1406">
                  <c:v>18.22</c:v>
                </c:pt>
                <c:pt idx="1407">
                  <c:v>18.65</c:v>
                </c:pt>
                <c:pt idx="1408">
                  <c:v>18.28</c:v>
                </c:pt>
                <c:pt idx="1409">
                  <c:v>18.27</c:v>
                </c:pt>
                <c:pt idx="1410">
                  <c:v>18.25</c:v>
                </c:pt>
                <c:pt idx="1411">
                  <c:v>18.25</c:v>
                </c:pt>
                <c:pt idx="1412">
                  <c:v>17.88</c:v>
                </c:pt>
                <c:pt idx="1413">
                  <c:v>18.06</c:v>
                </c:pt>
                <c:pt idx="1414">
                  <c:v>18.39</c:v>
                </c:pt>
                <c:pt idx="1415">
                  <c:v>18.39</c:v>
                </c:pt>
                <c:pt idx="1416">
                  <c:v>18.06</c:v>
                </c:pt>
                <c:pt idx="1417">
                  <c:v>18.73</c:v>
                </c:pt>
                <c:pt idx="1418">
                  <c:v>19.21</c:v>
                </c:pt>
                <c:pt idx="1419">
                  <c:v>19.72</c:v>
                </c:pt>
                <c:pt idx="1420">
                  <c:v>19.82</c:v>
                </c:pt>
                <c:pt idx="1421">
                  <c:v>19.95</c:v>
                </c:pt>
                <c:pt idx="1422">
                  <c:v>19.81</c:v>
                </c:pt>
                <c:pt idx="1423">
                  <c:v>20.15</c:v>
                </c:pt>
                <c:pt idx="1424">
                  <c:v>20.63</c:v>
                </c:pt>
                <c:pt idx="1425">
                  <c:v>20.87</c:v>
                </c:pt>
                <c:pt idx="1426">
                  <c:v>20.97</c:v>
                </c:pt>
                <c:pt idx="1427">
                  <c:v>21.27</c:v>
                </c:pt>
                <c:pt idx="1428">
                  <c:v>21.45</c:v>
                </c:pt>
                <c:pt idx="1429">
                  <c:v>21.19</c:v>
                </c:pt>
                <c:pt idx="1430">
                  <c:v>21.3</c:v>
                </c:pt>
                <c:pt idx="1431">
                  <c:v>21.04</c:v>
                </c:pt>
                <c:pt idx="1432">
                  <c:v>20.93</c:v>
                </c:pt>
                <c:pt idx="1433">
                  <c:v>21.05</c:v>
                </c:pt>
                <c:pt idx="1434">
                  <c:v>21.55</c:v>
                </c:pt>
                <c:pt idx="1435">
                  <c:v>21.42</c:v>
                </c:pt>
                <c:pt idx="1436">
                  <c:v>21.65</c:v>
                </c:pt>
                <c:pt idx="1437">
                  <c:v>21.65</c:v>
                </c:pt>
                <c:pt idx="1438">
                  <c:v>21.03</c:v>
                </c:pt>
                <c:pt idx="1439">
                  <c:v>20.76</c:v>
                </c:pt>
                <c:pt idx="1440">
                  <c:v>20.52</c:v>
                </c:pt>
                <c:pt idx="1441">
                  <c:v>19.93</c:v>
                </c:pt>
                <c:pt idx="1442">
                  <c:v>19.98</c:v>
                </c:pt>
                <c:pt idx="1443">
                  <c:v>19.91</c:v>
                </c:pt>
                <c:pt idx="1444">
                  <c:v>19.89</c:v>
                </c:pt>
                <c:pt idx="1445">
                  <c:v>19.7</c:v>
                </c:pt>
                <c:pt idx="1446">
                  <c:v>19.69</c:v>
                </c:pt>
                <c:pt idx="1447">
                  <c:v>19.95</c:v>
                </c:pt>
                <c:pt idx="1448">
                  <c:v>19.91</c:v>
                </c:pt>
                <c:pt idx="1449">
                  <c:v>19.91</c:v>
                </c:pt>
                <c:pt idx="1450">
                  <c:v>20.01</c:v>
                </c:pt>
                <c:pt idx="1451">
                  <c:v>20.28</c:v>
                </c:pt>
                <c:pt idx="1452">
                  <c:v>18.87</c:v>
                </c:pt>
                <c:pt idx="1453">
                  <c:v>18.47</c:v>
                </c:pt>
                <c:pt idx="1454">
                  <c:v>18.03</c:v>
                </c:pt>
                <c:pt idx="1455">
                  <c:v>18.09</c:v>
                </c:pt>
                <c:pt idx="1456">
                  <c:v>17.58</c:v>
                </c:pt>
                <c:pt idx="1457">
                  <c:v>17.19</c:v>
                </c:pt>
                <c:pt idx="1458">
                  <c:v>17.29</c:v>
                </c:pt>
                <c:pt idx="1459">
                  <c:v>16.87</c:v>
                </c:pt>
                <c:pt idx="1460">
                  <c:v>16.71</c:v>
                </c:pt>
                <c:pt idx="1461">
                  <c:v>17.01</c:v>
                </c:pt>
                <c:pt idx="1462">
                  <c:v>17.72</c:v>
                </c:pt>
                <c:pt idx="1463">
                  <c:v>17.57</c:v>
                </c:pt>
                <c:pt idx="1464">
                  <c:v>17.4</c:v>
                </c:pt>
                <c:pt idx="1465">
                  <c:v>17.18</c:v>
                </c:pt>
                <c:pt idx="1466">
                  <c:v>17.35</c:v>
                </c:pt>
                <c:pt idx="1467">
                  <c:v>17.14</c:v>
                </c:pt>
                <c:pt idx="1468">
                  <c:v>17.3</c:v>
                </c:pt>
                <c:pt idx="1469">
                  <c:v>17.64</c:v>
                </c:pt>
                <c:pt idx="1470">
                  <c:v>17.95</c:v>
                </c:pt>
                <c:pt idx="1471">
                  <c:v>18.5</c:v>
                </c:pt>
                <c:pt idx="1472">
                  <c:v>17.86</c:v>
                </c:pt>
                <c:pt idx="1473">
                  <c:v>16.98</c:v>
                </c:pt>
                <c:pt idx="1474">
                  <c:v>16.97</c:v>
                </c:pt>
                <c:pt idx="1475">
                  <c:v>17.19</c:v>
                </c:pt>
                <c:pt idx="1476">
                  <c:v>17.12</c:v>
                </c:pt>
                <c:pt idx="1477">
                  <c:v>17.19</c:v>
                </c:pt>
                <c:pt idx="1478">
                  <c:v>17.05</c:v>
                </c:pt>
                <c:pt idx="1479">
                  <c:v>17.31</c:v>
                </c:pt>
                <c:pt idx="1480">
                  <c:v>17.3</c:v>
                </c:pt>
                <c:pt idx="1481">
                  <c:v>17.49</c:v>
                </c:pt>
                <c:pt idx="1482">
                  <c:v>17.32</c:v>
                </c:pt>
                <c:pt idx="1483">
                  <c:v>17.52</c:v>
                </c:pt>
                <c:pt idx="1484">
                  <c:v>17.39</c:v>
                </c:pt>
                <c:pt idx="1485">
                  <c:v>17.85</c:v>
                </c:pt>
                <c:pt idx="1486">
                  <c:v>17.87</c:v>
                </c:pt>
                <c:pt idx="1487">
                  <c:v>17.45</c:v>
                </c:pt>
                <c:pt idx="1488">
                  <c:v>17.4</c:v>
                </c:pt>
                <c:pt idx="1489">
                  <c:v>16.33</c:v>
                </c:pt>
                <c:pt idx="1490">
                  <c:v>15.97</c:v>
                </c:pt>
                <c:pt idx="1491">
                  <c:v>15.88</c:v>
                </c:pt>
                <c:pt idx="1492">
                  <c:v>15.97</c:v>
                </c:pt>
                <c:pt idx="1493">
                  <c:v>15.42</c:v>
                </c:pt>
                <c:pt idx="1494">
                  <c:v>15.07</c:v>
                </c:pt>
                <c:pt idx="1495">
                  <c:v>15.06</c:v>
                </c:pt>
                <c:pt idx="1496">
                  <c:v>15.41</c:v>
                </c:pt>
                <c:pt idx="1497">
                  <c:v>15.43</c:v>
                </c:pt>
                <c:pt idx="1498">
                  <c:v>15.1</c:v>
                </c:pt>
                <c:pt idx="1499">
                  <c:v>15.32</c:v>
                </c:pt>
                <c:pt idx="1500">
                  <c:v>15.71</c:v>
                </c:pt>
                <c:pt idx="1501">
                  <c:v>15.43</c:v>
                </c:pt>
                <c:pt idx="1502">
                  <c:v>15.39</c:v>
                </c:pt>
                <c:pt idx="1503">
                  <c:v>15.37</c:v>
                </c:pt>
                <c:pt idx="1504">
                  <c:v>15.47</c:v>
                </c:pt>
                <c:pt idx="1505">
                  <c:v>15.46</c:v>
                </c:pt>
                <c:pt idx="1506">
                  <c:v>15.04</c:v>
                </c:pt>
                <c:pt idx="1507">
                  <c:v>14.88</c:v>
                </c:pt>
                <c:pt idx="1508">
                  <c:v>14.87</c:v>
                </c:pt>
                <c:pt idx="1509">
                  <c:v>14.8</c:v>
                </c:pt>
                <c:pt idx="1510">
                  <c:v>14.73</c:v>
                </c:pt>
                <c:pt idx="1511">
                  <c:v>14.7</c:v>
                </c:pt>
                <c:pt idx="1512">
                  <c:v>14.78</c:v>
                </c:pt>
                <c:pt idx="1513">
                  <c:v>14.7</c:v>
                </c:pt>
                <c:pt idx="1514">
                  <c:v>15.15</c:v>
                </c:pt>
                <c:pt idx="1515">
                  <c:v>15.09</c:v>
                </c:pt>
                <c:pt idx="1516">
                  <c:v>15.76</c:v>
                </c:pt>
                <c:pt idx="1517">
                  <c:v>15.83</c:v>
                </c:pt>
                <c:pt idx="1518">
                  <c:v>15.17</c:v>
                </c:pt>
                <c:pt idx="1519">
                  <c:v>14.92</c:v>
                </c:pt>
                <c:pt idx="1520">
                  <c:v>15.21</c:v>
                </c:pt>
                <c:pt idx="1521">
                  <c:v>15.13</c:v>
                </c:pt>
                <c:pt idx="1522">
                  <c:v>15.47</c:v>
                </c:pt>
                <c:pt idx="1523">
                  <c:v>15.88</c:v>
                </c:pt>
                <c:pt idx="1524">
                  <c:v>15.98</c:v>
                </c:pt>
                <c:pt idx="1525">
                  <c:v>15.83</c:v>
                </c:pt>
                <c:pt idx="1526">
                  <c:v>15.52</c:v>
                </c:pt>
                <c:pt idx="1527">
                  <c:v>15.87</c:v>
                </c:pt>
                <c:pt idx="1528">
                  <c:v>15.88</c:v>
                </c:pt>
                <c:pt idx="1529">
                  <c:v>16.04</c:v>
                </c:pt>
                <c:pt idx="1530">
                  <c:v>15.67</c:v>
                </c:pt>
                <c:pt idx="1531">
                  <c:v>15.71</c:v>
                </c:pt>
                <c:pt idx="1532">
                  <c:v>15.95</c:v>
                </c:pt>
                <c:pt idx="1533">
                  <c:v>15.99</c:v>
                </c:pt>
                <c:pt idx="1534">
                  <c:v>16.3</c:v>
                </c:pt>
                <c:pt idx="1535">
                  <c:v>16.37</c:v>
                </c:pt>
                <c:pt idx="1536">
                  <c:v>16.6</c:v>
                </c:pt>
                <c:pt idx="1537">
                  <c:v>16.29</c:v>
                </c:pt>
                <c:pt idx="1538">
                  <c:v>16.36</c:v>
                </c:pt>
                <c:pt idx="1539">
                  <c:v>15.96</c:v>
                </c:pt>
                <c:pt idx="1540">
                  <c:v>15.81</c:v>
                </c:pt>
                <c:pt idx="1541">
                  <c:v>15.8</c:v>
                </c:pt>
                <c:pt idx="1542">
                  <c:v>15.85</c:v>
                </c:pt>
                <c:pt idx="1543">
                  <c:v>16.29</c:v>
                </c:pt>
                <c:pt idx="1544">
                  <c:v>15.69</c:v>
                </c:pt>
                <c:pt idx="1545">
                  <c:v>15.7</c:v>
                </c:pt>
                <c:pt idx="1546">
                  <c:v>15.32</c:v>
                </c:pt>
                <c:pt idx="1547">
                  <c:v>15.27</c:v>
                </c:pt>
                <c:pt idx="1548">
                  <c:v>15.03</c:v>
                </c:pt>
                <c:pt idx="1549">
                  <c:v>14.69</c:v>
                </c:pt>
                <c:pt idx="1550">
                  <c:v>14.68</c:v>
                </c:pt>
                <c:pt idx="1551">
                  <c:v>14.78</c:v>
                </c:pt>
                <c:pt idx="1552">
                  <c:v>14.89</c:v>
                </c:pt>
                <c:pt idx="1553">
                  <c:v>14.81</c:v>
                </c:pt>
                <c:pt idx="1554">
                  <c:v>15.14</c:v>
                </c:pt>
                <c:pt idx="1555">
                  <c:v>15.51</c:v>
                </c:pt>
                <c:pt idx="1556">
                  <c:v>15.19</c:v>
                </c:pt>
                <c:pt idx="1557">
                  <c:v>15.17</c:v>
                </c:pt>
                <c:pt idx="1558">
                  <c:v>15.19</c:v>
                </c:pt>
                <c:pt idx="1559">
                  <c:v>15.16</c:v>
                </c:pt>
                <c:pt idx="1560">
                  <c:v>15.66</c:v>
                </c:pt>
                <c:pt idx="1561">
                  <c:v>15.59</c:v>
                </c:pt>
                <c:pt idx="1562">
                  <c:v>15</c:v>
                </c:pt>
                <c:pt idx="1563">
                  <c:v>14.81</c:v>
                </c:pt>
                <c:pt idx="1564">
                  <c:v>14.26</c:v>
                </c:pt>
                <c:pt idx="1565">
                  <c:v>13.94</c:v>
                </c:pt>
                <c:pt idx="1566">
                  <c:v>13.93</c:v>
                </c:pt>
                <c:pt idx="1567">
                  <c:v>14.14</c:v>
                </c:pt>
                <c:pt idx="1568">
                  <c:v>13.81</c:v>
                </c:pt>
                <c:pt idx="1569">
                  <c:v>13.34</c:v>
                </c:pt>
                <c:pt idx="1570">
                  <c:v>13.91</c:v>
                </c:pt>
                <c:pt idx="1571">
                  <c:v>14.15</c:v>
                </c:pt>
                <c:pt idx="1572">
                  <c:v>14.4</c:v>
                </c:pt>
                <c:pt idx="1573">
                  <c:v>14.46</c:v>
                </c:pt>
                <c:pt idx="1574">
                  <c:v>14.11</c:v>
                </c:pt>
                <c:pt idx="1575">
                  <c:v>14.15</c:v>
                </c:pt>
                <c:pt idx="1576">
                  <c:v>14.14</c:v>
                </c:pt>
                <c:pt idx="1577">
                  <c:v>14.08</c:v>
                </c:pt>
                <c:pt idx="1578">
                  <c:v>14.57</c:v>
                </c:pt>
                <c:pt idx="1579">
                  <c:v>14.23</c:v>
                </c:pt>
                <c:pt idx="1580">
                  <c:v>14.72</c:v>
                </c:pt>
                <c:pt idx="1581">
                  <c:v>15</c:v>
                </c:pt>
                <c:pt idx="1582">
                  <c:v>14.81</c:v>
                </c:pt>
                <c:pt idx="1583">
                  <c:v>14.44</c:v>
                </c:pt>
                <c:pt idx="1584">
                  <c:v>14.76</c:v>
                </c:pt>
                <c:pt idx="1585">
                  <c:v>14.95</c:v>
                </c:pt>
                <c:pt idx="1586">
                  <c:v>15.3</c:v>
                </c:pt>
                <c:pt idx="1587">
                  <c:v>15.74</c:v>
                </c:pt>
                <c:pt idx="1588">
                  <c:v>16.01</c:v>
                </c:pt>
                <c:pt idx="1589">
                  <c:v>16.05</c:v>
                </c:pt>
                <c:pt idx="1590">
                  <c:v>16.39</c:v>
                </c:pt>
                <c:pt idx="1591">
                  <c:v>16.66</c:v>
                </c:pt>
                <c:pt idx="1592">
                  <c:v>16.18</c:v>
                </c:pt>
                <c:pt idx="1593">
                  <c:v>16.26</c:v>
                </c:pt>
                <c:pt idx="1594">
                  <c:v>16.49</c:v>
                </c:pt>
                <c:pt idx="1595">
                  <c:v>16.3</c:v>
                </c:pt>
                <c:pt idx="1596">
                  <c:v>16.33</c:v>
                </c:pt>
                <c:pt idx="1597">
                  <c:v>16.13</c:v>
                </c:pt>
                <c:pt idx="1598">
                  <c:v>16.93</c:v>
                </c:pt>
                <c:pt idx="1599">
                  <c:v>16.9</c:v>
                </c:pt>
                <c:pt idx="1600">
                  <c:v>16.93</c:v>
                </c:pt>
                <c:pt idx="1601">
                  <c:v>17.07</c:v>
                </c:pt>
                <c:pt idx="1602">
                  <c:v>16.94</c:v>
                </c:pt>
                <c:pt idx="1603">
                  <c:v>17.12</c:v>
                </c:pt>
                <c:pt idx="1604">
                  <c:v>16.94</c:v>
                </c:pt>
                <c:pt idx="1605">
                  <c:v>17.24</c:v>
                </c:pt>
                <c:pt idx="1606">
                  <c:v>17.52</c:v>
                </c:pt>
                <c:pt idx="1607">
                  <c:v>17.37</c:v>
                </c:pt>
                <c:pt idx="1608">
                  <c:v>17.36</c:v>
                </c:pt>
                <c:pt idx="1609">
                  <c:v>17.35</c:v>
                </c:pt>
                <c:pt idx="1610">
                  <c:v>17.05</c:v>
                </c:pt>
                <c:pt idx="1611">
                  <c:v>17.18</c:v>
                </c:pt>
                <c:pt idx="1612">
                  <c:v>17.45</c:v>
                </c:pt>
                <c:pt idx="1613">
                  <c:v>17.43</c:v>
                </c:pt>
                <c:pt idx="1614">
                  <c:v>17.52</c:v>
                </c:pt>
                <c:pt idx="1615">
                  <c:v>17.12</c:v>
                </c:pt>
                <c:pt idx="1616">
                  <c:v>16.74</c:v>
                </c:pt>
                <c:pt idx="1617">
                  <c:v>16.84</c:v>
                </c:pt>
                <c:pt idx="1618">
                  <c:v>17.1</c:v>
                </c:pt>
                <c:pt idx="1619">
                  <c:v>16.88</c:v>
                </c:pt>
                <c:pt idx="1620">
                  <c:v>17.35</c:v>
                </c:pt>
                <c:pt idx="1621">
                  <c:v>17.27</c:v>
                </c:pt>
                <c:pt idx="1622">
                  <c:v>16.91</c:v>
                </c:pt>
                <c:pt idx="1623">
                  <c:v>16.49</c:v>
                </c:pt>
                <c:pt idx="1624">
                  <c:v>16.43</c:v>
                </c:pt>
                <c:pt idx="1625">
                  <c:v>16.56</c:v>
                </c:pt>
                <c:pt idx="1626">
                  <c:v>16.7</c:v>
                </c:pt>
                <c:pt idx="1627">
                  <c:v>16.91</c:v>
                </c:pt>
                <c:pt idx="1628">
                  <c:v>16.79</c:v>
                </c:pt>
                <c:pt idx="1629">
                  <c:v>16.84</c:v>
                </c:pt>
                <c:pt idx="1630">
                  <c:v>16.83</c:v>
                </c:pt>
                <c:pt idx="1631">
                  <c:v>16.74</c:v>
                </c:pt>
                <c:pt idx="1632">
                  <c:v>16.31</c:v>
                </c:pt>
                <c:pt idx="1633">
                  <c:v>16.56</c:v>
                </c:pt>
                <c:pt idx="1634">
                  <c:v>16.31</c:v>
                </c:pt>
                <c:pt idx="1635">
                  <c:v>16.31</c:v>
                </c:pt>
                <c:pt idx="1636">
                  <c:v>16.45</c:v>
                </c:pt>
                <c:pt idx="1637">
                  <c:v>16.59</c:v>
                </c:pt>
                <c:pt idx="1638">
                  <c:v>16.56</c:v>
                </c:pt>
                <c:pt idx="1639">
                  <c:v>17</c:v>
                </c:pt>
                <c:pt idx="1640">
                  <c:v>16.87</c:v>
                </c:pt>
                <c:pt idx="1641">
                  <c:v>16.91</c:v>
                </c:pt>
                <c:pt idx="1642">
                  <c:v>16.97</c:v>
                </c:pt>
                <c:pt idx="1643">
                  <c:v>17.18</c:v>
                </c:pt>
                <c:pt idx="1644">
                  <c:v>17.29</c:v>
                </c:pt>
                <c:pt idx="1645">
                  <c:v>17.17</c:v>
                </c:pt>
                <c:pt idx="1646">
                  <c:v>16.9</c:v>
                </c:pt>
                <c:pt idx="1647">
                  <c:v>16.79</c:v>
                </c:pt>
                <c:pt idx="1648">
                  <c:v>16.33</c:v>
                </c:pt>
                <c:pt idx="1649">
                  <c:v>16.4</c:v>
                </c:pt>
                <c:pt idx="1650">
                  <c:v>16.3</c:v>
                </c:pt>
                <c:pt idx="1651">
                  <c:v>16.38</c:v>
                </c:pt>
                <c:pt idx="1652">
                  <c:v>16.71</c:v>
                </c:pt>
                <c:pt idx="1653">
                  <c:v>16.99</c:v>
                </c:pt>
                <c:pt idx="1654">
                  <c:v>16.96</c:v>
                </c:pt>
                <c:pt idx="1655">
                  <c:v>16.7</c:v>
                </c:pt>
                <c:pt idx="1656">
                  <c:v>17.06</c:v>
                </c:pt>
                <c:pt idx="1657">
                  <c:v>17.33</c:v>
                </c:pt>
                <c:pt idx="1658">
                  <c:v>17.55</c:v>
                </c:pt>
                <c:pt idx="1659">
                  <c:v>17.38</c:v>
                </c:pt>
                <c:pt idx="1660">
                  <c:v>17.09</c:v>
                </c:pt>
                <c:pt idx="1661">
                  <c:v>17.12</c:v>
                </c:pt>
                <c:pt idx="1662">
                  <c:v>16.77</c:v>
                </c:pt>
                <c:pt idx="1663">
                  <c:v>16.51</c:v>
                </c:pt>
                <c:pt idx="1664">
                  <c:v>16.5</c:v>
                </c:pt>
                <c:pt idx="1665">
                  <c:v>16.64</c:v>
                </c:pt>
                <c:pt idx="1666">
                  <c:v>16.42</c:v>
                </c:pt>
                <c:pt idx="1667">
                  <c:v>16.46</c:v>
                </c:pt>
                <c:pt idx="1668">
                  <c:v>16.47</c:v>
                </c:pt>
                <c:pt idx="1669">
                  <c:v>16.49</c:v>
                </c:pt>
                <c:pt idx="1670">
                  <c:v>16.49</c:v>
                </c:pt>
                <c:pt idx="1671">
                  <c:v>16.01</c:v>
                </c:pt>
                <c:pt idx="1672">
                  <c:v>15.93</c:v>
                </c:pt>
                <c:pt idx="1673">
                  <c:v>16.13</c:v>
                </c:pt>
                <c:pt idx="1674">
                  <c:v>16.2</c:v>
                </c:pt>
                <c:pt idx="1675">
                  <c:v>16.29</c:v>
                </c:pt>
                <c:pt idx="1676">
                  <c:v>16.26</c:v>
                </c:pt>
                <c:pt idx="1677">
                  <c:v>16.35</c:v>
                </c:pt>
                <c:pt idx="1678">
                  <c:v>16.52</c:v>
                </c:pt>
                <c:pt idx="1679">
                  <c:v>16.04</c:v>
                </c:pt>
                <c:pt idx="1680">
                  <c:v>15.93</c:v>
                </c:pt>
                <c:pt idx="1681">
                  <c:v>15.82</c:v>
                </c:pt>
                <c:pt idx="1682">
                  <c:v>15.94</c:v>
                </c:pt>
                <c:pt idx="1683">
                  <c:v>15.54</c:v>
                </c:pt>
                <c:pt idx="1684">
                  <c:v>15.31</c:v>
                </c:pt>
                <c:pt idx="1685">
                  <c:v>14.96</c:v>
                </c:pt>
                <c:pt idx="1686">
                  <c:v>15.56</c:v>
                </c:pt>
                <c:pt idx="1687">
                  <c:v>15.33</c:v>
                </c:pt>
                <c:pt idx="1688">
                  <c:v>15.5</c:v>
                </c:pt>
                <c:pt idx="1689">
                  <c:v>15.02</c:v>
                </c:pt>
                <c:pt idx="1690">
                  <c:v>15.49</c:v>
                </c:pt>
                <c:pt idx="1691">
                  <c:v>15.7</c:v>
                </c:pt>
                <c:pt idx="1692">
                  <c:v>15.5</c:v>
                </c:pt>
                <c:pt idx="1693">
                  <c:v>15.34</c:v>
                </c:pt>
                <c:pt idx="1694">
                  <c:v>15.57</c:v>
                </c:pt>
                <c:pt idx="1695">
                  <c:v>15.74</c:v>
                </c:pt>
                <c:pt idx="1696">
                  <c:v>15.85</c:v>
                </c:pt>
                <c:pt idx="1697">
                  <c:v>15.94</c:v>
                </c:pt>
                <c:pt idx="1698">
                  <c:v>16.09</c:v>
                </c:pt>
                <c:pt idx="1699">
                  <c:v>16.32</c:v>
                </c:pt>
                <c:pt idx="1700">
                  <c:v>16.31</c:v>
                </c:pt>
                <c:pt idx="1701">
                  <c:v>16.17</c:v>
                </c:pt>
                <c:pt idx="1702">
                  <c:v>16.04</c:v>
                </c:pt>
                <c:pt idx="1703">
                  <c:v>16.08</c:v>
                </c:pt>
                <c:pt idx="1704">
                  <c:v>16.08</c:v>
                </c:pt>
                <c:pt idx="1705">
                  <c:v>16.44</c:v>
                </c:pt>
                <c:pt idx="1706">
                  <c:v>16.41</c:v>
                </c:pt>
                <c:pt idx="1707">
                  <c:v>16.62</c:v>
                </c:pt>
                <c:pt idx="1708">
                  <c:v>16.68</c:v>
                </c:pt>
                <c:pt idx="1709">
                  <c:v>16.65</c:v>
                </c:pt>
                <c:pt idx="1710">
                  <c:v>16.76</c:v>
                </c:pt>
                <c:pt idx="1711">
                  <c:v>16.72</c:v>
                </c:pt>
                <c:pt idx="1712">
                  <c:v>16.66</c:v>
                </c:pt>
                <c:pt idx="1713">
                  <c:v>16.64</c:v>
                </c:pt>
                <c:pt idx="1714">
                  <c:v>16.7</c:v>
                </c:pt>
                <c:pt idx="1715">
                  <c:v>16.73</c:v>
                </c:pt>
                <c:pt idx="1716">
                  <c:v>17</c:v>
                </c:pt>
                <c:pt idx="1717">
                  <c:v>16.43</c:v>
                </c:pt>
                <c:pt idx="1718">
                  <c:v>16.64</c:v>
                </c:pt>
                <c:pt idx="1719">
                  <c:v>16.57</c:v>
                </c:pt>
                <c:pt idx="1720">
                  <c:v>16.47</c:v>
                </c:pt>
                <c:pt idx="1721">
                  <c:v>16.17</c:v>
                </c:pt>
                <c:pt idx="1722">
                  <c:v>16.17</c:v>
                </c:pt>
                <c:pt idx="1723">
                  <c:v>16.16</c:v>
                </c:pt>
                <c:pt idx="1724">
                  <c:v>16.58</c:v>
                </c:pt>
                <c:pt idx="1725">
                  <c:v>16.43</c:v>
                </c:pt>
                <c:pt idx="1726">
                  <c:v>16.3</c:v>
                </c:pt>
                <c:pt idx="1727">
                  <c:v>16.22</c:v>
                </c:pt>
                <c:pt idx="1728">
                  <c:v>16.24</c:v>
                </c:pt>
                <c:pt idx="1729">
                  <c:v>16.16</c:v>
                </c:pt>
                <c:pt idx="1730">
                  <c:v>16.21</c:v>
                </c:pt>
                <c:pt idx="1731">
                  <c:v>16.35</c:v>
                </c:pt>
                <c:pt idx="1732">
                  <c:v>16.49</c:v>
                </c:pt>
                <c:pt idx="1733">
                  <c:v>16.52</c:v>
                </c:pt>
                <c:pt idx="1734">
                  <c:v>16.52</c:v>
                </c:pt>
                <c:pt idx="1735">
                  <c:v>16.65</c:v>
                </c:pt>
                <c:pt idx="1736">
                  <c:v>16.72</c:v>
                </c:pt>
                <c:pt idx="1737">
                  <c:v>16.49</c:v>
                </c:pt>
                <c:pt idx="1738">
                  <c:v>17.22</c:v>
                </c:pt>
                <c:pt idx="1739">
                  <c:v>17.49</c:v>
                </c:pt>
                <c:pt idx="1740">
                  <c:v>17.49</c:v>
                </c:pt>
                <c:pt idx="1741">
                  <c:v>17.79</c:v>
                </c:pt>
                <c:pt idx="1742">
                  <c:v>17.29</c:v>
                </c:pt>
                <c:pt idx="1743">
                  <c:v>17.55</c:v>
                </c:pt>
                <c:pt idx="1744">
                  <c:v>18.03</c:v>
                </c:pt>
                <c:pt idx="1745">
                  <c:v>17.6</c:v>
                </c:pt>
                <c:pt idx="1746">
                  <c:v>18.03</c:v>
                </c:pt>
                <c:pt idx="1747">
                  <c:v>18.42</c:v>
                </c:pt>
                <c:pt idx="1748">
                  <c:v>18.34</c:v>
                </c:pt>
                <c:pt idx="1749">
                  <c:v>18.19</c:v>
                </c:pt>
                <c:pt idx="1750">
                  <c:v>18.11</c:v>
                </c:pt>
                <c:pt idx="1751">
                  <c:v>18.38</c:v>
                </c:pt>
                <c:pt idx="1752">
                  <c:v>18.24</c:v>
                </c:pt>
                <c:pt idx="1753">
                  <c:v>18.53</c:v>
                </c:pt>
                <c:pt idx="1754">
                  <c:v>18.17</c:v>
                </c:pt>
                <c:pt idx="1755">
                  <c:v>18.17</c:v>
                </c:pt>
                <c:pt idx="1756">
                  <c:v>18.15</c:v>
                </c:pt>
                <c:pt idx="1757">
                  <c:v>18.13</c:v>
                </c:pt>
                <c:pt idx="1758">
                  <c:v>18.09</c:v>
                </c:pt>
                <c:pt idx="1759">
                  <c:v>17.76</c:v>
                </c:pt>
                <c:pt idx="1760">
                  <c:v>17.87</c:v>
                </c:pt>
                <c:pt idx="1761">
                  <c:v>18.05</c:v>
                </c:pt>
                <c:pt idx="1762">
                  <c:v>18.07</c:v>
                </c:pt>
                <c:pt idx="1763">
                  <c:v>18.57</c:v>
                </c:pt>
                <c:pt idx="1764">
                  <c:v>18.69</c:v>
                </c:pt>
                <c:pt idx="1765">
                  <c:v>18.88</c:v>
                </c:pt>
                <c:pt idx="1766">
                  <c:v>18.88</c:v>
                </c:pt>
                <c:pt idx="1767">
                  <c:v>18.63</c:v>
                </c:pt>
                <c:pt idx="1768">
                  <c:v>18.32</c:v>
                </c:pt>
                <c:pt idx="1769">
                  <c:v>18.45</c:v>
                </c:pt>
                <c:pt idx="1770">
                  <c:v>18.54</c:v>
                </c:pt>
                <c:pt idx="1771">
                  <c:v>18.51</c:v>
                </c:pt>
                <c:pt idx="1772">
                  <c:v>18.77</c:v>
                </c:pt>
                <c:pt idx="1773">
                  <c:v>18.86</c:v>
                </c:pt>
                <c:pt idx="1774">
                  <c:v>18.82</c:v>
                </c:pt>
                <c:pt idx="1775">
                  <c:v>18.83</c:v>
                </c:pt>
                <c:pt idx="1776">
                  <c:v>19.07</c:v>
                </c:pt>
                <c:pt idx="1777">
                  <c:v>18.88</c:v>
                </c:pt>
                <c:pt idx="1778">
                  <c:v>19.12</c:v>
                </c:pt>
                <c:pt idx="1779">
                  <c:v>19.07</c:v>
                </c:pt>
                <c:pt idx="1780">
                  <c:v>19.27</c:v>
                </c:pt>
                <c:pt idx="1781">
                  <c:v>18.4</c:v>
                </c:pt>
                <c:pt idx="1782">
                  <c:v>18.11</c:v>
                </c:pt>
                <c:pt idx="1783">
                  <c:v>18.18</c:v>
                </c:pt>
                <c:pt idx="1784">
                  <c:v>17.78</c:v>
                </c:pt>
                <c:pt idx="1785">
                  <c:v>17.81</c:v>
                </c:pt>
                <c:pt idx="1786">
                  <c:v>17.58</c:v>
                </c:pt>
                <c:pt idx="1787">
                  <c:v>17.53</c:v>
                </c:pt>
                <c:pt idx="1788">
                  <c:v>17.29</c:v>
                </c:pt>
                <c:pt idx="1789">
                  <c:v>17.18</c:v>
                </c:pt>
                <c:pt idx="1790">
                  <c:v>17.58</c:v>
                </c:pt>
                <c:pt idx="1791">
                  <c:v>17.56</c:v>
                </c:pt>
                <c:pt idx="1792">
                  <c:v>17.48</c:v>
                </c:pt>
                <c:pt idx="1793">
                  <c:v>17.36</c:v>
                </c:pt>
                <c:pt idx="1794">
                  <c:v>17.5</c:v>
                </c:pt>
                <c:pt idx="1795">
                  <c:v>17.46</c:v>
                </c:pt>
                <c:pt idx="1796">
                  <c:v>17.34</c:v>
                </c:pt>
                <c:pt idx="1797">
                  <c:v>17.17</c:v>
                </c:pt>
                <c:pt idx="1798">
                  <c:v>16.97</c:v>
                </c:pt>
                <c:pt idx="1799">
                  <c:v>17.01</c:v>
                </c:pt>
                <c:pt idx="1800">
                  <c:v>16.92</c:v>
                </c:pt>
                <c:pt idx="1801">
                  <c:v>16.79</c:v>
                </c:pt>
                <c:pt idx="1802">
                  <c:v>17.06</c:v>
                </c:pt>
                <c:pt idx="1803">
                  <c:v>16.88</c:v>
                </c:pt>
                <c:pt idx="1804">
                  <c:v>16.86</c:v>
                </c:pt>
                <c:pt idx="1805">
                  <c:v>16.92</c:v>
                </c:pt>
                <c:pt idx="1806">
                  <c:v>16.89</c:v>
                </c:pt>
                <c:pt idx="1807">
                  <c:v>16.75</c:v>
                </c:pt>
                <c:pt idx="1808">
                  <c:v>16.75</c:v>
                </c:pt>
                <c:pt idx="1809">
                  <c:v>16.97</c:v>
                </c:pt>
                <c:pt idx="1810">
                  <c:v>16.96</c:v>
                </c:pt>
                <c:pt idx="1811">
                  <c:v>16.22</c:v>
                </c:pt>
                <c:pt idx="1812">
                  <c:v>16.22</c:v>
                </c:pt>
                <c:pt idx="1813">
                  <c:v>15.97</c:v>
                </c:pt>
                <c:pt idx="1814">
                  <c:v>15.95</c:v>
                </c:pt>
                <c:pt idx="1815">
                  <c:v>16.07</c:v>
                </c:pt>
                <c:pt idx="1816">
                  <c:v>16.27</c:v>
                </c:pt>
                <c:pt idx="1817">
                  <c:v>16.11</c:v>
                </c:pt>
                <c:pt idx="1818">
                  <c:v>16.29</c:v>
                </c:pt>
                <c:pt idx="1819">
                  <c:v>16.08</c:v>
                </c:pt>
                <c:pt idx="1820">
                  <c:v>16.06</c:v>
                </c:pt>
                <c:pt idx="1821">
                  <c:v>15.87</c:v>
                </c:pt>
                <c:pt idx="1822">
                  <c:v>15.81</c:v>
                </c:pt>
                <c:pt idx="1823">
                  <c:v>15.57</c:v>
                </c:pt>
                <c:pt idx="1824">
                  <c:v>15.47</c:v>
                </c:pt>
                <c:pt idx="1825">
                  <c:v>15.55</c:v>
                </c:pt>
                <c:pt idx="1826">
                  <c:v>15.31</c:v>
                </c:pt>
                <c:pt idx="1827">
                  <c:v>15.38</c:v>
                </c:pt>
                <c:pt idx="1828">
                  <c:v>15.65</c:v>
                </c:pt>
                <c:pt idx="1829">
                  <c:v>15.4</c:v>
                </c:pt>
                <c:pt idx="1830">
                  <c:v>15.23</c:v>
                </c:pt>
                <c:pt idx="1831">
                  <c:v>15.04</c:v>
                </c:pt>
                <c:pt idx="1832">
                  <c:v>14.91</c:v>
                </c:pt>
                <c:pt idx="1833">
                  <c:v>15.01</c:v>
                </c:pt>
                <c:pt idx="1834">
                  <c:v>15.08</c:v>
                </c:pt>
                <c:pt idx="1835">
                  <c:v>15.3</c:v>
                </c:pt>
                <c:pt idx="1836">
                  <c:v>15.55</c:v>
                </c:pt>
                <c:pt idx="1837">
                  <c:v>15.74</c:v>
                </c:pt>
                <c:pt idx="1838">
                  <c:v>15.45</c:v>
                </c:pt>
                <c:pt idx="1839">
                  <c:v>15.25</c:v>
                </c:pt>
                <c:pt idx="1840">
                  <c:v>15.43</c:v>
                </c:pt>
                <c:pt idx="1841">
                  <c:v>15.54</c:v>
                </c:pt>
                <c:pt idx="1842">
                  <c:v>15.11</c:v>
                </c:pt>
                <c:pt idx="1843">
                  <c:v>14.87</c:v>
                </c:pt>
                <c:pt idx="1844">
                  <c:v>14.97</c:v>
                </c:pt>
                <c:pt idx="1845">
                  <c:v>14.86</c:v>
                </c:pt>
                <c:pt idx="1846">
                  <c:v>14.66</c:v>
                </c:pt>
                <c:pt idx="1847">
                  <c:v>14.48</c:v>
                </c:pt>
                <c:pt idx="1848">
                  <c:v>14.67</c:v>
                </c:pt>
                <c:pt idx="1849">
                  <c:v>14.43</c:v>
                </c:pt>
                <c:pt idx="1850">
                  <c:v>14.61</c:v>
                </c:pt>
                <c:pt idx="1851">
                  <c:v>14.84</c:v>
                </c:pt>
                <c:pt idx="1852">
                  <c:v>15.16</c:v>
                </c:pt>
                <c:pt idx="1853">
                  <c:v>15.46</c:v>
                </c:pt>
                <c:pt idx="1854">
                  <c:v>15.47</c:v>
                </c:pt>
                <c:pt idx="1855">
                  <c:v>15.33</c:v>
                </c:pt>
                <c:pt idx="1856">
                  <c:v>15.14</c:v>
                </c:pt>
                <c:pt idx="1857">
                  <c:v>15.08</c:v>
                </c:pt>
                <c:pt idx="1858">
                  <c:v>15.09</c:v>
                </c:pt>
                <c:pt idx="1859">
                  <c:v>15.24</c:v>
                </c:pt>
                <c:pt idx="1860">
                  <c:v>15.18</c:v>
                </c:pt>
                <c:pt idx="1861">
                  <c:v>15.71</c:v>
                </c:pt>
                <c:pt idx="1862">
                  <c:v>15.74</c:v>
                </c:pt>
                <c:pt idx="1863">
                  <c:v>15.56</c:v>
                </c:pt>
                <c:pt idx="1864">
                  <c:v>15.73</c:v>
                </c:pt>
                <c:pt idx="1865">
                  <c:v>15.78</c:v>
                </c:pt>
                <c:pt idx="1866">
                  <c:v>15.44</c:v>
                </c:pt>
                <c:pt idx="1867">
                  <c:v>15.51</c:v>
                </c:pt>
                <c:pt idx="1868">
                  <c:v>15.51</c:v>
                </c:pt>
                <c:pt idx="1869">
                  <c:v>15.68</c:v>
                </c:pt>
                <c:pt idx="1870">
                  <c:v>15.37</c:v>
                </c:pt>
                <c:pt idx="1871">
                  <c:v>15.22</c:v>
                </c:pt>
                <c:pt idx="1872">
                  <c:v>15.32</c:v>
                </c:pt>
                <c:pt idx="1873">
                  <c:v>15.45</c:v>
                </c:pt>
                <c:pt idx="1874">
                  <c:v>15.79</c:v>
                </c:pt>
                <c:pt idx="1875">
                  <c:v>16.06</c:v>
                </c:pt>
                <c:pt idx="1876">
                  <c:v>15.77</c:v>
                </c:pt>
                <c:pt idx="1877">
                  <c:v>15.79</c:v>
                </c:pt>
                <c:pt idx="1878">
                  <c:v>16</c:v>
                </c:pt>
                <c:pt idx="1879">
                  <c:v>16.09</c:v>
                </c:pt>
                <c:pt idx="1880">
                  <c:v>16.21</c:v>
                </c:pt>
                <c:pt idx="1881">
                  <c:v>16.23</c:v>
                </c:pt>
                <c:pt idx="1882">
                  <c:v>16.5</c:v>
                </c:pt>
                <c:pt idx="1883">
                  <c:v>17.01</c:v>
                </c:pt>
                <c:pt idx="1884">
                  <c:v>16.72</c:v>
                </c:pt>
                <c:pt idx="1885">
                  <c:v>16.68</c:v>
                </c:pt>
                <c:pt idx="1886">
                  <c:v>16.85</c:v>
                </c:pt>
                <c:pt idx="1887">
                  <c:v>16.65</c:v>
                </c:pt>
                <c:pt idx="1888">
                  <c:v>16.87</c:v>
                </c:pt>
                <c:pt idx="1889">
                  <c:v>17.03</c:v>
                </c:pt>
                <c:pt idx="1890">
                  <c:v>17.03</c:v>
                </c:pt>
                <c:pt idx="1891">
                  <c:v>17.18</c:v>
                </c:pt>
                <c:pt idx="1892">
                  <c:v>17.23</c:v>
                </c:pt>
                <c:pt idx="1893">
                  <c:v>17.2</c:v>
                </c:pt>
                <c:pt idx="1894">
                  <c:v>17.12</c:v>
                </c:pt>
                <c:pt idx="1895">
                  <c:v>17.11</c:v>
                </c:pt>
                <c:pt idx="1896">
                  <c:v>17.14</c:v>
                </c:pt>
                <c:pt idx="1897">
                  <c:v>16.8</c:v>
                </c:pt>
                <c:pt idx="1898">
                  <c:v>16.83</c:v>
                </c:pt>
                <c:pt idx="1899">
                  <c:v>16.85</c:v>
                </c:pt>
                <c:pt idx="1900">
                  <c:v>17.12</c:v>
                </c:pt>
                <c:pt idx="1901">
                  <c:v>16.81</c:v>
                </c:pt>
                <c:pt idx="1902">
                  <c:v>16.77</c:v>
                </c:pt>
                <c:pt idx="1903">
                  <c:v>16.63</c:v>
                </c:pt>
                <c:pt idx="1904">
                  <c:v>16.62</c:v>
                </c:pt>
                <c:pt idx="1905">
                  <c:v>16.61</c:v>
                </c:pt>
                <c:pt idx="1906">
                  <c:v>16.71</c:v>
                </c:pt>
                <c:pt idx="1907">
                  <c:v>16.51</c:v>
                </c:pt>
                <c:pt idx="1908">
                  <c:v>16.57</c:v>
                </c:pt>
                <c:pt idx="1909">
                  <c:v>16.64</c:v>
                </c:pt>
                <c:pt idx="1910">
                  <c:v>16.82</c:v>
                </c:pt>
                <c:pt idx="1911">
                  <c:v>16.77</c:v>
                </c:pt>
                <c:pt idx="1912">
                  <c:v>16.7</c:v>
                </c:pt>
                <c:pt idx="1913">
                  <c:v>16.88</c:v>
                </c:pt>
                <c:pt idx="1914">
                  <c:v>16.91</c:v>
                </c:pt>
                <c:pt idx="1915">
                  <c:v>17.05</c:v>
                </c:pt>
                <c:pt idx="1916">
                  <c:v>16.97</c:v>
                </c:pt>
                <c:pt idx="1917">
                  <c:v>16.36</c:v>
                </c:pt>
                <c:pt idx="1918">
                  <c:v>16.43</c:v>
                </c:pt>
                <c:pt idx="1919">
                  <c:v>16.27</c:v>
                </c:pt>
                <c:pt idx="1920">
                  <c:v>16.42</c:v>
                </c:pt>
                <c:pt idx="1921">
                  <c:v>16.62</c:v>
                </c:pt>
                <c:pt idx="1922">
                  <c:v>16.59</c:v>
                </c:pt>
                <c:pt idx="1923">
                  <c:v>16.76</c:v>
                </c:pt>
                <c:pt idx="1924">
                  <c:v>16.96</c:v>
                </c:pt>
                <c:pt idx="1925">
                  <c:v>17.25</c:v>
                </c:pt>
                <c:pt idx="1926">
                  <c:v>16.69</c:v>
                </c:pt>
                <c:pt idx="1927">
                  <c:v>16.73</c:v>
                </c:pt>
                <c:pt idx="1928">
                  <c:v>17.24</c:v>
                </c:pt>
                <c:pt idx="1929">
                  <c:v>16.88</c:v>
                </c:pt>
                <c:pt idx="1930">
                  <c:v>16.87</c:v>
                </c:pt>
                <c:pt idx="1931">
                  <c:v>16.71</c:v>
                </c:pt>
                <c:pt idx="1932">
                  <c:v>16.95</c:v>
                </c:pt>
                <c:pt idx="1933">
                  <c:v>16.87</c:v>
                </c:pt>
                <c:pt idx="1934">
                  <c:v>16.86</c:v>
                </c:pt>
                <c:pt idx="1935">
                  <c:v>16.67</c:v>
                </c:pt>
                <c:pt idx="1936">
                  <c:v>16.63</c:v>
                </c:pt>
                <c:pt idx="1937">
                  <c:v>16.66</c:v>
                </c:pt>
                <c:pt idx="1938">
                  <c:v>16.88</c:v>
                </c:pt>
                <c:pt idx="1939">
                  <c:v>17.05</c:v>
                </c:pt>
                <c:pt idx="1940">
                  <c:v>17.11</c:v>
                </c:pt>
                <c:pt idx="1941">
                  <c:v>17.28</c:v>
                </c:pt>
                <c:pt idx="1942">
                  <c:v>17.46</c:v>
                </c:pt>
                <c:pt idx="1943">
                  <c:v>17.69</c:v>
                </c:pt>
                <c:pt idx="1944">
                  <c:v>17.71</c:v>
                </c:pt>
                <c:pt idx="1945">
                  <c:v>17.68</c:v>
                </c:pt>
                <c:pt idx="1946">
                  <c:v>17.6</c:v>
                </c:pt>
                <c:pt idx="1947">
                  <c:v>17.7</c:v>
                </c:pt>
                <c:pt idx="1948">
                  <c:v>17.5</c:v>
                </c:pt>
                <c:pt idx="1949">
                  <c:v>17.52</c:v>
                </c:pt>
                <c:pt idx="1950">
                  <c:v>17.31</c:v>
                </c:pt>
                <c:pt idx="1951">
                  <c:v>17.33</c:v>
                </c:pt>
                <c:pt idx="1952">
                  <c:v>17.49</c:v>
                </c:pt>
                <c:pt idx="1953">
                  <c:v>17.42</c:v>
                </c:pt>
                <c:pt idx="1954">
                  <c:v>17.2</c:v>
                </c:pt>
                <c:pt idx="1955">
                  <c:v>17.36</c:v>
                </c:pt>
                <c:pt idx="1956">
                  <c:v>17.5</c:v>
                </c:pt>
                <c:pt idx="1957">
                  <c:v>17.84</c:v>
                </c:pt>
                <c:pt idx="1958">
                  <c:v>17.85</c:v>
                </c:pt>
                <c:pt idx="1959">
                  <c:v>17.85</c:v>
                </c:pt>
                <c:pt idx="1960">
                  <c:v>17.47</c:v>
                </c:pt>
                <c:pt idx="1961">
                  <c:v>17.35</c:v>
                </c:pt>
                <c:pt idx="1962">
                  <c:v>17.62</c:v>
                </c:pt>
                <c:pt idx="1963">
                  <c:v>17.5</c:v>
                </c:pt>
                <c:pt idx="1964">
                  <c:v>17.62</c:v>
                </c:pt>
                <c:pt idx="1965">
                  <c:v>17.66</c:v>
                </c:pt>
                <c:pt idx="1966">
                  <c:v>17.76</c:v>
                </c:pt>
                <c:pt idx="1967">
                  <c:v>17.33</c:v>
                </c:pt>
                <c:pt idx="1968">
                  <c:v>17.42</c:v>
                </c:pt>
                <c:pt idx="1969">
                  <c:v>17.21</c:v>
                </c:pt>
                <c:pt idx="1970">
                  <c:v>17.19</c:v>
                </c:pt>
                <c:pt idx="1971">
                  <c:v>17.09</c:v>
                </c:pt>
                <c:pt idx="1972">
                  <c:v>16.84</c:v>
                </c:pt>
                <c:pt idx="1973">
                  <c:v>16.99</c:v>
                </c:pt>
                <c:pt idx="1974">
                  <c:v>17.24</c:v>
                </c:pt>
                <c:pt idx="1975">
                  <c:v>17.24</c:v>
                </c:pt>
                <c:pt idx="1976">
                  <c:v>16.3</c:v>
                </c:pt>
                <c:pt idx="1977">
                  <c:v>16.26</c:v>
                </c:pt>
                <c:pt idx="1978">
                  <c:v>16.54</c:v>
                </c:pt>
                <c:pt idx="1979">
                  <c:v>16.47</c:v>
                </c:pt>
                <c:pt idx="1980">
                  <c:v>16.26</c:v>
                </c:pt>
                <c:pt idx="1981">
                  <c:v>15.8</c:v>
                </c:pt>
                <c:pt idx="1982">
                  <c:v>16.07</c:v>
                </c:pt>
                <c:pt idx="1983">
                  <c:v>16.31</c:v>
                </c:pt>
                <c:pt idx="1984">
                  <c:v>16.52</c:v>
                </c:pt>
                <c:pt idx="1985">
                  <c:v>16.69</c:v>
                </c:pt>
                <c:pt idx="1986">
                  <c:v>16.87</c:v>
                </c:pt>
                <c:pt idx="1987">
                  <c:v>16.96</c:v>
                </c:pt>
                <c:pt idx="1988">
                  <c:v>17.04</c:v>
                </c:pt>
                <c:pt idx="1989">
                  <c:v>17.11</c:v>
                </c:pt>
                <c:pt idx="1990">
                  <c:v>17.43</c:v>
                </c:pt>
                <c:pt idx="1991">
                  <c:v>17.58</c:v>
                </c:pt>
                <c:pt idx="1992">
                  <c:v>17.48</c:v>
                </c:pt>
                <c:pt idx="1993">
                  <c:v>17.57</c:v>
                </c:pt>
                <c:pt idx="1994">
                  <c:v>17.68</c:v>
                </c:pt>
                <c:pt idx="1995">
                  <c:v>17.91</c:v>
                </c:pt>
                <c:pt idx="1996">
                  <c:v>18.14</c:v>
                </c:pt>
                <c:pt idx="1997">
                  <c:v>17.79</c:v>
                </c:pt>
                <c:pt idx="1998">
                  <c:v>17.38</c:v>
                </c:pt>
                <c:pt idx="1999">
                  <c:v>17.58</c:v>
                </c:pt>
                <c:pt idx="2000">
                  <c:v>17.57</c:v>
                </c:pt>
                <c:pt idx="2001">
                  <c:v>17.38</c:v>
                </c:pt>
                <c:pt idx="2002">
                  <c:v>17.12</c:v>
                </c:pt>
                <c:pt idx="2003">
                  <c:v>17.39</c:v>
                </c:pt>
                <c:pt idx="2004">
                  <c:v>17.74</c:v>
                </c:pt>
                <c:pt idx="2005">
                  <c:v>17.29</c:v>
                </c:pt>
                <c:pt idx="2006">
                  <c:v>17.04</c:v>
                </c:pt>
                <c:pt idx="2007">
                  <c:v>17.14</c:v>
                </c:pt>
                <c:pt idx="2008">
                  <c:v>16.92</c:v>
                </c:pt>
                <c:pt idx="2009">
                  <c:v>16.77</c:v>
                </c:pt>
                <c:pt idx="2010">
                  <c:v>16.74</c:v>
                </c:pt>
                <c:pt idx="2011">
                  <c:v>16.54</c:v>
                </c:pt>
                <c:pt idx="2012">
                  <c:v>17.02</c:v>
                </c:pt>
                <c:pt idx="2013">
                  <c:v>16.78</c:v>
                </c:pt>
                <c:pt idx="2014">
                  <c:v>16.56</c:v>
                </c:pt>
                <c:pt idx="2015">
                  <c:v>16.89</c:v>
                </c:pt>
                <c:pt idx="2016">
                  <c:v>17.03</c:v>
                </c:pt>
                <c:pt idx="2017">
                  <c:v>17.02</c:v>
                </c:pt>
                <c:pt idx="2018">
                  <c:v>16.86</c:v>
                </c:pt>
                <c:pt idx="2019">
                  <c:v>16.88</c:v>
                </c:pt>
                <c:pt idx="2020">
                  <c:v>16.83</c:v>
                </c:pt>
                <c:pt idx="2021">
                  <c:v>16.63</c:v>
                </c:pt>
                <c:pt idx="2022">
                  <c:v>16.66</c:v>
                </c:pt>
                <c:pt idx="2023">
                  <c:v>16.79</c:v>
                </c:pt>
                <c:pt idx="2024">
                  <c:v>16.87</c:v>
                </c:pt>
                <c:pt idx="2025">
                  <c:v>16.65</c:v>
                </c:pt>
                <c:pt idx="2026">
                  <c:v>16.91</c:v>
                </c:pt>
                <c:pt idx="2027">
                  <c:v>16.9</c:v>
                </c:pt>
                <c:pt idx="2028">
                  <c:v>16.89</c:v>
                </c:pt>
                <c:pt idx="2029">
                  <c:v>16.92</c:v>
                </c:pt>
                <c:pt idx="2030">
                  <c:v>17.2</c:v>
                </c:pt>
                <c:pt idx="2031">
                  <c:v>17.17</c:v>
                </c:pt>
                <c:pt idx="2032">
                  <c:v>17.28</c:v>
                </c:pt>
                <c:pt idx="2033">
                  <c:v>18.06</c:v>
                </c:pt>
                <c:pt idx="2034">
                  <c:v>18.25</c:v>
                </c:pt>
                <c:pt idx="2035">
                  <c:v>18.53</c:v>
                </c:pt>
                <c:pt idx="2036">
                  <c:v>19.03</c:v>
                </c:pt>
                <c:pt idx="2037">
                  <c:v>18.76</c:v>
                </c:pt>
                <c:pt idx="2038">
                  <c:v>18.3</c:v>
                </c:pt>
                <c:pt idx="2039">
                  <c:v>18.13</c:v>
                </c:pt>
                <c:pt idx="2040">
                  <c:v>18.39</c:v>
                </c:pt>
                <c:pt idx="2041">
                  <c:v>17.11</c:v>
                </c:pt>
                <c:pt idx="2042">
                  <c:v>17.17</c:v>
                </c:pt>
                <c:pt idx="2043">
                  <c:v>17.32</c:v>
                </c:pt>
                <c:pt idx="2044">
                  <c:v>17.82</c:v>
                </c:pt>
                <c:pt idx="2045">
                  <c:v>17.43</c:v>
                </c:pt>
                <c:pt idx="2046">
                  <c:v>17.63</c:v>
                </c:pt>
                <c:pt idx="2047">
                  <c:v>17.75</c:v>
                </c:pt>
                <c:pt idx="2048">
                  <c:v>17.55</c:v>
                </c:pt>
                <c:pt idx="2049">
                  <c:v>17.17</c:v>
                </c:pt>
                <c:pt idx="2050">
                  <c:v>16.89</c:v>
                </c:pt>
                <c:pt idx="2051">
                  <c:v>17.03</c:v>
                </c:pt>
                <c:pt idx="2052">
                  <c:v>16.91</c:v>
                </c:pt>
                <c:pt idx="2053">
                  <c:v>17.37</c:v>
                </c:pt>
                <c:pt idx="2054">
                  <c:v>17.52</c:v>
                </c:pt>
                <c:pt idx="2055">
                  <c:v>17.3</c:v>
                </c:pt>
                <c:pt idx="2056">
                  <c:v>17.43</c:v>
                </c:pt>
                <c:pt idx="2057">
                  <c:v>17.44</c:v>
                </c:pt>
                <c:pt idx="2058">
                  <c:v>17.52</c:v>
                </c:pt>
                <c:pt idx="2059">
                  <c:v>17.57</c:v>
                </c:pt>
                <c:pt idx="2060">
                  <c:v>17.83</c:v>
                </c:pt>
                <c:pt idx="2061">
                  <c:v>17.61</c:v>
                </c:pt>
                <c:pt idx="2062">
                  <c:v>17.76</c:v>
                </c:pt>
                <c:pt idx="2063">
                  <c:v>17.66</c:v>
                </c:pt>
                <c:pt idx="2064">
                  <c:v>17.85</c:v>
                </c:pt>
                <c:pt idx="2065">
                  <c:v>17.81</c:v>
                </c:pt>
                <c:pt idx="2066">
                  <c:v>17.72</c:v>
                </c:pt>
                <c:pt idx="2067">
                  <c:v>17.74</c:v>
                </c:pt>
                <c:pt idx="2068">
                  <c:v>17.76</c:v>
                </c:pt>
                <c:pt idx="2069">
                  <c:v>17.9</c:v>
                </c:pt>
                <c:pt idx="2070">
                  <c:v>17.88</c:v>
                </c:pt>
                <c:pt idx="2071">
                  <c:v>17.13</c:v>
                </c:pt>
                <c:pt idx="2072">
                  <c:v>16.99</c:v>
                </c:pt>
                <c:pt idx="2073">
                  <c:v>16.96</c:v>
                </c:pt>
                <c:pt idx="2074">
                  <c:v>16.77</c:v>
                </c:pt>
                <c:pt idx="2075">
                  <c:v>16.74</c:v>
                </c:pt>
                <c:pt idx="2076">
                  <c:v>16.72</c:v>
                </c:pt>
                <c:pt idx="2077">
                  <c:v>16.84</c:v>
                </c:pt>
                <c:pt idx="2078">
                  <c:v>17.25</c:v>
                </c:pt>
                <c:pt idx="2079">
                  <c:v>17.54</c:v>
                </c:pt>
                <c:pt idx="2080">
                  <c:v>17.62</c:v>
                </c:pt>
                <c:pt idx="2081">
                  <c:v>17.38</c:v>
                </c:pt>
                <c:pt idx="2082">
                  <c:v>17.36</c:v>
                </c:pt>
                <c:pt idx="2083">
                  <c:v>17.56</c:v>
                </c:pt>
                <c:pt idx="2084">
                  <c:v>17.43</c:v>
                </c:pt>
                <c:pt idx="2085">
                  <c:v>17.42</c:v>
                </c:pt>
                <c:pt idx="2086">
                  <c:v>17.39</c:v>
                </c:pt>
                <c:pt idx="2087">
                  <c:v>17.16</c:v>
                </c:pt>
                <c:pt idx="2088">
                  <c:v>16.89</c:v>
                </c:pt>
                <c:pt idx="2089">
                  <c:v>16.8</c:v>
                </c:pt>
                <c:pt idx="2090">
                  <c:v>16.68</c:v>
                </c:pt>
                <c:pt idx="2091">
                  <c:v>16.47</c:v>
                </c:pt>
                <c:pt idx="2092">
                  <c:v>16.34</c:v>
                </c:pt>
                <c:pt idx="2093">
                  <c:v>16.17</c:v>
                </c:pt>
                <c:pt idx="2094">
                  <c:v>16.31</c:v>
                </c:pt>
                <c:pt idx="2095">
                  <c:v>16.75</c:v>
                </c:pt>
                <c:pt idx="2096">
                  <c:v>16.8</c:v>
                </c:pt>
                <c:pt idx="2097">
                  <c:v>16.81</c:v>
                </c:pt>
                <c:pt idx="2098">
                  <c:v>16.7</c:v>
                </c:pt>
                <c:pt idx="2099">
                  <c:v>16.72</c:v>
                </c:pt>
                <c:pt idx="2100">
                  <c:v>16.96</c:v>
                </c:pt>
                <c:pt idx="2101">
                  <c:v>16.77</c:v>
                </c:pt>
                <c:pt idx="2102">
                  <c:v>17.11</c:v>
                </c:pt>
                <c:pt idx="2103">
                  <c:v>16.86</c:v>
                </c:pt>
                <c:pt idx="2104">
                  <c:v>16.84</c:v>
                </c:pt>
                <c:pt idx="2105">
                  <c:v>16.5</c:v>
                </c:pt>
                <c:pt idx="2106">
                  <c:v>17.17</c:v>
                </c:pt>
                <c:pt idx="2107">
                  <c:v>16.99</c:v>
                </c:pt>
                <c:pt idx="2108">
                  <c:v>17.05</c:v>
                </c:pt>
                <c:pt idx="2109">
                  <c:v>16.91</c:v>
                </c:pt>
                <c:pt idx="2110">
                  <c:v>17.06</c:v>
                </c:pt>
                <c:pt idx="2111">
                  <c:v>17.09</c:v>
                </c:pt>
                <c:pt idx="2112">
                  <c:v>17.11</c:v>
                </c:pt>
                <c:pt idx="2113">
                  <c:v>16.88</c:v>
                </c:pt>
                <c:pt idx="2114">
                  <c:v>16.93</c:v>
                </c:pt>
                <c:pt idx="2115">
                  <c:v>17.05</c:v>
                </c:pt>
                <c:pt idx="2116">
                  <c:v>17.46</c:v>
                </c:pt>
                <c:pt idx="2117">
                  <c:v>18.74</c:v>
                </c:pt>
                <c:pt idx="2118">
                  <c:v>18.74</c:v>
                </c:pt>
                <c:pt idx="2119">
                  <c:v>18.71</c:v>
                </c:pt>
                <c:pt idx="2120">
                  <c:v>18.86</c:v>
                </c:pt>
                <c:pt idx="2121">
                  <c:v>18.71</c:v>
                </c:pt>
                <c:pt idx="2122">
                  <c:v>18.74</c:v>
                </c:pt>
                <c:pt idx="2123">
                  <c:v>18.49</c:v>
                </c:pt>
                <c:pt idx="2124">
                  <c:v>18.32</c:v>
                </c:pt>
                <c:pt idx="2125">
                  <c:v>18.41</c:v>
                </c:pt>
                <c:pt idx="2126">
                  <c:v>18.42</c:v>
                </c:pt>
                <c:pt idx="2127">
                  <c:v>18.63</c:v>
                </c:pt>
                <c:pt idx="2128">
                  <c:v>19.19</c:v>
                </c:pt>
                <c:pt idx="2129">
                  <c:v>19.51</c:v>
                </c:pt>
                <c:pt idx="2130">
                  <c:v>20.01</c:v>
                </c:pt>
                <c:pt idx="2131">
                  <c:v>19.74</c:v>
                </c:pt>
                <c:pt idx="2132">
                  <c:v>19.74</c:v>
                </c:pt>
                <c:pt idx="2133">
                  <c:v>19.74</c:v>
                </c:pt>
                <c:pt idx="2134">
                  <c:v>19.79</c:v>
                </c:pt>
                <c:pt idx="2135">
                  <c:v>19.81</c:v>
                </c:pt>
                <c:pt idx="2136">
                  <c:v>19.56</c:v>
                </c:pt>
                <c:pt idx="2137">
                  <c:v>19.45</c:v>
                </c:pt>
                <c:pt idx="2138">
                  <c:v>19.17</c:v>
                </c:pt>
                <c:pt idx="2139">
                  <c:v>19.36</c:v>
                </c:pt>
                <c:pt idx="2140">
                  <c:v>19.63</c:v>
                </c:pt>
                <c:pt idx="2141">
                  <c:v>19.91</c:v>
                </c:pt>
                <c:pt idx="2142">
                  <c:v>19.8</c:v>
                </c:pt>
                <c:pt idx="2143">
                  <c:v>19.51</c:v>
                </c:pt>
                <c:pt idx="2144">
                  <c:v>19.39</c:v>
                </c:pt>
                <c:pt idx="2145">
                  <c:v>19.54</c:v>
                </c:pt>
                <c:pt idx="2146">
                  <c:v>19.35</c:v>
                </c:pt>
                <c:pt idx="2147">
                  <c:v>18.63</c:v>
                </c:pt>
                <c:pt idx="2148">
                  <c:v>18.82</c:v>
                </c:pt>
                <c:pt idx="2149">
                  <c:v>18.54</c:v>
                </c:pt>
                <c:pt idx="2150">
                  <c:v>18.61</c:v>
                </c:pt>
                <c:pt idx="2151">
                  <c:v>18.91</c:v>
                </c:pt>
                <c:pt idx="2152">
                  <c:v>18.91</c:v>
                </c:pt>
                <c:pt idx="2153">
                  <c:v>18.92</c:v>
                </c:pt>
                <c:pt idx="2154">
                  <c:v>18.62</c:v>
                </c:pt>
                <c:pt idx="2155">
                  <c:v>18.58</c:v>
                </c:pt>
                <c:pt idx="2156">
                  <c:v>18.55</c:v>
                </c:pt>
                <c:pt idx="2157">
                  <c:v>18.55</c:v>
                </c:pt>
                <c:pt idx="2158">
                  <c:v>18.19</c:v>
                </c:pt>
                <c:pt idx="2159">
                  <c:v>18.44</c:v>
                </c:pt>
                <c:pt idx="2160">
                  <c:v>18.28</c:v>
                </c:pt>
                <c:pt idx="2161">
                  <c:v>18.02</c:v>
                </c:pt>
                <c:pt idx="2162">
                  <c:v>18.11</c:v>
                </c:pt>
                <c:pt idx="2163">
                  <c:v>18.11</c:v>
                </c:pt>
                <c:pt idx="2164">
                  <c:v>17.92</c:v>
                </c:pt>
                <c:pt idx="2165">
                  <c:v>17.98</c:v>
                </c:pt>
                <c:pt idx="2166">
                  <c:v>18.36</c:v>
                </c:pt>
                <c:pt idx="2167">
                  <c:v>18.38</c:v>
                </c:pt>
                <c:pt idx="2168">
                  <c:v>18.4</c:v>
                </c:pt>
                <c:pt idx="2169">
                  <c:v>18.47</c:v>
                </c:pt>
                <c:pt idx="2170">
                  <c:v>18.46</c:v>
                </c:pt>
                <c:pt idx="2171">
                  <c:v>18.5</c:v>
                </c:pt>
                <c:pt idx="2172">
                  <c:v>18.43</c:v>
                </c:pt>
                <c:pt idx="2173">
                  <c:v>18.59</c:v>
                </c:pt>
                <c:pt idx="2174">
                  <c:v>19.27</c:v>
                </c:pt>
                <c:pt idx="2175">
                  <c:v>19.04</c:v>
                </c:pt>
                <c:pt idx="2176">
                  <c:v>19.06</c:v>
                </c:pt>
                <c:pt idx="2177">
                  <c:v>18.88</c:v>
                </c:pt>
                <c:pt idx="2178">
                  <c:v>19.16</c:v>
                </c:pt>
                <c:pt idx="2179">
                  <c:v>19.01</c:v>
                </c:pt>
                <c:pt idx="2180">
                  <c:v>18.95</c:v>
                </c:pt>
                <c:pt idx="2181">
                  <c:v>18.91</c:v>
                </c:pt>
                <c:pt idx="2182">
                  <c:v>18.98</c:v>
                </c:pt>
                <c:pt idx="2183">
                  <c:v>19.09</c:v>
                </c:pt>
                <c:pt idx="2184">
                  <c:v>18.96</c:v>
                </c:pt>
                <c:pt idx="2185">
                  <c:v>18.85</c:v>
                </c:pt>
                <c:pt idx="2186">
                  <c:v>19.11</c:v>
                </c:pt>
                <c:pt idx="2187">
                  <c:v>18.94</c:v>
                </c:pt>
                <c:pt idx="2188">
                  <c:v>18.92</c:v>
                </c:pt>
                <c:pt idx="2189">
                  <c:v>18.92</c:v>
                </c:pt>
                <c:pt idx="2190">
                  <c:v>18.9</c:v>
                </c:pt>
                <c:pt idx="2191">
                  <c:v>19.1</c:v>
                </c:pt>
                <c:pt idx="2192">
                  <c:v>18.95</c:v>
                </c:pt>
                <c:pt idx="2193">
                  <c:v>18.76</c:v>
                </c:pt>
                <c:pt idx="2194">
                  <c:v>18.49</c:v>
                </c:pt>
                <c:pt idx="2195">
                  <c:v>18.46</c:v>
                </c:pt>
                <c:pt idx="2196">
                  <c:v>18.57</c:v>
                </c:pt>
                <c:pt idx="2197">
                  <c:v>18.61</c:v>
                </c:pt>
                <c:pt idx="2198">
                  <c:v>18.75</c:v>
                </c:pt>
                <c:pt idx="2199">
                  <c:v>19.03</c:v>
                </c:pt>
                <c:pt idx="2200">
                  <c:v>18.66</c:v>
                </c:pt>
                <c:pt idx="2201">
                  <c:v>18.15</c:v>
                </c:pt>
                <c:pt idx="2202">
                  <c:v>18.14</c:v>
                </c:pt>
                <c:pt idx="2203">
                  <c:v>17.83</c:v>
                </c:pt>
                <c:pt idx="2204">
                  <c:v>17.59</c:v>
                </c:pt>
                <c:pt idx="2205">
                  <c:v>17.22</c:v>
                </c:pt>
                <c:pt idx="2206">
                  <c:v>17.34</c:v>
                </c:pt>
                <c:pt idx="2207">
                  <c:v>17.23</c:v>
                </c:pt>
                <c:pt idx="2208">
                  <c:v>17.01</c:v>
                </c:pt>
                <c:pt idx="2209">
                  <c:v>17.42</c:v>
                </c:pt>
                <c:pt idx="2210">
                  <c:v>17.58</c:v>
                </c:pt>
                <c:pt idx="2211">
                  <c:v>17.33</c:v>
                </c:pt>
                <c:pt idx="2212">
                  <c:v>17.69</c:v>
                </c:pt>
                <c:pt idx="2213">
                  <c:v>17.62</c:v>
                </c:pt>
                <c:pt idx="2214">
                  <c:v>17.5</c:v>
                </c:pt>
                <c:pt idx="2215">
                  <c:v>17.84</c:v>
                </c:pt>
                <c:pt idx="2216">
                  <c:v>17.94</c:v>
                </c:pt>
                <c:pt idx="2217">
                  <c:v>17.88</c:v>
                </c:pt>
                <c:pt idx="2218">
                  <c:v>17.96</c:v>
                </c:pt>
                <c:pt idx="2219">
                  <c:v>17.6</c:v>
                </c:pt>
                <c:pt idx="2220">
                  <c:v>17.49</c:v>
                </c:pt>
                <c:pt idx="2221">
                  <c:v>17.61</c:v>
                </c:pt>
                <c:pt idx="2222">
                  <c:v>17.78</c:v>
                </c:pt>
                <c:pt idx="2223">
                  <c:v>16.71</c:v>
                </c:pt>
                <c:pt idx="2224">
                  <c:v>16.4</c:v>
                </c:pt>
                <c:pt idx="2225">
                  <c:v>16</c:v>
                </c:pt>
                <c:pt idx="2226">
                  <c:v>15.88</c:v>
                </c:pt>
                <c:pt idx="2227">
                  <c:v>16.78</c:v>
                </c:pt>
                <c:pt idx="2228">
                  <c:v>16.48</c:v>
                </c:pt>
                <c:pt idx="2229">
                  <c:v>16.62</c:v>
                </c:pt>
                <c:pt idx="2230">
                  <c:v>16.65</c:v>
                </c:pt>
                <c:pt idx="2231">
                  <c:v>16.52</c:v>
                </c:pt>
                <c:pt idx="2232">
                  <c:v>16.59</c:v>
                </c:pt>
                <c:pt idx="2233">
                  <c:v>16.49</c:v>
                </c:pt>
                <c:pt idx="2234">
                  <c:v>16.48</c:v>
                </c:pt>
                <c:pt idx="2235">
                  <c:v>16.3</c:v>
                </c:pt>
                <c:pt idx="2236">
                  <c:v>16.62</c:v>
                </c:pt>
                <c:pt idx="2237">
                  <c:v>15.89</c:v>
                </c:pt>
                <c:pt idx="2238">
                  <c:v>16.13</c:v>
                </c:pt>
                <c:pt idx="2239">
                  <c:v>16.21</c:v>
                </c:pt>
                <c:pt idx="2240">
                  <c:v>16.14</c:v>
                </c:pt>
                <c:pt idx="2241">
                  <c:v>16.22</c:v>
                </c:pt>
                <c:pt idx="2242">
                  <c:v>16.3</c:v>
                </c:pt>
                <c:pt idx="2243">
                  <c:v>16.19</c:v>
                </c:pt>
                <c:pt idx="2244">
                  <c:v>16.65</c:v>
                </c:pt>
                <c:pt idx="2245">
                  <c:v>16.41</c:v>
                </c:pt>
                <c:pt idx="2246">
                  <c:v>16.27</c:v>
                </c:pt>
                <c:pt idx="2247">
                  <c:v>16.1</c:v>
                </c:pt>
                <c:pt idx="2248">
                  <c:v>16.22</c:v>
                </c:pt>
                <c:pt idx="2249">
                  <c:v>16.25</c:v>
                </c:pt>
                <c:pt idx="2250">
                  <c:v>16.57</c:v>
                </c:pt>
                <c:pt idx="2251">
                  <c:v>16.61</c:v>
                </c:pt>
                <c:pt idx="2252">
                  <c:v>16.58</c:v>
                </c:pt>
                <c:pt idx="2253">
                  <c:v>16.68</c:v>
                </c:pt>
                <c:pt idx="2254">
                  <c:v>16.72</c:v>
                </c:pt>
                <c:pt idx="2255">
                  <c:v>16.6</c:v>
                </c:pt>
                <c:pt idx="2256">
                  <c:v>16.49</c:v>
                </c:pt>
                <c:pt idx="2257">
                  <c:v>16.19</c:v>
                </c:pt>
                <c:pt idx="2258">
                  <c:v>16.13</c:v>
                </c:pt>
                <c:pt idx="2259">
                  <c:v>16.01</c:v>
                </c:pt>
                <c:pt idx="2260">
                  <c:v>16</c:v>
                </c:pt>
                <c:pt idx="2261">
                  <c:v>16.38</c:v>
                </c:pt>
                <c:pt idx="2262">
                  <c:v>16.1</c:v>
                </c:pt>
                <c:pt idx="2263">
                  <c:v>16.22</c:v>
                </c:pt>
                <c:pt idx="2264">
                  <c:v>17.63</c:v>
                </c:pt>
                <c:pt idx="2265">
                  <c:v>17.3</c:v>
                </c:pt>
                <c:pt idx="2266">
                  <c:v>17.36</c:v>
                </c:pt>
                <c:pt idx="2267">
                  <c:v>17.16</c:v>
                </c:pt>
                <c:pt idx="2268">
                  <c:v>17.18</c:v>
                </c:pt>
                <c:pt idx="2269">
                  <c:v>17.36</c:v>
                </c:pt>
                <c:pt idx="2270">
                  <c:v>17.36</c:v>
                </c:pt>
                <c:pt idx="2271">
                  <c:v>17.44</c:v>
                </c:pt>
                <c:pt idx="2272">
                  <c:v>17.18</c:v>
                </c:pt>
                <c:pt idx="2273">
                  <c:v>17.22</c:v>
                </c:pt>
                <c:pt idx="2274">
                  <c:v>16.9</c:v>
                </c:pt>
                <c:pt idx="2275">
                  <c:v>16.89</c:v>
                </c:pt>
                <c:pt idx="2276">
                  <c:v>16.69</c:v>
                </c:pt>
                <c:pt idx="2277">
                  <c:v>16.89</c:v>
                </c:pt>
                <c:pt idx="2278">
                  <c:v>16.89</c:v>
                </c:pt>
                <c:pt idx="2279">
                  <c:v>16.82</c:v>
                </c:pt>
                <c:pt idx="2280">
                  <c:v>17.06</c:v>
                </c:pt>
                <c:pt idx="2281">
                  <c:v>17.14</c:v>
                </c:pt>
                <c:pt idx="2282">
                  <c:v>16.86</c:v>
                </c:pt>
                <c:pt idx="2283">
                  <c:v>17.03</c:v>
                </c:pt>
                <c:pt idx="2284">
                  <c:v>17.02</c:v>
                </c:pt>
                <c:pt idx="2285">
                  <c:v>16.85</c:v>
                </c:pt>
                <c:pt idx="2286">
                  <c:v>17.13</c:v>
                </c:pt>
                <c:pt idx="2287">
                  <c:v>17.39</c:v>
                </c:pt>
                <c:pt idx="2288">
                  <c:v>17.46</c:v>
                </c:pt>
                <c:pt idx="2289">
                  <c:v>17.46</c:v>
                </c:pt>
                <c:pt idx="2290">
                  <c:v>17.25</c:v>
                </c:pt>
                <c:pt idx="2291">
                  <c:v>17.33</c:v>
                </c:pt>
                <c:pt idx="2292">
                  <c:v>17.33</c:v>
                </c:pt>
                <c:pt idx="2293">
                  <c:v>17.51</c:v>
                </c:pt>
                <c:pt idx="2294">
                  <c:v>17.29</c:v>
                </c:pt>
                <c:pt idx="2295">
                  <c:v>17.38</c:v>
                </c:pt>
                <c:pt idx="2296">
                  <c:v>16.91</c:v>
                </c:pt>
                <c:pt idx="2297">
                  <c:v>16.91</c:v>
                </c:pt>
                <c:pt idx="2298">
                  <c:v>17.04</c:v>
                </c:pt>
                <c:pt idx="2299">
                  <c:v>16.82</c:v>
                </c:pt>
                <c:pt idx="2300">
                  <c:v>16.75</c:v>
                </c:pt>
                <c:pt idx="2301">
                  <c:v>16.83</c:v>
                </c:pt>
                <c:pt idx="2302">
                  <c:v>16.8</c:v>
                </c:pt>
                <c:pt idx="2303">
                  <c:v>16.6</c:v>
                </c:pt>
                <c:pt idx="2304">
                  <c:v>16.73</c:v>
                </c:pt>
                <c:pt idx="2305">
                  <c:v>16.6</c:v>
                </c:pt>
                <c:pt idx="2306">
                  <c:v>16.73</c:v>
                </c:pt>
                <c:pt idx="2307">
                  <c:v>16.84</c:v>
                </c:pt>
                <c:pt idx="2308">
                  <c:v>16.55</c:v>
                </c:pt>
                <c:pt idx="2309">
                  <c:v>16.18</c:v>
                </c:pt>
                <c:pt idx="2310">
                  <c:v>16.2</c:v>
                </c:pt>
                <c:pt idx="2311">
                  <c:v>16.39</c:v>
                </c:pt>
                <c:pt idx="2312">
                  <c:v>16.45</c:v>
                </c:pt>
                <c:pt idx="2313">
                  <c:v>16.37</c:v>
                </c:pt>
                <c:pt idx="2314">
                  <c:v>16.36</c:v>
                </c:pt>
                <c:pt idx="2315">
                  <c:v>16.51</c:v>
                </c:pt>
                <c:pt idx="2316">
                  <c:v>17.13</c:v>
                </c:pt>
                <c:pt idx="2317">
                  <c:v>17.24</c:v>
                </c:pt>
                <c:pt idx="2318">
                  <c:v>16.99</c:v>
                </c:pt>
                <c:pt idx="2319">
                  <c:v>16.73</c:v>
                </c:pt>
                <c:pt idx="2320">
                  <c:v>16.9</c:v>
                </c:pt>
                <c:pt idx="2321">
                  <c:v>17.11</c:v>
                </c:pt>
                <c:pt idx="2322">
                  <c:v>17.09</c:v>
                </c:pt>
                <c:pt idx="2323">
                  <c:v>17.11</c:v>
                </c:pt>
                <c:pt idx="2324">
                  <c:v>17.77</c:v>
                </c:pt>
                <c:pt idx="2325">
                  <c:v>17.59</c:v>
                </c:pt>
                <c:pt idx="2326">
                  <c:v>17.58</c:v>
                </c:pt>
                <c:pt idx="2327">
                  <c:v>17.7</c:v>
                </c:pt>
                <c:pt idx="2328">
                  <c:v>18.13</c:v>
                </c:pt>
                <c:pt idx="2329">
                  <c:v>17.94</c:v>
                </c:pt>
                <c:pt idx="2330">
                  <c:v>17.92</c:v>
                </c:pt>
                <c:pt idx="2331">
                  <c:v>17.9</c:v>
                </c:pt>
                <c:pt idx="2332">
                  <c:v>17.81</c:v>
                </c:pt>
                <c:pt idx="2333">
                  <c:v>17.93</c:v>
                </c:pt>
                <c:pt idx="2334">
                  <c:v>17.83</c:v>
                </c:pt>
                <c:pt idx="2335">
                  <c:v>17.85</c:v>
                </c:pt>
                <c:pt idx="2336">
                  <c:v>17.86</c:v>
                </c:pt>
                <c:pt idx="2337">
                  <c:v>17.89</c:v>
                </c:pt>
                <c:pt idx="2338">
                  <c:v>18.2</c:v>
                </c:pt>
                <c:pt idx="2339">
                  <c:v>18.02</c:v>
                </c:pt>
                <c:pt idx="2340">
                  <c:v>18.01</c:v>
                </c:pt>
                <c:pt idx="2341">
                  <c:v>17.85</c:v>
                </c:pt>
                <c:pt idx="2342">
                  <c:v>17.93</c:v>
                </c:pt>
                <c:pt idx="2343">
                  <c:v>18.3</c:v>
                </c:pt>
                <c:pt idx="2344">
                  <c:v>18.23</c:v>
                </c:pt>
                <c:pt idx="2345">
                  <c:v>18.57</c:v>
                </c:pt>
                <c:pt idx="2346">
                  <c:v>18.65</c:v>
                </c:pt>
                <c:pt idx="2347">
                  <c:v>18.3</c:v>
                </c:pt>
                <c:pt idx="2348">
                  <c:v>18.4</c:v>
                </c:pt>
                <c:pt idx="2349">
                  <c:v>18.66</c:v>
                </c:pt>
                <c:pt idx="2350">
                  <c:v>18.45</c:v>
                </c:pt>
                <c:pt idx="2351">
                  <c:v>18.41</c:v>
                </c:pt>
                <c:pt idx="2352">
                  <c:v>18.37</c:v>
                </c:pt>
                <c:pt idx="2353">
                  <c:v>18.43</c:v>
                </c:pt>
                <c:pt idx="2354">
                  <c:v>18.5</c:v>
                </c:pt>
                <c:pt idx="2355">
                  <c:v>18.53</c:v>
                </c:pt>
                <c:pt idx="2356">
                  <c:v>18.27</c:v>
                </c:pt>
                <c:pt idx="2357">
                  <c:v>18.28</c:v>
                </c:pt>
                <c:pt idx="2358">
                  <c:v>17.99</c:v>
                </c:pt>
                <c:pt idx="2359">
                  <c:v>17.76</c:v>
                </c:pt>
                <c:pt idx="2360">
                  <c:v>17.91</c:v>
                </c:pt>
                <c:pt idx="2361">
                  <c:v>18.25</c:v>
                </c:pt>
                <c:pt idx="2362">
                  <c:v>18.45</c:v>
                </c:pt>
                <c:pt idx="2363">
                  <c:v>18.29</c:v>
                </c:pt>
                <c:pt idx="2364">
                  <c:v>18.03</c:v>
                </c:pt>
                <c:pt idx="2365">
                  <c:v>18.12</c:v>
                </c:pt>
                <c:pt idx="2366">
                  <c:v>17.05</c:v>
                </c:pt>
                <c:pt idx="2367">
                  <c:v>17.23</c:v>
                </c:pt>
                <c:pt idx="2368">
                  <c:v>16.93</c:v>
                </c:pt>
                <c:pt idx="2369">
                  <c:v>16.85</c:v>
                </c:pt>
                <c:pt idx="2370">
                  <c:v>16.51</c:v>
                </c:pt>
                <c:pt idx="2371">
                  <c:v>16.69</c:v>
                </c:pt>
                <c:pt idx="2372">
                  <c:v>16.53</c:v>
                </c:pt>
                <c:pt idx="2373">
                  <c:v>16.52</c:v>
                </c:pt>
                <c:pt idx="2374">
                  <c:v>16.36</c:v>
                </c:pt>
                <c:pt idx="2375">
                  <c:v>16.17</c:v>
                </c:pt>
                <c:pt idx="2376">
                  <c:v>15.85</c:v>
                </c:pt>
                <c:pt idx="2377">
                  <c:v>15.92</c:v>
                </c:pt>
                <c:pt idx="2378">
                  <c:v>15.92</c:v>
                </c:pt>
                <c:pt idx="2379">
                  <c:v>16.14</c:v>
                </c:pt>
                <c:pt idx="2380">
                  <c:v>16.3</c:v>
                </c:pt>
                <c:pt idx="2381">
                  <c:v>16.22</c:v>
                </c:pt>
                <c:pt idx="2382">
                  <c:v>16.34</c:v>
                </c:pt>
                <c:pt idx="2383">
                  <c:v>16.25</c:v>
                </c:pt>
                <c:pt idx="2384">
                  <c:v>16.34</c:v>
                </c:pt>
                <c:pt idx="2385">
                  <c:v>15.85</c:v>
                </c:pt>
                <c:pt idx="2386">
                  <c:v>15.85</c:v>
                </c:pt>
                <c:pt idx="2387">
                  <c:v>15.82</c:v>
                </c:pt>
                <c:pt idx="2388">
                  <c:v>15.97</c:v>
                </c:pt>
                <c:pt idx="2389">
                  <c:v>16.28</c:v>
                </c:pt>
                <c:pt idx="2390">
                  <c:v>16.21</c:v>
                </c:pt>
                <c:pt idx="2391">
                  <c:v>16.49</c:v>
                </c:pt>
                <c:pt idx="2392">
                  <c:v>16.58</c:v>
                </c:pt>
                <c:pt idx="2393">
                  <c:v>16.58</c:v>
                </c:pt>
                <c:pt idx="2394">
                  <c:v>16.53</c:v>
                </c:pt>
                <c:pt idx="2395">
                  <c:v>16.49</c:v>
                </c:pt>
                <c:pt idx="2396">
                  <c:v>16.63</c:v>
                </c:pt>
                <c:pt idx="2397">
                  <c:v>17.1</c:v>
                </c:pt>
                <c:pt idx="2398">
                  <c:v>17.01</c:v>
                </c:pt>
                <c:pt idx="2399">
                  <c:v>17.26</c:v>
                </c:pt>
                <c:pt idx="2400">
                  <c:v>17.05</c:v>
                </c:pt>
                <c:pt idx="2401">
                  <c:v>16.98</c:v>
                </c:pt>
                <c:pt idx="2402">
                  <c:v>17.23</c:v>
                </c:pt>
                <c:pt idx="2403">
                  <c:v>17.49</c:v>
                </c:pt>
                <c:pt idx="2404">
                  <c:v>17.34</c:v>
                </c:pt>
                <c:pt idx="2405">
                  <c:v>17.46</c:v>
                </c:pt>
                <c:pt idx="2406">
                  <c:v>17.47</c:v>
                </c:pt>
                <c:pt idx="2407">
                  <c:v>17.55</c:v>
                </c:pt>
                <c:pt idx="2408">
                  <c:v>17.78</c:v>
                </c:pt>
                <c:pt idx="2409">
                  <c:v>17.75</c:v>
                </c:pt>
                <c:pt idx="2410">
                  <c:v>17.88</c:v>
                </c:pt>
                <c:pt idx="2411">
                  <c:v>17.8</c:v>
                </c:pt>
                <c:pt idx="2412">
                  <c:v>17.87</c:v>
                </c:pt>
                <c:pt idx="2413">
                  <c:v>17.87</c:v>
                </c:pt>
                <c:pt idx="2414">
                  <c:v>17.76</c:v>
                </c:pt>
                <c:pt idx="2415">
                  <c:v>17.66</c:v>
                </c:pt>
                <c:pt idx="2416">
                  <c:v>17.61</c:v>
                </c:pt>
                <c:pt idx="2417">
                  <c:v>17.37</c:v>
                </c:pt>
                <c:pt idx="2418">
                  <c:v>17.37</c:v>
                </c:pt>
                <c:pt idx="2419">
                  <c:v>17.49</c:v>
                </c:pt>
                <c:pt idx="2420">
                  <c:v>17.55</c:v>
                </c:pt>
                <c:pt idx="2421">
                  <c:v>17.8</c:v>
                </c:pt>
                <c:pt idx="2422">
                  <c:v>17.71</c:v>
                </c:pt>
                <c:pt idx="2423">
                  <c:v>18.07</c:v>
                </c:pt>
                <c:pt idx="2424">
                  <c:v>17.87</c:v>
                </c:pt>
                <c:pt idx="2425">
                  <c:v>17.88</c:v>
                </c:pt>
                <c:pt idx="2426">
                  <c:v>17.66</c:v>
                </c:pt>
                <c:pt idx="2427">
                  <c:v>17.77</c:v>
                </c:pt>
                <c:pt idx="2428">
                  <c:v>17.68</c:v>
                </c:pt>
                <c:pt idx="2429">
                  <c:v>17.93</c:v>
                </c:pt>
                <c:pt idx="2430">
                  <c:v>17.91</c:v>
                </c:pt>
                <c:pt idx="2431">
                  <c:v>17.86</c:v>
                </c:pt>
                <c:pt idx="2432">
                  <c:v>18.29</c:v>
                </c:pt>
                <c:pt idx="2433">
                  <c:v>18.51</c:v>
                </c:pt>
                <c:pt idx="2434">
                  <c:v>18.2</c:v>
                </c:pt>
                <c:pt idx="2435">
                  <c:v>18.26</c:v>
                </c:pt>
                <c:pt idx="2436">
                  <c:v>18.22</c:v>
                </c:pt>
                <c:pt idx="2437">
                  <c:v>17.86</c:v>
                </c:pt>
                <c:pt idx="2438">
                  <c:v>18.03</c:v>
                </c:pt>
                <c:pt idx="2439">
                  <c:v>18.03</c:v>
                </c:pt>
                <c:pt idx="2440">
                  <c:v>18.03</c:v>
                </c:pt>
                <c:pt idx="2441">
                  <c:v>18.28</c:v>
                </c:pt>
                <c:pt idx="2442">
                  <c:v>18.48</c:v>
                </c:pt>
                <c:pt idx="2443">
                  <c:v>18.63</c:v>
                </c:pt>
                <c:pt idx="2444">
                  <c:v>18.65</c:v>
                </c:pt>
                <c:pt idx="2445">
                  <c:v>18.71</c:v>
                </c:pt>
                <c:pt idx="2446">
                  <c:v>18.75</c:v>
                </c:pt>
                <c:pt idx="2447">
                  <c:v>18.68</c:v>
                </c:pt>
                <c:pt idx="2448">
                  <c:v>18.81</c:v>
                </c:pt>
                <c:pt idx="2449">
                  <c:v>18.99</c:v>
                </c:pt>
                <c:pt idx="2450">
                  <c:v>18.97</c:v>
                </c:pt>
                <c:pt idx="2451">
                  <c:v>19.11</c:v>
                </c:pt>
                <c:pt idx="2452">
                  <c:v>18.79</c:v>
                </c:pt>
                <c:pt idx="2453">
                  <c:v>18.58</c:v>
                </c:pt>
                <c:pt idx="2454">
                  <c:v>19.51</c:v>
                </c:pt>
                <c:pt idx="2455">
                  <c:v>19.24</c:v>
                </c:pt>
                <c:pt idx="2456">
                  <c:v>19.21</c:v>
                </c:pt>
                <c:pt idx="2457">
                  <c:v>18.53</c:v>
                </c:pt>
                <c:pt idx="2458">
                  <c:v>18.41</c:v>
                </c:pt>
                <c:pt idx="2459">
                  <c:v>18.07</c:v>
                </c:pt>
                <c:pt idx="2460">
                  <c:v>18.18</c:v>
                </c:pt>
                <c:pt idx="2461">
                  <c:v>18.05</c:v>
                </c:pt>
                <c:pt idx="2462">
                  <c:v>18.1</c:v>
                </c:pt>
                <c:pt idx="2463">
                  <c:v>17.81</c:v>
                </c:pt>
                <c:pt idx="2464">
                  <c:v>17.52</c:v>
                </c:pt>
                <c:pt idx="2465">
                  <c:v>17.47</c:v>
                </c:pt>
                <c:pt idx="2466">
                  <c:v>17.1</c:v>
                </c:pt>
                <c:pt idx="2467">
                  <c:v>17.07</c:v>
                </c:pt>
                <c:pt idx="2468">
                  <c:v>16.61</c:v>
                </c:pt>
                <c:pt idx="2469">
                  <c:v>16.46</c:v>
                </c:pt>
                <c:pt idx="2470">
                  <c:v>16.33</c:v>
                </c:pt>
                <c:pt idx="2471">
                  <c:v>16.34</c:v>
                </c:pt>
                <c:pt idx="2472">
                  <c:v>16.08</c:v>
                </c:pt>
                <c:pt idx="2473">
                  <c:v>16.12</c:v>
                </c:pt>
                <c:pt idx="2474">
                  <c:v>16.06</c:v>
                </c:pt>
                <c:pt idx="2475">
                  <c:v>16.47</c:v>
                </c:pt>
                <c:pt idx="2476">
                  <c:v>16.49</c:v>
                </c:pt>
                <c:pt idx="2477">
                  <c:v>16.55</c:v>
                </c:pt>
                <c:pt idx="2478">
                  <c:v>16.39</c:v>
                </c:pt>
                <c:pt idx="2479">
                  <c:v>16.31</c:v>
                </c:pt>
                <c:pt idx="2480">
                  <c:v>16.25</c:v>
                </c:pt>
                <c:pt idx="2481">
                  <c:v>16.59</c:v>
                </c:pt>
                <c:pt idx="2482">
                  <c:v>16.67</c:v>
                </c:pt>
                <c:pt idx="2483">
                  <c:v>16.93</c:v>
                </c:pt>
                <c:pt idx="2484">
                  <c:v>16.92</c:v>
                </c:pt>
                <c:pt idx="2485">
                  <c:v>16.77</c:v>
                </c:pt>
                <c:pt idx="2486">
                  <c:v>17.11</c:v>
                </c:pt>
                <c:pt idx="2487">
                  <c:v>17.91</c:v>
                </c:pt>
                <c:pt idx="2488">
                  <c:v>18.61</c:v>
                </c:pt>
                <c:pt idx="2489">
                  <c:v>18.7</c:v>
                </c:pt>
                <c:pt idx="2490">
                  <c:v>18.77</c:v>
                </c:pt>
                <c:pt idx="2491">
                  <c:v>18.92</c:v>
                </c:pt>
                <c:pt idx="2492">
                  <c:v>18.88</c:v>
                </c:pt>
                <c:pt idx="2493">
                  <c:v>19</c:v>
                </c:pt>
                <c:pt idx="2494">
                  <c:v>19.14</c:v>
                </c:pt>
                <c:pt idx="2495">
                  <c:v>19.34</c:v>
                </c:pt>
                <c:pt idx="2496">
                  <c:v>19.27</c:v>
                </c:pt>
                <c:pt idx="2497">
                  <c:v>18.92</c:v>
                </c:pt>
                <c:pt idx="2498">
                  <c:v>19.14</c:v>
                </c:pt>
                <c:pt idx="2499">
                  <c:v>19.06</c:v>
                </c:pt>
                <c:pt idx="2500">
                  <c:v>18.99</c:v>
                </c:pt>
                <c:pt idx="2501">
                  <c:v>18.97</c:v>
                </c:pt>
                <c:pt idx="2502">
                  <c:v>18.61</c:v>
                </c:pt>
                <c:pt idx="2503">
                  <c:v>18.81</c:v>
                </c:pt>
                <c:pt idx="2504">
                  <c:v>18.85</c:v>
                </c:pt>
                <c:pt idx="2505">
                  <c:v>18.53</c:v>
                </c:pt>
                <c:pt idx="2506">
                  <c:v>18.71</c:v>
                </c:pt>
                <c:pt idx="2507">
                  <c:v>19.12</c:v>
                </c:pt>
                <c:pt idx="2508">
                  <c:v>17.54</c:v>
                </c:pt>
                <c:pt idx="2509">
                  <c:v>17.86</c:v>
                </c:pt>
                <c:pt idx="2510">
                  <c:v>17.88</c:v>
                </c:pt>
                <c:pt idx="2511">
                  <c:v>17.59</c:v>
                </c:pt>
                <c:pt idx="2512">
                  <c:v>17.19</c:v>
                </c:pt>
                <c:pt idx="2513">
                  <c:v>16.86</c:v>
                </c:pt>
                <c:pt idx="2514">
                  <c:v>16.51</c:v>
                </c:pt>
                <c:pt idx="2515">
                  <c:v>16.36</c:v>
                </c:pt>
                <c:pt idx="2516">
                  <c:v>16.23</c:v>
                </c:pt>
                <c:pt idx="2517">
                  <c:v>16.31</c:v>
                </c:pt>
                <c:pt idx="2518">
                  <c:v>16.5</c:v>
                </c:pt>
                <c:pt idx="2519">
                  <c:v>16.19</c:v>
                </c:pt>
                <c:pt idx="2520">
                  <c:v>16.18</c:v>
                </c:pt>
                <c:pt idx="2521">
                  <c:v>16.38</c:v>
                </c:pt>
                <c:pt idx="2522">
                  <c:v>16.42</c:v>
                </c:pt>
                <c:pt idx="2523">
                  <c:v>16.24</c:v>
                </c:pt>
                <c:pt idx="2524">
                  <c:v>16.1</c:v>
                </c:pt>
                <c:pt idx="2525">
                  <c:v>15.65</c:v>
                </c:pt>
                <c:pt idx="2526">
                  <c:v>15.94</c:v>
                </c:pt>
                <c:pt idx="2527">
                  <c:v>15.86</c:v>
                </c:pt>
                <c:pt idx="2528">
                  <c:v>16.46</c:v>
                </c:pt>
                <c:pt idx="2529">
                  <c:v>16.26</c:v>
                </c:pt>
                <c:pt idx="2530">
                  <c:v>16.37</c:v>
                </c:pt>
                <c:pt idx="2531">
                  <c:v>16.62</c:v>
                </c:pt>
                <c:pt idx="2532">
                  <c:v>16.29</c:v>
                </c:pt>
                <c:pt idx="2533">
                  <c:v>16.34</c:v>
                </c:pt>
                <c:pt idx="2534">
                  <c:v>16.56</c:v>
                </c:pt>
                <c:pt idx="2535">
                  <c:v>16.66</c:v>
                </c:pt>
                <c:pt idx="2536">
                  <c:v>16.83</c:v>
                </c:pt>
                <c:pt idx="2537">
                  <c:v>16.41</c:v>
                </c:pt>
                <c:pt idx="2538">
                  <c:v>16.77</c:v>
                </c:pt>
                <c:pt idx="2539">
                  <c:v>16.77</c:v>
                </c:pt>
                <c:pt idx="2540">
                  <c:v>17</c:v>
                </c:pt>
                <c:pt idx="2541">
                  <c:v>16.82</c:v>
                </c:pt>
                <c:pt idx="2542">
                  <c:v>16.96</c:v>
                </c:pt>
                <c:pt idx="2543">
                  <c:v>17.16</c:v>
                </c:pt>
                <c:pt idx="2544">
                  <c:v>17.21</c:v>
                </c:pt>
                <c:pt idx="2545">
                  <c:v>16.83</c:v>
                </c:pt>
                <c:pt idx="2546">
                  <c:v>16.72</c:v>
                </c:pt>
                <c:pt idx="2547">
                  <c:v>16.2</c:v>
                </c:pt>
                <c:pt idx="2548">
                  <c:v>16.37</c:v>
                </c:pt>
                <c:pt idx="2549">
                  <c:v>16.37</c:v>
                </c:pt>
                <c:pt idx="2550">
                  <c:v>16.74</c:v>
                </c:pt>
                <c:pt idx="2551">
                  <c:v>16.4</c:v>
                </c:pt>
                <c:pt idx="2552">
                  <c:v>16.34</c:v>
                </c:pt>
                <c:pt idx="2553">
                  <c:v>16.46</c:v>
                </c:pt>
                <c:pt idx="2554">
                  <c:v>16.95</c:v>
                </c:pt>
                <c:pt idx="2555">
                  <c:v>16.94</c:v>
                </c:pt>
                <c:pt idx="2556">
                  <c:v>16.7</c:v>
                </c:pt>
                <c:pt idx="2557">
                  <c:v>16.63</c:v>
                </c:pt>
                <c:pt idx="2558">
                  <c:v>17.01</c:v>
                </c:pt>
                <c:pt idx="2559">
                  <c:v>16.76</c:v>
                </c:pt>
                <c:pt idx="2560">
                  <c:v>16.71</c:v>
                </c:pt>
                <c:pt idx="2561">
                  <c:v>16.79</c:v>
                </c:pt>
                <c:pt idx="2562">
                  <c:v>16.91</c:v>
                </c:pt>
                <c:pt idx="2563">
                  <c:v>17.19</c:v>
                </c:pt>
                <c:pt idx="2564">
                  <c:v>17.3</c:v>
                </c:pt>
                <c:pt idx="2565">
                  <c:v>17.19</c:v>
                </c:pt>
                <c:pt idx="2566">
                  <c:v>17.39</c:v>
                </c:pt>
                <c:pt idx="2567">
                  <c:v>16.99</c:v>
                </c:pt>
                <c:pt idx="2568">
                  <c:v>16.81</c:v>
                </c:pt>
                <c:pt idx="2569">
                  <c:v>16.51</c:v>
                </c:pt>
                <c:pt idx="2570">
                  <c:v>16.64</c:v>
                </c:pt>
                <c:pt idx="2571">
                  <c:v>16.76</c:v>
                </c:pt>
                <c:pt idx="2572">
                  <c:v>16.55</c:v>
                </c:pt>
                <c:pt idx="2573">
                  <c:v>16.48</c:v>
                </c:pt>
                <c:pt idx="2574">
                  <c:v>16.37</c:v>
                </c:pt>
                <c:pt idx="2575">
                  <c:v>16.23</c:v>
                </c:pt>
                <c:pt idx="2576">
                  <c:v>16.34</c:v>
                </c:pt>
                <c:pt idx="2577">
                  <c:v>16.52</c:v>
                </c:pt>
                <c:pt idx="2578">
                  <c:v>16.49</c:v>
                </c:pt>
                <c:pt idx="2579">
                  <c:v>16.61</c:v>
                </c:pt>
                <c:pt idx="2580">
                  <c:v>16.6</c:v>
                </c:pt>
                <c:pt idx="2581">
                  <c:v>16.38</c:v>
                </c:pt>
                <c:pt idx="2582">
                  <c:v>16.18</c:v>
                </c:pt>
                <c:pt idx="2583">
                  <c:v>16.22</c:v>
                </c:pt>
                <c:pt idx="2584">
                  <c:v>16.24</c:v>
                </c:pt>
                <c:pt idx="2585">
                  <c:v>16.37</c:v>
                </c:pt>
                <c:pt idx="2586">
                  <c:v>16.44</c:v>
                </c:pt>
                <c:pt idx="2587">
                  <c:v>16.36</c:v>
                </c:pt>
                <c:pt idx="2588">
                  <c:v>16.35</c:v>
                </c:pt>
                <c:pt idx="2589">
                  <c:v>16.27</c:v>
                </c:pt>
                <c:pt idx="2590">
                  <c:v>16.02</c:v>
                </c:pt>
                <c:pt idx="2591">
                  <c:v>15.88</c:v>
                </c:pt>
                <c:pt idx="2592">
                  <c:v>16.09</c:v>
                </c:pt>
                <c:pt idx="2593">
                  <c:v>16.22</c:v>
                </c:pt>
                <c:pt idx="2594">
                  <c:v>16.29</c:v>
                </c:pt>
                <c:pt idx="2595">
                  <c:v>16.28</c:v>
                </c:pt>
                <c:pt idx="2596">
                  <c:v>16.11</c:v>
                </c:pt>
                <c:pt idx="2597">
                  <c:v>16.17</c:v>
                </c:pt>
                <c:pt idx="2598">
                  <c:v>16.15</c:v>
                </c:pt>
                <c:pt idx="2599">
                  <c:v>16.3</c:v>
                </c:pt>
                <c:pt idx="2600">
                  <c:v>16.06</c:v>
                </c:pt>
                <c:pt idx="2601">
                  <c:v>16.26</c:v>
                </c:pt>
                <c:pt idx="2602">
                  <c:v>16.2</c:v>
                </c:pt>
                <c:pt idx="2603">
                  <c:v>16.43</c:v>
                </c:pt>
                <c:pt idx="2604">
                  <c:v>16.21</c:v>
                </c:pt>
                <c:pt idx="2605">
                  <c:v>16.45</c:v>
                </c:pt>
              </c:numCache>
            </c:numRef>
          </c:val>
          <c:smooth val="1"/>
        </c:ser>
        <c:hiLowLines>
          <c:spPr>
            <a:ln w="0">
              <a:noFill/>
            </a:ln>
          </c:spPr>
        </c:hiLowLines>
        <c:marker val="0"/>
        <c:axId val="44531672"/>
        <c:axId val="22290534"/>
      </c:lineChart>
      <c:catAx>
        <c:axId val="44531672"/>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22290534"/>
        <c:crosses val="autoZero"/>
        <c:auto val="1"/>
        <c:lblAlgn val="ctr"/>
        <c:lblOffset val="100"/>
        <c:noMultiLvlLbl val="0"/>
      </c:catAx>
      <c:valAx>
        <c:axId val="22290534"/>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NTM P/E</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44531672"/>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Figure 12: P/B 25-yr history</a:t>
            </a:r>
          </a:p>
        </c:rich>
      </c:tx>
      <c:overlay val="0"/>
      <c:spPr>
        <a:noFill/>
        <a:ln w="0">
          <a:noFill/>
        </a:ln>
      </c:spPr>
    </c:title>
    <c:autoTitleDeleted val="0"/>
    <c:plotArea>
      <c:lineChart>
        <c:grouping val="standard"/>
        <c:varyColors val="0"/>
        <c:ser>
          <c:idx val="0"/>
          <c:order val="0"/>
          <c:tx>
            <c:strRef>
              <c:f>"P/B annual"</c:f>
              <c:strCache>
                <c:ptCount val="1"/>
                <c:pt idx="0">
                  <c:v>P/B annual</c:v>
                </c:pt>
              </c:strCache>
            </c:strRef>
          </c:tx>
          <c:spPr>
            <a:ln w="25560">
              <a:solidFill>
                <a:srgbClr val="292934"/>
              </a:solidFill>
              <a:round/>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extLst>
              <c:ext xmlns:c15="http://schemas.microsoft.com/office/drawing/2012/chart" uri="{CE6537A1-D6FC-4f65-9D91-7224C49458BB}">
                <c15:showLeaderLines val="1"/>
              </c:ext>
            </c:extLst>
          </c:dLbls>
          <c:val>
            <c:numRef>
              <c:f>Valuation!$O$212:$O$236</c:f>
              <c:numCache>
                <c:formatCode>General</c:formatCode>
                <c:ptCount val="25"/>
                <c:pt idx="0">
                  <c:v>2.182819</c:v>
                </c:pt>
                <c:pt idx="1">
                  <c:v>2.260367</c:v>
                </c:pt>
                <c:pt idx="2">
                  <c:v>1.875751</c:v>
                </c:pt>
                <c:pt idx="3">
                  <c:v>1.847867</c:v>
                </c:pt>
                <c:pt idx="4">
                  <c:v>1.827743</c:v>
                </c:pt>
                <c:pt idx="5">
                  <c:v>1.489341</c:v>
                </c:pt>
                <c:pt idx="6">
                  <c:v>1.572621</c:v>
                </c:pt>
                <c:pt idx="7">
                  <c:v>1.449869</c:v>
                </c:pt>
                <c:pt idx="8">
                  <c:v>1.313992</c:v>
                </c:pt>
                <c:pt idx="9">
                  <c:v>1.80292</c:v>
                </c:pt>
                <c:pt idx="10">
                  <c:v>1.39496</c:v>
                </c:pt>
                <c:pt idx="11">
                  <c:v>1.935466</c:v>
                </c:pt>
                <c:pt idx="12">
                  <c:v>1.712935</c:v>
                </c:pt>
                <c:pt idx="13">
                  <c:v>1.632152</c:v>
                </c:pt>
                <c:pt idx="14">
                  <c:v>1.806859</c:v>
                </c:pt>
                <c:pt idx="15">
                  <c:v>1.468615</c:v>
                </c:pt>
                <c:pt idx="16">
                  <c:v>1.202086</c:v>
                </c:pt>
                <c:pt idx="17">
                  <c:v>1.341849</c:v>
                </c:pt>
                <c:pt idx="18">
                  <c:v>1.528463</c:v>
                </c:pt>
                <c:pt idx="19">
                  <c:v>1.937263</c:v>
                </c:pt>
                <c:pt idx="20">
                  <c:v>1.786467</c:v>
                </c:pt>
                <c:pt idx="21">
                  <c:v>1.354536</c:v>
                </c:pt>
                <c:pt idx="22">
                  <c:v>1.550134</c:v>
                </c:pt>
                <c:pt idx="23">
                  <c:v>1.39631</c:v>
                </c:pt>
                <c:pt idx="24">
                  <c:v>1.800127</c:v>
                </c:pt>
              </c:numCache>
            </c:numRef>
          </c:val>
          <c:smooth val="1"/>
        </c:ser>
        <c:hiLowLines>
          <c:spPr>
            <a:ln w="0">
              <a:noFill/>
            </a:ln>
          </c:spPr>
        </c:hiLowLines>
        <c:marker val="0"/>
        <c:axId val="42317443"/>
        <c:axId val="5313438"/>
      </c:lineChart>
      <c:catAx>
        <c:axId val="42317443"/>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5313438"/>
        <c:crosses val="autoZero"/>
        <c:auto val="1"/>
        <c:lblAlgn val="ctr"/>
        <c:lblOffset val="100"/>
        <c:noMultiLvlLbl val="0"/>
      </c:catAx>
      <c:valAx>
        <c:axId val="5313438"/>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P/B</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42317443"/>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Figure 13: NAV bridge ($M)</a:t>
            </a:r>
          </a:p>
        </c:rich>
      </c:tx>
      <c:overlay val="0"/>
      <c:spPr>
        <a:noFill/>
        <a:ln w="0">
          <a:noFill/>
        </a:ln>
      </c:spPr>
    </c:title>
    <c:autoTitleDeleted val="0"/>
    <c:plotArea>
      <c:barChart>
        <c:barDir val="col"/>
        <c:grouping val="clustered"/>
        <c:varyColors val="0"/>
        <c:ser>
          <c:idx val="0"/>
          <c:order val="0"/>
          <c:spPr>
            <a:solidFill>
              <a:srgbClr val="F2C755"/>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extLst>
              <c:ext xmlns:c15="http://schemas.microsoft.com/office/drawing/2012/chart" uri="{CE6537A1-D6FC-4f65-9D91-7224C49458BB}">
                <c15:showLeaderLines val="1"/>
              </c:ext>
            </c:extLst>
          </c:dLbls>
          <c:cat>
            <c:strRef>
              <c:f>Charts!$D$73:$K$73</c:f>
              <c:strCache>
                <c:ptCount val="8"/>
                <c:pt idx="0">
                  <c:v>Fleet at mark</c:v>
                </c:pt>
                <c:pt idx="1">
                  <c:v>+RRPF</c:v>
                </c:pt>
                <c:pt idx="2">
                  <c:v>+Other</c:v>
                </c:pt>
                <c:pt idx="3">
                  <c:v>-Debt</c:v>
                </c:pt>
                <c:pt idx="4">
                  <c:v>-Op leases</c:v>
                </c:pt>
                <c:pt idx="5">
                  <c:v>-NCI</c:v>
                </c:pt>
                <c:pt idx="6">
                  <c:v>-DT</c:v>
                </c:pt>
                <c:pt idx="7">
                  <c:v>NAV (M$)</c:v>
                </c:pt>
              </c:strCache>
            </c:strRef>
          </c:cat>
          <c:val>
            <c:numRef>
              <c:f>Charts!$D$74:$K$74</c:f>
              <c:numCache>
                <c:formatCode>#,##0_);\(#,##0\);0_);@_)</c:formatCode>
                <c:ptCount val="8"/>
                <c:pt idx="0">
                  <c:v>15830.5</c:v>
                </c:pt>
                <c:pt idx="1">
                  <c:v>732.3</c:v>
                </c:pt>
                <c:pt idx="2">
                  <c:v>1685.39575056158</c:v>
                </c:pt>
                <c:pt idx="3">
                  <c:v>-12516.9559948862</c:v>
                </c:pt>
                <c:pt idx="4">
                  <c:v>-143.8</c:v>
                </c:pt>
                <c:pt idx="5">
                  <c:v>-792.35004</c:v>
                </c:pt>
                <c:pt idx="6">
                  <c:v>-1207.657</c:v>
                </c:pt>
                <c:pt idx="7">
                  <c:v>6076.65445336191</c:v>
                </c:pt>
              </c:numCache>
            </c:numRef>
          </c:val>
        </c:ser>
        <c:gapWidth val="150"/>
        <c:overlap val="0"/>
        <c:axId val="30545737"/>
        <c:axId val="11006309"/>
      </c:barChart>
      <c:catAx>
        <c:axId val="30545737"/>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11006309"/>
        <c:crosses val="autoZero"/>
        <c:auto val="1"/>
        <c:lblAlgn val="ctr"/>
        <c:lblOffset val="100"/>
        <c:noMultiLvlLbl val="0"/>
      </c:catAx>
      <c:valAx>
        <c:axId val="11006309"/>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$M</a:t>
                </a:r>
              </a:p>
            </c:rich>
          </c:tx>
          <c:overlay val="0"/>
          <c:spPr>
            <a:noFill/>
            <a:ln w="0">
              <a:noFill/>
            </a:ln>
          </c:spPr>
        </c:title>
        <c:numFmt formatCode="#,##0_);\(#,##0\);0_);@_)"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30545737"/>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Figure 14: ROE vs Ke</a:t>
            </a:r>
          </a:p>
        </c:rich>
      </c:tx>
      <c:overlay val="0"/>
      <c:spPr>
        <a:noFill/>
        <a:ln w="0">
          <a:noFill/>
        </a:ln>
      </c:spPr>
    </c:title>
    <c:autoTitleDeleted val="0"/>
    <c:plotArea>
      <c:lineChart>
        <c:grouping val="standard"/>
        <c:varyColors val="0"/>
        <c:ser>
          <c:idx val="0"/>
          <c:order val="0"/>
          <c:spPr>
            <a:ln w="25560">
              <a:solidFill>
                <a:srgbClr val="F2C755"/>
              </a:solidFill>
              <a:round/>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extLst>
              <c:ext xmlns:c15="http://schemas.microsoft.com/office/drawing/2012/chart" uri="{CE6537A1-D6FC-4f65-9D91-7224C49458BB}">
                <c15:showLeaderLines val="1"/>
              </c:ext>
            </c:extLst>
          </c:dLbls>
          <c:cat>
            <c:strRef>
              <c:f>Charts!$I$15:$S$15</c:f>
              <c:strCache>
                <c:ptCount val="11"/>
                <c:pt idx="0">
                  <c:v>2025A</c:v>
                </c:pt>
                <c:pt idx="1">
                  <c:v>2026E</c:v>
                </c:pt>
                <c:pt idx="2">
                  <c:v>2027E</c:v>
                </c:pt>
                <c:pt idx="3">
                  <c:v>2028E</c:v>
                </c:pt>
                <c:pt idx="4">
                  <c:v>2029E</c:v>
                </c:pt>
                <c:pt idx="5">
                  <c:v>2030E</c:v>
                </c:pt>
                <c:pt idx="6">
                  <c:v>2031E</c:v>
                </c:pt>
                <c:pt idx="7">
                  <c:v>2032E</c:v>
                </c:pt>
                <c:pt idx="8">
                  <c:v>2033E</c:v>
                </c:pt>
                <c:pt idx="9">
                  <c:v>2034E</c:v>
                </c:pt>
                <c:pt idx="10">
                  <c:v>2035E</c:v>
                </c:pt>
              </c:strCache>
            </c:strRef>
          </c:cat>
          <c:val>
            <c:numRef>
              <c:f>Charts!$I$78:$S$78</c:f>
              <c:numCache>
                <c:formatCode>General</c:formatCode>
                <c:ptCount val="11"/>
                <c:pt idx="0">
                  <c:v>0.121177967642247</c:v>
                </c:pt>
                <c:pt idx="1">
                  <c:v>0.129714916412157</c:v>
                </c:pt>
                <c:pt idx="2">
                  <c:v>0.119459309672398</c:v>
                </c:pt>
                <c:pt idx="3">
                  <c:v>0.117576817096313</c:v>
                </c:pt>
                <c:pt idx="4">
                  <c:v>0.115138121049798</c:v>
                </c:pt>
                <c:pt idx="5">
                  <c:v>0.107573719322139</c:v>
                </c:pt>
                <c:pt idx="6">
                  <c:v>0.107060372691183</c:v>
                </c:pt>
                <c:pt idx="7">
                  <c:v>0.103840700834998</c:v>
                </c:pt>
                <c:pt idx="8">
                  <c:v>0.102180165482223</c:v>
                </c:pt>
                <c:pt idx="9">
                  <c:v>0.10109754938435</c:v>
                </c:pt>
                <c:pt idx="10">
                  <c:v>0.101330634443507</c:v>
                </c:pt>
              </c:numCache>
            </c:numRef>
          </c:val>
          <c:smooth val="1"/>
        </c:ser>
        <c:ser>
          <c:idx val="1"/>
          <c:order val="1"/>
          <c:spPr>
            <a:ln w="12600">
              <a:solidFill>
                <a:srgbClr val="292934"/>
              </a:solidFill>
              <a:round/>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extLst>
              <c:ext xmlns:c15="http://schemas.microsoft.com/office/drawing/2012/chart" uri="{CE6537A1-D6FC-4f65-9D91-7224C49458BB}">
                <c15:showLeaderLines val="1"/>
              </c:ext>
            </c:extLst>
          </c:dLbls>
          <c:cat>
            <c:strRef>
              <c:f>Charts!$I$15:$S$15</c:f>
              <c:strCache>
                <c:ptCount val="11"/>
                <c:pt idx="0">
                  <c:v>2025A</c:v>
                </c:pt>
                <c:pt idx="1">
                  <c:v>2026E</c:v>
                </c:pt>
                <c:pt idx="2">
                  <c:v>2027E</c:v>
                </c:pt>
                <c:pt idx="3">
                  <c:v>2028E</c:v>
                </c:pt>
                <c:pt idx="4">
                  <c:v>2029E</c:v>
                </c:pt>
                <c:pt idx="5">
                  <c:v>2030E</c:v>
                </c:pt>
                <c:pt idx="6">
                  <c:v>2031E</c:v>
                </c:pt>
                <c:pt idx="7">
                  <c:v>2032E</c:v>
                </c:pt>
                <c:pt idx="8">
                  <c:v>2033E</c:v>
                </c:pt>
                <c:pt idx="9">
                  <c:v>2034E</c:v>
                </c:pt>
                <c:pt idx="10">
                  <c:v>2035E</c:v>
                </c:pt>
              </c:strCache>
            </c:strRef>
          </c:cat>
          <c:val>
            <c:numRef>
              <c:f>Charts!$I$79:$S$79</c:f>
              <c:numCache>
                <c:formatCode>0.0%_);\(0.0%\);@_)</c:formatCode>
                <c:ptCount val="11"/>
                <c:pt idx="0">
                  <c:v>0.0902</c:v>
                </c:pt>
                <c:pt idx="1">
                  <c:v>0.0902</c:v>
                </c:pt>
                <c:pt idx="2">
                  <c:v>0.0902</c:v>
                </c:pt>
                <c:pt idx="3">
                  <c:v>0.0902</c:v>
                </c:pt>
                <c:pt idx="4">
                  <c:v>0.0902</c:v>
                </c:pt>
                <c:pt idx="5">
                  <c:v>0.0902</c:v>
                </c:pt>
                <c:pt idx="6">
                  <c:v>0.0902</c:v>
                </c:pt>
                <c:pt idx="7">
                  <c:v>0.0902</c:v>
                </c:pt>
                <c:pt idx="8">
                  <c:v>0.0902</c:v>
                </c:pt>
                <c:pt idx="9">
                  <c:v>0.0902</c:v>
                </c:pt>
                <c:pt idx="10">
                  <c:v>0.0902</c:v>
                </c:pt>
              </c:numCache>
            </c:numRef>
          </c:val>
          <c:smooth val="1"/>
        </c:ser>
        <c:hiLowLines>
          <c:spPr>
            <a:ln w="0">
              <a:noFill/>
            </a:ln>
          </c:spPr>
        </c:hiLowLines>
        <c:marker val="0"/>
        <c:axId val="41668725"/>
        <c:axId val="69243758"/>
      </c:lineChart>
      <c:catAx>
        <c:axId val="41668725"/>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69243758"/>
        <c:crosses val="autoZero"/>
        <c:auto val="1"/>
        <c:lblAlgn val="ctr"/>
        <c:lblOffset val="100"/>
        <c:noMultiLvlLbl val="0"/>
      </c:catAx>
      <c:valAx>
        <c:axId val="69243758"/>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Rate</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41668725"/>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Figure 15: Peer P/B vs ROE (GATX yellow)</a:t>
            </a:r>
          </a:p>
        </c:rich>
      </c:tx>
      <c:overlay val="0"/>
      <c:spPr>
        <a:noFill/>
        <a:ln w="0">
          <a:noFill/>
        </a:ln>
      </c:spPr>
    </c:title>
    <c:autoTitleDeleted val="0"/>
    <c:plotArea>
      <c:scatterChart>
        <c:scatterStyle val="lineMarker"/>
        <c:varyColors val="0"/>
        <c:ser>
          <c:idx val="0"/>
          <c:order val="0"/>
          <c:spPr>
            <a:ln w="12600">
              <a:noFill/>
            </a:ln>
          </c:spPr>
          <c:marker>
            <c:symbol val="circle"/>
            <c:size val="10"/>
            <c:spPr>
              <a:noFill/>
            </c:spPr>
          </c:marker>
          <c:smooth val="1"/>
        </c:ser>
        <c:ser>
          <c:idx val="1"/>
          <c:order val="1"/>
          <c:spPr>
            <a:ln w="12600">
              <a:noFill/>
            </a:ln>
          </c:spPr>
          <c:marker>
            <c:symbol val="circle"/>
            <c:size val="6"/>
            <c:spPr>
              <a:noFill/>
            </c:spPr>
          </c:marker>
          <c:smooth val="1"/>
        </c:ser>
        <c:axId val="2568295"/>
        <c:axId val="22603439"/>
      </c:scatterChart>
      <c:valAx>
        <c:axId val="2568295"/>
        <c:scaling>
          <c:orientation val="minMax"/>
        </c:scaling>
        <c:delete val="0"/>
        <c:axPos val="b"/>
        <c:majorGridlines>
          <c:spPr>
            <a:ln w="0">
              <a:solidFill>
                <a:srgbClr val="B3B3B3"/>
              </a:solidFill>
            </a:ln>
          </c:spPr>
        </c:majorGridlines>
        <c:title>
          <c:tx>
            <c:rich>
              <a:bodyPr rot="0"/>
              <a:lstStyle/>
              <a:p>
                <a:pPr>
                  <a:defRPr sz="1300" b="0" u="none" strike="noStrike">
                    <a:uFillTx/>
                    <a:latin typeface="Arial"/>
                  </a:defRPr>
                </a:pPr>
                <a:r>
                  <a:rPr sz="1000" b="1" u="none" strike="noStrike">
                    <a:solidFill>
                      <a:srgbClr val="000000"/>
                    </a:solidFill>
                    <a:uFillTx/>
                    <a:latin typeface="Calibri"/>
                  </a:rPr>
                  <a:t>ROE</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22603439"/>
        <c:crosses val="autoZero"/>
        <c:crossBetween val="midCat"/>
      </c:valAx>
      <c:valAx>
        <c:axId val="22603439"/>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P/B</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2568295"/>
        <c:crosses val="autoZero"/>
        <c:crossBetween val="midCat"/>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Figure 16: Cash flow by year ($M)</a:t>
            </a:r>
          </a:p>
        </c:rich>
      </c:tx>
      <c:overlay val="0"/>
      <c:spPr>
        <a:noFill/>
        <a:ln w="0">
          <a:noFill/>
        </a:ln>
      </c:spPr>
    </c:title>
    <c:autoTitleDeleted val="0"/>
    <c:plotArea>
      <c:barChart>
        <c:barDir val="col"/>
        <c:grouping val="clustered"/>
        <c:varyColors val="0"/>
        <c:ser>
          <c:idx val="0"/>
          <c:order val="0"/>
          <c:spPr>
            <a:solidFill>
              <a:srgbClr val="F2C755"/>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extLst>
              <c:ext xmlns:c15="http://schemas.microsoft.com/office/drawing/2012/chart" uri="{CE6537A1-D6FC-4f65-9D91-7224C49458BB}">
                <c15:showLeaderLines val="1"/>
              </c:ext>
            </c:extLst>
          </c:dLbls>
          <c:cat>
            <c:strRef>
              <c:f>Charts!$J$15:$S$15</c:f>
              <c:strCache>
                <c:ptCount val="10"/>
                <c:pt idx="0">
                  <c:v>2026E</c:v>
                </c:pt>
                <c:pt idx="1">
                  <c:v>2027E</c:v>
                </c:pt>
                <c:pt idx="2">
                  <c:v>2028E</c:v>
                </c:pt>
                <c:pt idx="3">
                  <c:v>2029E</c:v>
                </c:pt>
                <c:pt idx="4">
                  <c:v>2030E</c:v>
                </c:pt>
                <c:pt idx="5">
                  <c:v>2031E</c:v>
                </c:pt>
                <c:pt idx="6">
                  <c:v>2032E</c:v>
                </c:pt>
                <c:pt idx="7">
                  <c:v>2033E</c:v>
                </c:pt>
                <c:pt idx="8">
                  <c:v>2034E</c:v>
                </c:pt>
                <c:pt idx="9">
                  <c:v>2035E</c:v>
                </c:pt>
              </c:strCache>
            </c:strRef>
          </c:cat>
          <c:val>
            <c:numRef>
              <c:f>Charts!$J$25:$S$25</c:f>
              <c:numCache>
                <c:formatCode>#,##0_);\(#,##0\);0_);@_)</c:formatCode>
                <c:ptCount val="10"/>
                <c:pt idx="0">
                  <c:v>986.921005113826</c:v>
                </c:pt>
                <c:pt idx="1">
                  <c:v>925.562198448334</c:v>
                </c:pt>
                <c:pt idx="2">
                  <c:v>942.330658327632</c:v>
                </c:pt>
                <c:pt idx="3">
                  <c:v>950.85383335742</c:v>
                </c:pt>
                <c:pt idx="4">
                  <c:v>935.35083741372</c:v>
                </c:pt>
                <c:pt idx="5">
                  <c:v>942.226848565745</c:v>
                </c:pt>
                <c:pt idx="6">
                  <c:v>957.489497588075</c:v>
                </c:pt>
                <c:pt idx="7">
                  <c:v>974.303644033455</c:v>
                </c:pt>
                <c:pt idx="8">
                  <c:v>992.00706383639</c:v>
                </c:pt>
                <c:pt idx="9">
                  <c:v>1010.60254591626</c:v>
                </c:pt>
              </c:numCache>
            </c:numRef>
          </c:val>
        </c:ser>
        <c:ser>
          <c:idx val="1"/>
          <c:order val="1"/>
          <c:spPr>
            <a:solidFill>
              <a:srgbClr val="A6A6A6"/>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extLst>
              <c:ext xmlns:c15="http://schemas.microsoft.com/office/drawing/2012/chart" uri="{CE6537A1-D6FC-4f65-9D91-7224C49458BB}">
                <c15:showLeaderLines val="1"/>
              </c:ext>
            </c:extLst>
          </c:dLbls>
          <c:cat>
            <c:strRef>
              <c:f>Charts!$J$15:$S$15</c:f>
              <c:strCache>
                <c:ptCount val="10"/>
                <c:pt idx="0">
                  <c:v>2026E</c:v>
                </c:pt>
                <c:pt idx="1">
                  <c:v>2027E</c:v>
                </c:pt>
                <c:pt idx="2">
                  <c:v>2028E</c:v>
                </c:pt>
                <c:pt idx="3">
                  <c:v>2029E</c:v>
                </c:pt>
                <c:pt idx="4">
                  <c:v>2030E</c:v>
                </c:pt>
                <c:pt idx="5">
                  <c:v>2031E</c:v>
                </c:pt>
                <c:pt idx="6">
                  <c:v>2032E</c:v>
                </c:pt>
                <c:pt idx="7">
                  <c:v>2033E</c:v>
                </c:pt>
                <c:pt idx="8">
                  <c:v>2034E</c:v>
                </c:pt>
                <c:pt idx="9">
                  <c:v>2035E</c:v>
                </c:pt>
              </c:strCache>
            </c:strRef>
          </c:cat>
          <c:val>
            <c:numRef>
              <c:f>Charts!$J$26:$S$26</c:f>
              <c:numCache>
                <c:formatCode>#,##0_);\(#,##0\);0_);@_)</c:formatCode>
                <c:ptCount val="10"/>
                <c:pt idx="0">
                  <c:v>-1041</c:v>
                </c:pt>
                <c:pt idx="1">
                  <c:v>-1400</c:v>
                </c:pt>
                <c:pt idx="2">
                  <c:v>-1400</c:v>
                </c:pt>
                <c:pt idx="3">
                  <c:v>-1400</c:v>
                </c:pt>
                <c:pt idx="4">
                  <c:v>-1400</c:v>
                </c:pt>
                <c:pt idx="5">
                  <c:v>-1190</c:v>
                </c:pt>
                <c:pt idx="6">
                  <c:v>-1159.27004706693</c:v>
                </c:pt>
                <c:pt idx="7">
                  <c:v>-1173.12227624154</c:v>
                </c:pt>
                <c:pt idx="8">
                  <c:v>-1187.11302770789</c:v>
                </c:pt>
                <c:pt idx="9">
                  <c:v>-1201.24368668891</c:v>
                </c:pt>
              </c:numCache>
            </c:numRef>
          </c:val>
        </c:ser>
        <c:ser>
          <c:idx val="2"/>
          <c:order val="2"/>
          <c:spPr>
            <a:solidFill>
              <a:srgbClr val="292934"/>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extLst>
              <c:ext xmlns:c15="http://schemas.microsoft.com/office/drawing/2012/chart" uri="{CE6537A1-D6FC-4f65-9D91-7224C49458BB}">
                <c15:showLeaderLines val="1"/>
              </c:ext>
            </c:extLst>
          </c:dLbls>
          <c:cat>
            <c:strRef>
              <c:f>Charts!$J$15:$S$15</c:f>
              <c:strCache>
                <c:ptCount val="10"/>
                <c:pt idx="0">
                  <c:v>2026E</c:v>
                </c:pt>
                <c:pt idx="1">
                  <c:v>2027E</c:v>
                </c:pt>
                <c:pt idx="2">
                  <c:v>2028E</c:v>
                </c:pt>
                <c:pt idx="3">
                  <c:v>2029E</c:v>
                </c:pt>
                <c:pt idx="4">
                  <c:v>2030E</c:v>
                </c:pt>
                <c:pt idx="5">
                  <c:v>2031E</c:v>
                </c:pt>
                <c:pt idx="6">
                  <c:v>2032E</c:v>
                </c:pt>
                <c:pt idx="7">
                  <c:v>2033E</c:v>
                </c:pt>
                <c:pt idx="8">
                  <c:v>2034E</c:v>
                </c:pt>
                <c:pt idx="9">
                  <c:v>2035E</c:v>
                </c:pt>
              </c:strCache>
            </c:strRef>
          </c:cat>
          <c:val>
            <c:numRef>
              <c:f>Charts!$J$27:$S$27</c:f>
              <c:numCache>
                <c:formatCode>#,##0_);\(#,##0\);0_);@_)</c:formatCode>
                <c:ptCount val="10"/>
                <c:pt idx="0">
                  <c:v>-100</c:v>
                </c:pt>
                <c:pt idx="1">
                  <c:v>-100</c:v>
                </c:pt>
                <c:pt idx="2">
                  <c:v>-100</c:v>
                </c:pt>
                <c:pt idx="3">
                  <c:v>-100</c:v>
                </c:pt>
                <c:pt idx="4">
                  <c:v>-100</c:v>
                </c:pt>
                <c:pt idx="5">
                  <c:v>-104.32551239262</c:v>
                </c:pt>
                <c:pt idx="6">
                  <c:v>-105.998039778235</c:v>
                </c:pt>
                <c:pt idx="7">
                  <c:v>-109.15624105382</c:v>
                </c:pt>
                <c:pt idx="8">
                  <c:v>-112.973246113599</c:v>
                </c:pt>
                <c:pt idx="9">
                  <c:v>-117.463327059187</c:v>
                </c:pt>
              </c:numCache>
            </c:numRef>
          </c:val>
        </c:ser>
        <c:ser>
          <c:idx val="3"/>
          <c:order val="3"/>
          <c:spPr>
            <a:solidFill>
              <a:srgbClr val="808080"/>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extLst>
              <c:ext xmlns:c15="http://schemas.microsoft.com/office/drawing/2012/chart" uri="{CE6537A1-D6FC-4f65-9D91-7224C49458BB}">
                <c15:showLeaderLines val="1"/>
              </c:ext>
            </c:extLst>
          </c:dLbls>
          <c:cat>
            <c:strRef>
              <c:f>Charts!$J$15:$S$15</c:f>
              <c:strCache>
                <c:ptCount val="10"/>
                <c:pt idx="0">
                  <c:v>2026E</c:v>
                </c:pt>
                <c:pt idx="1">
                  <c:v>2027E</c:v>
                </c:pt>
                <c:pt idx="2">
                  <c:v>2028E</c:v>
                </c:pt>
                <c:pt idx="3">
                  <c:v>2029E</c:v>
                </c:pt>
                <c:pt idx="4">
                  <c:v>2030E</c:v>
                </c:pt>
                <c:pt idx="5">
                  <c:v>2031E</c:v>
                </c:pt>
                <c:pt idx="6">
                  <c:v>2032E</c:v>
                </c:pt>
                <c:pt idx="7">
                  <c:v>2033E</c:v>
                </c:pt>
                <c:pt idx="8">
                  <c:v>2034E</c:v>
                </c:pt>
                <c:pt idx="9">
                  <c:v>2035E</c:v>
                </c:pt>
              </c:strCache>
            </c:strRef>
          </c:cat>
          <c:val>
            <c:numRef>
              <c:f>Charts!$J$28:$S$28</c:f>
              <c:numCache>
                <c:formatCode>#,##0_);\(#,##0\);0_);@_)</c:formatCode>
                <c:ptCount val="10"/>
                <c:pt idx="0">
                  <c:v>-94.512</c:v>
                </c:pt>
                <c:pt idx="1">
                  <c:v>-96.5206648734464</c:v>
                </c:pt>
                <c:pt idx="2">
                  <c:v>-95.0024666835396</c:v>
                </c:pt>
                <c:pt idx="3">
                  <c:v>-93.5356085290402</c:v>
                </c:pt>
                <c:pt idx="4">
                  <c:v>-92.1183542734852</c:v>
                </c:pt>
                <c:pt idx="5">
                  <c:v>-96.102945103462</c:v>
                </c:pt>
                <c:pt idx="6">
                  <c:v>-97.6436498058642</c:v>
                </c:pt>
                <c:pt idx="7">
                  <c:v>-100.552932845577</c:v>
                </c:pt>
                <c:pt idx="8">
                  <c:v>-104.069095089182</c:v>
                </c:pt>
                <c:pt idx="9">
                  <c:v>-108.205283761805</c:v>
                </c:pt>
              </c:numCache>
            </c:numRef>
          </c:val>
        </c:ser>
        <c:ser>
          <c:idx val="4"/>
          <c:order val="4"/>
          <c:spPr>
            <a:solidFill>
              <a:srgbClr val="A6A6A6"/>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extLst>
              <c:ext xmlns:c15="http://schemas.microsoft.com/office/drawing/2012/chart" uri="{CE6537A1-D6FC-4f65-9D91-7224C49458BB}">
                <c15:showLeaderLines val="1"/>
              </c:ext>
            </c:extLst>
          </c:dLbls>
          <c:cat>
            <c:strRef>
              <c:f>Charts!$J$15:$S$15</c:f>
              <c:strCache>
                <c:ptCount val="10"/>
                <c:pt idx="0">
                  <c:v>2026E</c:v>
                </c:pt>
                <c:pt idx="1">
                  <c:v>2027E</c:v>
                </c:pt>
                <c:pt idx="2">
                  <c:v>2028E</c:v>
                </c:pt>
                <c:pt idx="3">
                  <c:v>2029E</c:v>
                </c:pt>
                <c:pt idx="4">
                  <c:v>2030E</c:v>
                </c:pt>
                <c:pt idx="5">
                  <c:v>2031E</c:v>
                </c:pt>
                <c:pt idx="6">
                  <c:v>2032E</c:v>
                </c:pt>
                <c:pt idx="7">
                  <c:v>2033E</c:v>
                </c:pt>
                <c:pt idx="8">
                  <c:v>2034E</c:v>
                </c:pt>
                <c:pt idx="9">
                  <c:v>2035E</c:v>
                </c:pt>
              </c:strCache>
            </c:strRef>
          </c:cat>
          <c:val>
            <c:numRef>
              <c:f>Charts!$J$29:$S$29</c:f>
              <c:numCache>
                <c:formatCode>#,##0_);\(#,##0\);0_);@_)</c:formatCode>
                <c:ptCount val="10"/>
                <c:pt idx="0">
                  <c:v>-16.9440051138254</c:v>
                </c:pt>
                <c:pt idx="1">
                  <c:v>501.012575336003</c:v>
                </c:pt>
                <c:pt idx="2">
                  <c:v>475.726653266799</c:v>
                </c:pt>
                <c:pt idx="3">
                  <c:v>458.736620082511</c:v>
                </c:pt>
                <c:pt idx="4">
                  <c:v>465.822361770656</c:v>
                </c:pt>
                <c:pt idx="5">
                  <c:v>242.888979601227</c:v>
                </c:pt>
                <c:pt idx="6">
                  <c:v>190.57388639545</c:v>
                </c:pt>
                <c:pt idx="7">
                  <c:v>184.054979784729</c:v>
                </c:pt>
                <c:pt idx="8">
                  <c:v>177.959148518352</c:v>
                </c:pt>
                <c:pt idx="9">
                  <c:v>172.309193246367</c:v>
                </c:pt>
              </c:numCache>
            </c:numRef>
          </c:val>
        </c:ser>
        <c:gapWidth val="150"/>
        <c:overlap val="0"/>
        <c:axId val="74414329"/>
        <c:axId val="82270508"/>
      </c:barChart>
      <c:catAx>
        <c:axId val="74414329"/>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82270508"/>
        <c:crosses val="autoZero"/>
        <c:auto val="1"/>
        <c:lblAlgn val="ctr"/>
        <c:lblOffset val="100"/>
        <c:noMultiLvlLbl val="0"/>
      </c:catAx>
      <c:valAx>
        <c:axId val="82270508"/>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$M</a:t>
                </a:r>
              </a:p>
            </c:rich>
          </c:tx>
          <c:overlay val="0"/>
          <c:spPr>
            <a:noFill/>
            <a:ln w="0">
              <a:noFill/>
            </a:ln>
          </c:spPr>
        </c:title>
        <c:numFmt formatCode="#,##0_);\(#,##0\);0_);@_)"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74414329"/>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1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Figure 17: Diluted shares + cumulative buybacks</a:t>
            </a:r>
          </a:p>
        </c:rich>
      </c:tx>
      <c:overlay val="0"/>
      <c:spPr>
        <a:noFill/>
        <a:ln w="0">
          <a:noFill/>
        </a:ln>
      </c:spPr>
    </c:title>
    <c:autoTitleDeleted val="0"/>
    <c:plotArea>
      <c:barChart>
        <c:barDir val="col"/>
        <c:grouping val="clustered"/>
        <c:varyColors val="0"/>
        <c:ser>
          <c:idx val="0"/>
          <c:order val="0"/>
          <c:spPr>
            <a:solidFill>
              <a:srgbClr val="F2C755"/>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extLst>
              <c:ext xmlns:c15="http://schemas.microsoft.com/office/drawing/2012/chart" uri="{CE6537A1-D6FC-4f65-9D91-7224C49458BB}">
                <c15:showLeaderLines val="1"/>
              </c:ext>
            </c:extLst>
          </c:dLbls>
          <c:cat>
            <c:strRef>
              <c:f>Charts!$I$15:$S$15</c:f>
              <c:strCache>
                <c:ptCount val="11"/>
                <c:pt idx="0">
                  <c:v>2025A</c:v>
                </c:pt>
                <c:pt idx="1">
                  <c:v>2026E</c:v>
                </c:pt>
                <c:pt idx="2">
                  <c:v>2027E</c:v>
                </c:pt>
                <c:pt idx="3">
                  <c:v>2028E</c:v>
                </c:pt>
                <c:pt idx="4">
                  <c:v>2029E</c:v>
                </c:pt>
                <c:pt idx="5">
                  <c:v>2030E</c:v>
                </c:pt>
                <c:pt idx="6">
                  <c:v>2031E</c:v>
                </c:pt>
                <c:pt idx="7">
                  <c:v>2032E</c:v>
                </c:pt>
                <c:pt idx="8">
                  <c:v>2033E</c:v>
                </c:pt>
                <c:pt idx="9">
                  <c:v>2034E</c:v>
                </c:pt>
                <c:pt idx="10">
                  <c:v>2035E</c:v>
                </c:pt>
              </c:strCache>
            </c:strRef>
          </c:cat>
          <c:val>
            <c:numRef>
              <c:f>Charts!$I$30:$S$30</c:f>
              <c:numCache>
                <c:formatCode>#,##0_);\(#,##0\);0_);@_)</c:formatCode>
                <c:ptCount val="11"/>
                <c:pt idx="0">
                  <c:v>35.9</c:v>
                </c:pt>
                <c:pt idx="1">
                  <c:v>35.8</c:v>
                </c:pt>
                <c:pt idx="2">
                  <c:v>35.2265200268053</c:v>
                </c:pt>
                <c:pt idx="3">
                  <c:v>34.6724330961823</c:v>
                </c:pt>
                <c:pt idx="4">
                  <c:v>34.1370834047592</c:v>
                </c:pt>
                <c:pt idx="5">
                  <c:v>33.6198373260895</c:v>
                </c:pt>
                <c:pt idx="6">
                  <c:v>33.0984657107244</c:v>
                </c:pt>
                <c:pt idx="7">
                  <c:v>32.5866491416379</c:v>
                </c:pt>
                <c:pt idx="8">
                  <c:v>32.0774065388034</c:v>
                </c:pt>
                <c:pt idx="9">
                  <c:v>31.5681795471438</c:v>
                </c:pt>
                <c:pt idx="10">
                  <c:v>31.0566181607745</c:v>
                </c:pt>
              </c:numCache>
            </c:numRef>
          </c:val>
        </c:ser>
        <c:ser>
          <c:idx val="1"/>
          <c:order val="1"/>
          <c:spPr>
            <a:solidFill>
              <a:srgbClr val="A6A6A6"/>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extLst>
              <c:ext xmlns:c15="http://schemas.microsoft.com/office/drawing/2012/chart" uri="{CE6537A1-D6FC-4f65-9D91-7224C49458BB}">
                <c15:showLeaderLines val="1"/>
              </c:ext>
            </c:extLst>
          </c:dLbls>
          <c:cat>
            <c:strRef>
              <c:f>Charts!$I$15:$S$15</c:f>
              <c:strCache>
                <c:ptCount val="11"/>
                <c:pt idx="0">
                  <c:v>2025A</c:v>
                </c:pt>
                <c:pt idx="1">
                  <c:v>2026E</c:v>
                </c:pt>
                <c:pt idx="2">
                  <c:v>2027E</c:v>
                </c:pt>
                <c:pt idx="3">
                  <c:v>2028E</c:v>
                </c:pt>
                <c:pt idx="4">
                  <c:v>2029E</c:v>
                </c:pt>
                <c:pt idx="5">
                  <c:v>2030E</c:v>
                </c:pt>
                <c:pt idx="6">
                  <c:v>2031E</c:v>
                </c:pt>
                <c:pt idx="7">
                  <c:v>2032E</c:v>
                </c:pt>
                <c:pt idx="8">
                  <c:v>2033E</c:v>
                </c:pt>
                <c:pt idx="9">
                  <c:v>2034E</c:v>
                </c:pt>
                <c:pt idx="10">
                  <c:v>2035E</c:v>
                </c:pt>
              </c:strCache>
            </c:strRef>
          </c:cat>
          <c:val>
            <c:numRef>
              <c:f>Charts!$I$81:$S$81</c:f>
              <c:numCache>
                <c:formatCode>#,##0_);\(#,##0\);0_);@_)</c:formatCode>
                <c:ptCount val="11"/>
                <c:pt idx="0">
                  <c:v>-65</c:v>
                </c:pt>
                <c:pt idx="1">
                  <c:v>-165</c:v>
                </c:pt>
                <c:pt idx="2">
                  <c:v>-265</c:v>
                </c:pt>
                <c:pt idx="3">
                  <c:v>-365</c:v>
                </c:pt>
                <c:pt idx="4">
                  <c:v>-465</c:v>
                </c:pt>
                <c:pt idx="5">
                  <c:v>-565</c:v>
                </c:pt>
                <c:pt idx="6">
                  <c:v>-669.32551239262</c:v>
                </c:pt>
                <c:pt idx="7">
                  <c:v>-775.323552170854</c:v>
                </c:pt>
                <c:pt idx="8">
                  <c:v>-884.479793224674</c:v>
                </c:pt>
                <c:pt idx="9">
                  <c:v>-997.453039338274</c:v>
                </c:pt>
                <c:pt idx="10">
                  <c:v>-1114.91636639746</c:v>
                </c:pt>
              </c:numCache>
            </c:numRef>
          </c:val>
        </c:ser>
        <c:gapWidth val="150"/>
        <c:overlap val="0"/>
        <c:axId val="14732924"/>
        <c:axId val="68180900"/>
      </c:barChart>
      <c:catAx>
        <c:axId val="14732924"/>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68180900"/>
        <c:crosses val="autoZero"/>
        <c:auto val="1"/>
        <c:lblAlgn val="ctr"/>
        <c:lblOffset val="100"/>
        <c:noMultiLvlLbl val="0"/>
      </c:catAx>
      <c:valAx>
        <c:axId val="68180900"/>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M sh / $M</a:t>
                </a:r>
              </a:p>
            </c:rich>
          </c:tx>
          <c:overlay val="0"/>
          <c:spPr>
            <a:noFill/>
            <a:ln w="0">
              <a:noFill/>
            </a:ln>
          </c:spPr>
        </c:title>
        <c:numFmt formatCode="#,##0_);\(#,##0\);0_);@_)"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14732924"/>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1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Figure 18: Earnings quality 2025A-2027E</a:t>
            </a:r>
          </a:p>
        </c:rich>
      </c:tx>
      <c:overlay val="0"/>
      <c:spPr>
        <a:noFill/>
        <a:ln w="0">
          <a:noFill/>
        </a:ln>
      </c:spPr>
    </c:title>
    <c:autoTitleDeleted val="0"/>
    <c:plotArea>
      <c:barChart>
        <c:barDir val="col"/>
        <c:grouping val="clustered"/>
        <c:varyColors val="0"/>
        <c:ser>
          <c:idx val="0"/>
          <c:order val="0"/>
          <c:spPr>
            <a:solidFill>
              <a:srgbClr val="F2C755"/>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extLst>
              <c:ext xmlns:c15="http://schemas.microsoft.com/office/drawing/2012/chart" uri="{CE6537A1-D6FC-4f65-9D91-7224C49458BB}">
                <c15:showLeaderLines val="1"/>
              </c:ext>
            </c:extLst>
          </c:dLbls>
          <c:cat>
            <c:strRef>
              <c:f>Charts!$I$15:$K$15</c:f>
              <c:strCache>
                <c:ptCount val="3"/>
                <c:pt idx="0">
                  <c:v>2025A</c:v>
                </c:pt>
                <c:pt idx="1">
                  <c:v>2026E</c:v>
                </c:pt>
                <c:pt idx="2">
                  <c:v>2027E</c:v>
                </c:pt>
              </c:strCache>
            </c:strRef>
          </c:cat>
          <c:val>
            <c:numRef>
              <c:f>Charts!$I$55:$K$55</c:f>
              <c:numCache>
                <c:formatCode>\$#,##0.00_);"($"#,##0.00\)</c:formatCode>
                <c:ptCount val="3"/>
                <c:pt idx="0">
                  <c:v>9.28412256267411</c:v>
                </c:pt>
                <c:pt idx="1">
                  <c:v>10.2892230192277</c:v>
                </c:pt>
                <c:pt idx="2">
                  <c:v>10.1760599616912</c:v>
                </c:pt>
              </c:numCache>
            </c:numRef>
          </c:val>
        </c:ser>
        <c:ser>
          <c:idx val="1"/>
          <c:order val="1"/>
          <c:spPr>
            <a:solidFill>
              <a:srgbClr val="A6A6A6"/>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extLst>
              <c:ext xmlns:c15="http://schemas.microsoft.com/office/drawing/2012/chart" uri="{CE6537A1-D6FC-4f65-9D91-7224C49458BB}">
                <c15:showLeaderLines val="1"/>
              </c:ext>
            </c:extLst>
          </c:dLbls>
          <c:cat>
            <c:strRef>
              <c:f>Charts!$I$15:$K$15</c:f>
              <c:strCache>
                <c:ptCount val="3"/>
                <c:pt idx="0">
                  <c:v>2025A</c:v>
                </c:pt>
                <c:pt idx="1">
                  <c:v>2026E</c:v>
                </c:pt>
                <c:pt idx="2">
                  <c:v>2027E</c:v>
                </c:pt>
              </c:strCache>
            </c:strRef>
          </c:cat>
          <c:val>
            <c:numRef>
              <c:f>Charts!$I$56:$K$56</c:f>
              <c:numCache>
                <c:formatCode>General</c:formatCode>
                <c:ptCount val="3"/>
                <c:pt idx="0">
                  <c:v>6.38596100278553</c:v>
                </c:pt>
                <c:pt idx="1">
                  <c:v>5.82050793542879</c:v>
                </c:pt>
                <c:pt idx="2">
                  <c:v>5.63459518236397</c:v>
                </c:pt>
              </c:numCache>
            </c:numRef>
          </c:val>
        </c:ser>
        <c:ser>
          <c:idx val="2"/>
          <c:order val="2"/>
          <c:spPr>
            <a:solidFill>
              <a:srgbClr val="292934"/>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extLst>
              <c:ext xmlns:c15="http://schemas.microsoft.com/office/drawing/2012/chart" uri="{CE6537A1-D6FC-4f65-9D91-7224C49458BB}">
                <c15:showLeaderLines val="1"/>
              </c:ext>
            </c:extLst>
          </c:dLbls>
          <c:cat>
            <c:strRef>
              <c:f>Charts!$I$15:$K$15</c:f>
              <c:strCache>
                <c:ptCount val="3"/>
                <c:pt idx="0">
                  <c:v>2025A</c:v>
                </c:pt>
                <c:pt idx="1">
                  <c:v>2026E</c:v>
                </c:pt>
                <c:pt idx="2">
                  <c:v>2027E</c:v>
                </c:pt>
              </c:strCache>
            </c:strRef>
          </c:cat>
          <c:val>
            <c:numRef>
              <c:f>Charts!$I$57:$K$57</c:f>
              <c:numCache>
                <c:formatCode>General</c:formatCode>
                <c:ptCount val="3"/>
                <c:pt idx="0">
                  <c:v>9.34974930362118</c:v>
                </c:pt>
                <c:pt idx="1">
                  <c:v>8.79257497453494</c:v>
                </c:pt>
                <c:pt idx="2">
                  <c:v>8.65504681707089</c:v>
                </c:pt>
              </c:numCache>
            </c:numRef>
          </c:val>
        </c:ser>
        <c:gapWidth val="150"/>
        <c:overlap val="0"/>
        <c:axId val="61005299"/>
        <c:axId val="40347700"/>
      </c:barChart>
      <c:catAx>
        <c:axId val="61005299"/>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40347700"/>
        <c:crosses val="autoZero"/>
        <c:auto val="1"/>
        <c:lblAlgn val="ctr"/>
        <c:lblOffset val="100"/>
        <c:noMultiLvlLbl val="0"/>
      </c:catAx>
      <c:valAx>
        <c:axId val="40347700"/>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$/sh</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61005299"/>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1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Figure 19: Quarterly 2026 EPS ($/sh)</a:t>
            </a:r>
          </a:p>
        </c:rich>
      </c:tx>
      <c:overlay val="0"/>
      <c:spPr>
        <a:noFill/>
        <a:ln w="0">
          <a:noFill/>
        </a:ln>
      </c:spPr>
    </c:title>
    <c:autoTitleDeleted val="0"/>
    <c:plotArea>
      <c:barChart>
        <c:barDir val="col"/>
        <c:grouping val="clustered"/>
        <c:varyColors val="0"/>
        <c:ser>
          <c:idx val="0"/>
          <c:order val="0"/>
          <c:spPr>
            <a:solidFill>
              <a:srgbClr val="F2C755"/>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extLst>
              <c:ext xmlns:c15="http://schemas.microsoft.com/office/drawing/2012/chart" uri="{CE6537A1-D6FC-4f65-9D91-7224C49458BB}">
                <c15:showLeaderLines val="1"/>
              </c:ext>
            </c:extLst>
          </c:dLbls>
          <c:cat>
            <c:strRef>
              <c:f>Charts!$J$59:$M$59</c:f>
              <c:strCache>
                <c:ptCount val="4"/>
                <c:pt idx="0">
                  <c:v>Q1 2026A</c:v>
                </c:pt>
                <c:pt idx="1">
                  <c:v>Q2 2026A</c:v>
                </c:pt>
                <c:pt idx="2">
                  <c:v>Q3 2026E</c:v>
                </c:pt>
                <c:pt idx="3">
                  <c:v>Q4 2026E</c:v>
                </c:pt>
              </c:strCache>
            </c:strRef>
          </c:cat>
          <c:val>
            <c:numRef>
              <c:f>Charts!$J$60:$M$60</c:f>
              <c:numCache>
                <c:formatCode>\$#,##0.00_);"($"#,##0.00\)</c:formatCode>
                <c:ptCount val="4"/>
                <c:pt idx="0">
                  <c:v>2.35</c:v>
                </c:pt>
                <c:pt idx="1">
                  <c:v>444.516413462072</c:v>
                </c:pt>
                <c:pt idx="2">
                  <c:v>2.54961150961384</c:v>
                </c:pt>
                <c:pt idx="3">
                  <c:v>-439.126801952458</c:v>
                </c:pt>
              </c:numCache>
            </c:numRef>
          </c:val>
        </c:ser>
        <c:ser>
          <c:idx val="1"/>
          <c:order val="1"/>
          <c:spPr>
            <a:solidFill>
              <a:srgbClr val="A6A6A6"/>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extLst>
              <c:ext xmlns:c15="http://schemas.microsoft.com/office/drawing/2012/chart" uri="{CE6537A1-D6FC-4f65-9D91-7224C49458BB}">
                <c15:showLeaderLines val="1"/>
              </c:ext>
            </c:extLst>
          </c:dLbls>
          <c:cat>
            <c:strRef>
              <c:f>Charts!$J$59:$M$59</c:f>
              <c:strCache>
                <c:ptCount val="4"/>
                <c:pt idx="0">
                  <c:v>Q1 2026A</c:v>
                </c:pt>
                <c:pt idx="1">
                  <c:v>Q2 2026A</c:v>
                </c:pt>
                <c:pt idx="2">
                  <c:v>Q3 2026E</c:v>
                </c:pt>
                <c:pt idx="3">
                  <c:v>Q4 2026E</c:v>
                </c:pt>
              </c:strCache>
            </c:strRef>
          </c:cat>
          <c:val>
            <c:numRef>
              <c:f>Charts!$J$61:$M$61</c:f>
              <c:numCache>
                <c:formatCode>\$#,##0.00_);"($"#,##0.00\)</c:formatCode>
                <c:ptCount val="4"/>
                <c:pt idx="2">
                  <c:v>2.458</c:v>
                </c:pt>
              </c:numCache>
            </c:numRef>
          </c:val>
        </c:ser>
        <c:gapWidth val="150"/>
        <c:overlap val="0"/>
        <c:axId val="65785708"/>
        <c:axId val="79908170"/>
      </c:barChart>
      <c:catAx>
        <c:axId val="65785708"/>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79908170"/>
        <c:crosses val="autoZero"/>
        <c:auto val="1"/>
        <c:lblAlgn val="ctr"/>
        <c:lblOffset val="100"/>
        <c:noMultiLvlLbl val="0"/>
      </c:catAx>
      <c:valAx>
        <c:axId val="79908170"/>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$/sh</a:t>
                </a:r>
              </a:p>
            </c:rich>
          </c:tx>
          <c:overlay val="0"/>
          <c:spPr>
            <a:noFill/>
            <a:ln w="0">
              <a:noFill/>
            </a:ln>
          </c:spPr>
        </c:title>
        <c:numFmt formatCode="\$#,##0.00_);&quot;($&quot;#,##0.00\)"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65785708"/>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2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Figure 20: D/(D+E) and net debt/EBITDA</a:t>
            </a:r>
          </a:p>
        </c:rich>
      </c:tx>
      <c:overlay val="0"/>
      <c:spPr>
        <a:noFill/>
        <a:ln w="0">
          <a:noFill/>
        </a:ln>
      </c:spPr>
    </c:title>
    <c:autoTitleDeleted val="0"/>
    <c:plotArea>
      <c:lineChart>
        <c:grouping val="standard"/>
        <c:varyColors val="0"/>
        <c:ser>
          <c:idx val="0"/>
          <c:order val="0"/>
          <c:spPr>
            <a:ln w="25560">
              <a:solidFill>
                <a:srgbClr val="F2C755"/>
              </a:solidFill>
              <a:round/>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extLst>
              <c:ext xmlns:c15="http://schemas.microsoft.com/office/drawing/2012/chart" uri="{CE6537A1-D6FC-4f65-9D91-7224C49458BB}">
                <c15:showLeaderLines val="1"/>
              </c:ext>
            </c:extLst>
          </c:dLbls>
          <c:cat>
            <c:strRef>
              <c:f>Charts!$I$15:$S$15</c:f>
              <c:strCache>
                <c:ptCount val="11"/>
                <c:pt idx="0">
                  <c:v>2025A</c:v>
                </c:pt>
                <c:pt idx="1">
                  <c:v>2026E</c:v>
                </c:pt>
                <c:pt idx="2">
                  <c:v>2027E</c:v>
                </c:pt>
                <c:pt idx="3">
                  <c:v>2028E</c:v>
                </c:pt>
                <c:pt idx="4">
                  <c:v>2029E</c:v>
                </c:pt>
                <c:pt idx="5">
                  <c:v>2030E</c:v>
                </c:pt>
                <c:pt idx="6">
                  <c:v>2031E</c:v>
                </c:pt>
                <c:pt idx="7">
                  <c:v>2032E</c:v>
                </c:pt>
                <c:pt idx="8">
                  <c:v>2033E</c:v>
                </c:pt>
                <c:pt idx="9">
                  <c:v>2034E</c:v>
                </c:pt>
                <c:pt idx="10">
                  <c:v>2035E</c:v>
                </c:pt>
              </c:strCache>
            </c:strRef>
          </c:cat>
          <c:val>
            <c:numRef>
              <c:f>Charts!$I$31:$S$31</c:f>
              <c:numCache>
                <c:formatCode>General</c:formatCode>
                <c:ptCount val="11"/>
                <c:pt idx="0">
                  <c:v>0.820045274920834</c:v>
                </c:pt>
                <c:pt idx="1">
                  <c:v>0.810374110320414</c:v>
                </c:pt>
                <c:pt idx="2">
                  <c:v>0.80904582672432</c:v>
                </c:pt>
                <c:pt idx="3">
                  <c:v>0.806874708704955</c:v>
                </c:pt>
                <c:pt idx="4">
                  <c:v>0.804086275251752</c:v>
                </c:pt>
                <c:pt idx="5">
                  <c:v>0.801825070057304</c:v>
                </c:pt>
                <c:pt idx="6">
                  <c:v>0.79694688307361</c:v>
                </c:pt>
                <c:pt idx="7">
                  <c:v>0.791575846596297</c:v>
                </c:pt>
                <c:pt idx="8">
                  <c:v>0.786100474290799</c:v>
                </c:pt>
                <c:pt idx="9">
                  <c:v>0.780482632406069</c:v>
                </c:pt>
                <c:pt idx="10">
                  <c:v>0.777467047088574</c:v>
                </c:pt>
              </c:numCache>
            </c:numRef>
          </c:val>
          <c:smooth val="1"/>
        </c:ser>
        <c:ser>
          <c:idx val="1"/>
          <c:order val="1"/>
          <c:spPr>
            <a:ln w="12600">
              <a:solidFill>
                <a:srgbClr val="292934"/>
              </a:solidFill>
              <a:round/>
            </a:ln>
          </c:spPr>
          <c:marker>
            <c:symbol val="none"/>
          </c:marker>
          <c:dLbls>
            <c:txPr>
              <a:bodyPr wrap="square"/>
              <a:lstStyle/>
              <a:p>
                <a:pPr>
                  <a:defRPr sz="1000" b="0" u="none" strike="noStrike">
                    <a:solidFill>
                      <a:srgbClr val="000000"/>
                    </a:solidFill>
                    <a:uFillTx/>
                    <a:latin typeface="Arial"/>
                  </a:defRPr>
                </a:pPr>
              </a:p>
            </c:txPr>
            <c:dLblPos val="r"/>
            <c:showLegendKey val="0"/>
            <c:showVal val="0"/>
            <c:showCatName val="0"/>
            <c:showSerName val="0"/>
            <c:showPercent val="0"/>
            <c:separator>; </c:separator>
            <c:extLst>
              <c:ext xmlns:c15="http://schemas.microsoft.com/office/drawing/2012/chart" uri="{CE6537A1-D6FC-4f65-9D91-7224C49458BB}">
                <c15:showLeaderLines val="1"/>
              </c:ext>
            </c:extLst>
          </c:dLbls>
          <c:cat>
            <c:strRef>
              <c:f>Charts!$I$15:$S$15</c:f>
              <c:strCache>
                <c:ptCount val="11"/>
                <c:pt idx="0">
                  <c:v>2025A</c:v>
                </c:pt>
                <c:pt idx="1">
                  <c:v>2026E</c:v>
                </c:pt>
                <c:pt idx="2">
                  <c:v>2027E</c:v>
                </c:pt>
                <c:pt idx="3">
                  <c:v>2028E</c:v>
                </c:pt>
                <c:pt idx="4">
                  <c:v>2029E</c:v>
                </c:pt>
                <c:pt idx="5">
                  <c:v>2030E</c:v>
                </c:pt>
                <c:pt idx="6">
                  <c:v>2031E</c:v>
                </c:pt>
                <c:pt idx="7">
                  <c:v>2032E</c:v>
                </c:pt>
                <c:pt idx="8">
                  <c:v>2033E</c:v>
                </c:pt>
                <c:pt idx="9">
                  <c:v>2034E</c:v>
                </c:pt>
                <c:pt idx="10">
                  <c:v>2035E</c:v>
                </c:pt>
              </c:strCache>
            </c:strRef>
          </c:cat>
          <c:val>
            <c:numRef>
              <c:f>Charts!$I$32:$S$32</c:f>
              <c:numCache>
                <c:formatCode>General</c:formatCode>
                <c:ptCount val="11"/>
                <c:pt idx="0">
                  <c:v>10.6956640058055</c:v>
                </c:pt>
                <c:pt idx="1">
                  <c:v>7.38776236122572</c:v>
                </c:pt>
                <c:pt idx="2">
                  <c:v>7.46716810957795</c:v>
                </c:pt>
                <c:pt idx="3">
                  <c:v>7.53507749975258</c:v>
                </c:pt>
                <c:pt idx="4">
                  <c:v>7.62308135350445</c:v>
                </c:pt>
                <c:pt idx="5">
                  <c:v>7.75876804622464</c:v>
                </c:pt>
                <c:pt idx="6">
                  <c:v>7.7553564929422</c:v>
                </c:pt>
                <c:pt idx="7">
                  <c:v>7.73073700898048</c:v>
                </c:pt>
                <c:pt idx="8">
                  <c:v>7.69975173957428</c:v>
                </c:pt>
                <c:pt idx="9">
                  <c:v>7.6628479283095</c:v>
                </c:pt>
                <c:pt idx="10">
                  <c:v>7.62048812533836</c:v>
                </c:pt>
              </c:numCache>
            </c:numRef>
          </c:val>
          <c:smooth val="1"/>
        </c:ser>
        <c:hiLowLines>
          <c:spPr>
            <a:ln w="0">
              <a:noFill/>
            </a:ln>
          </c:spPr>
        </c:hiLowLines>
        <c:marker val="0"/>
        <c:axId val="12998324"/>
        <c:axId val="93700525"/>
      </c:lineChart>
      <c:catAx>
        <c:axId val="12998324"/>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93700525"/>
        <c:crosses val="autoZero"/>
        <c:auto val="1"/>
        <c:lblAlgn val="ctr"/>
        <c:lblOffset val="100"/>
        <c:noMultiLvlLbl val="0"/>
      </c:catAx>
      <c:valAx>
        <c:axId val="93700525"/>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Ratio</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12998324"/>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2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Figure 21: Expected 12M return vs BUY/SELL thresholds</a:t>
            </a:r>
          </a:p>
        </c:rich>
      </c:tx>
      <c:overlay val="0"/>
      <c:spPr>
        <a:noFill/>
        <a:ln w="0">
          <a:noFill/>
        </a:ln>
      </c:spPr>
    </c:title>
    <c:autoTitleDeleted val="0"/>
    <c:plotArea>
      <c:barChart>
        <c:barDir val="col"/>
        <c:grouping val="clustered"/>
        <c:varyColors val="0"/>
        <c:ser>
          <c:idx val="0"/>
          <c:order val="0"/>
          <c:spPr>
            <a:solidFill>
              <a:srgbClr val="F2C755"/>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extLst>
              <c:ext xmlns:c15="http://schemas.microsoft.com/office/drawing/2012/chart" uri="{CE6537A1-D6FC-4f65-9D91-7224C49458BB}">
                <c15:showLeaderLines val="1"/>
              </c:ext>
            </c:extLst>
          </c:dLbls>
          <c:cat>
            <c:strRef>
              <c:f>Charts!$D$95:$F$95</c:f>
              <c:strCache>
                <c:ptCount val="3"/>
                <c:pt idx="0">
                  <c:v>Expected return</c:v>
                </c:pt>
                <c:pt idx="1">
                  <c:v>BUY threshold</c:v>
                </c:pt>
                <c:pt idx="2">
                  <c:v>SELL threshold</c:v>
                </c:pt>
              </c:strCache>
            </c:strRef>
          </c:cat>
          <c:val>
            <c:numRef>
              <c:f>Charts!$D$96:$F$96</c:f>
              <c:numCache>
                <c:formatCode>0.0%_);\(0.0%\);@_)</c:formatCode>
                <c:ptCount val="3"/>
                <c:pt idx="0">
                  <c:v>0.0149015001128095</c:v>
                </c:pt>
                <c:pt idx="1">
                  <c:v>0.15</c:v>
                </c:pt>
                <c:pt idx="2">
                  <c:v>-0.05</c:v>
                </c:pt>
              </c:numCache>
            </c:numRef>
          </c:val>
        </c:ser>
        <c:gapWidth val="150"/>
        <c:overlap val="0"/>
        <c:axId val="56092593"/>
        <c:axId val="49951386"/>
      </c:barChart>
      <c:catAx>
        <c:axId val="56092593"/>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49951386"/>
        <c:crosses val="autoZero"/>
        <c:auto val="1"/>
        <c:lblAlgn val="ctr"/>
        <c:lblOffset val="100"/>
        <c:noMultiLvlLbl val="0"/>
      </c:catAx>
      <c:valAx>
        <c:axId val="49951386"/>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Return %</a:t>
                </a:r>
              </a:p>
            </c:rich>
          </c:tx>
          <c:overlay val="0"/>
          <c:spPr>
            <a:noFill/>
            <a:ln w="0">
              <a:noFill/>
            </a:ln>
          </c:spPr>
        </c:title>
        <c:numFmt formatCode="0.0%_);\(0.0%\);@_)"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56092593"/>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2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Figure 22: 2027E EPS BMG → consensus bridge ($/sh)</a:t>
            </a:r>
          </a:p>
        </c:rich>
      </c:tx>
      <c:overlay val="0"/>
      <c:spPr>
        <a:noFill/>
        <a:ln w="0">
          <a:noFill/>
        </a:ln>
      </c:spPr>
    </c:title>
    <c:autoTitleDeleted val="0"/>
    <c:plotArea>
      <c:barChart>
        <c:barDir val="col"/>
        <c:grouping val="clustered"/>
        <c:varyColors val="0"/>
        <c:ser>
          <c:idx val="0"/>
          <c:order val="0"/>
          <c:spPr>
            <a:solidFill>
              <a:srgbClr val="F2C755"/>
            </a:solidFill>
            <a:ln w="12600">
              <a:noFill/>
            </a:ln>
          </c:spPr>
          <c:invertIfNegative val="0"/>
          <c:dLbls>
            <c:txPr>
              <a:bodyPr wrap="squar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extLst>
              <c:ext xmlns:c15="http://schemas.microsoft.com/office/drawing/2012/chart" uri="{CE6537A1-D6FC-4f65-9D91-7224C49458BB}">
                <c15:showLeaderLines val="1"/>
              </c:ext>
            </c:extLst>
          </c:dLbls>
          <c:cat>
            <c:strRef>
              <c:f>Charts!$D$98:$O$98</c:f>
              <c:strCache>
                <c:ptCount val="12"/>
                <c:pt idx="0">
                  <c:v>Row = (Our_assumption − Street_implied_assumption) × sensitivity_from_model_cells × (1 − tax_rate) / diluted_shares. Street-implied values are new Drivers rows cited to 02-consensus-anatomy.md.</c:v>
                </c:pt>
                <c:pt idx="1">
                  <c:v>0</c:v>
                </c:pt>
                <c:pt idx="2">
                  <c:v>Reference cells</c:v>
                </c:pt>
                <c:pt idx="3">
                  <c:v>Model 2027E EPS</c:v>
                </c:pt>
                <c:pt idx="4">
                  <c:v>Consensus 2027E EPS (FactSet)</c:v>
                </c:pt>
                <c:pt idx="5">
                  <c:v>Target gap ($/sh)</c:v>
                </c:pt>
                <c:pt idx="6">
                  <c:v>Diluted shares 2027 (M)</c:v>
                </c:pt>
                <c:pt idx="7">
                  <c:v>Effective tax rate 2027</c:v>
                </c:pt>
                <c:pt idx="8">
                  <c:v>(1 − tax)</c:v>
                </c:pt>
                <c:pt idx="9">
                  <c:v>0</c:v>
                </c:pt>
                <c:pt idx="10">
                  <c:v>Bridge (per share, 2027)</c:v>
                </c:pt>
                <c:pt idx="11">
                  <c:v>Driver</c:v>
                </c:pt>
              </c:strCache>
            </c:strRef>
          </c:cat>
          <c:val>
            <c:numRef>
              <c:f>Charts!$D$97:$O$97</c:f>
              <c:numCache>
                <c:formatCode>General</c:formatCode>
                <c:ptCount val="12"/>
                <c:pt idx="0">
                  <c:v>0</c:v>
                </c:pt>
                <c:pt idx="1">
                  <c:v>0</c:v>
                </c:pt>
                <c:pt idx="2">
                  <c:v>0</c:v>
                </c:pt>
                <c:pt idx="3">
                  <c:v>10.1760599616912</c:v>
                </c:pt>
                <c:pt idx="4">
                  <c:v>11.2706</c:v>
                </c:pt>
                <c:pt idx="5">
                  <c:v>1.09454003830884</c:v>
                </c:pt>
                <c:pt idx="6">
                  <c:v>35.2265200268053</c:v>
                </c:pt>
                <c:pt idx="7">
                  <c:v>0.24</c:v>
                </c:pt>
                <c:pt idx="8">
                  <c:v>0.76</c:v>
                </c:pt>
                <c:pt idx="9">
                  <c:v>0</c:v>
                </c:pt>
                <c:pt idx="10">
                  <c:v>0</c:v>
                </c:pt>
              </c:numCache>
            </c:numRef>
          </c:val>
        </c:ser>
        <c:gapWidth val="150"/>
        <c:overlap val="0"/>
        <c:axId val="89339226"/>
        <c:axId val="69085483"/>
      </c:barChart>
      <c:catAx>
        <c:axId val="89339226"/>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69085483"/>
        <c:crosses val="autoZero"/>
        <c:auto val="1"/>
        <c:lblAlgn val="ctr"/>
        <c:lblOffset val="100"/>
        <c:noMultiLvlLbl val="0"/>
      </c:catAx>
      <c:valAx>
        <c:axId val="69085483"/>
        <c:scaling>
          <c:orientation val="minMax"/>
        </c:scaling>
        <c:delete val="0"/>
        <c:axPos val="l"/>
        <c:majorGridlines>
          <c:spPr>
            <a:ln w="0">
              <a:solidFill>
                <a:srgbClr val="B3B3B3"/>
              </a:solidFill>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$/sh delta</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u="none" strike="noStrike">
                <a:solidFill>
                  <a:srgbClr val="000000"/>
                </a:solidFill>
                <a:uFillTx/>
                <a:latin typeface="Calibri"/>
              </a:defRPr>
            </a:pPr>
          </a:p>
        </c:txPr>
        <c:crossAx val="89339226"/>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8.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19.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0.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 Id="rId9" Type="http://schemas.openxmlformats.org/officeDocument/2006/relationships/chart" Target="../charts/chart9.xml"/><Relationship Id="rId10" Type="http://schemas.openxmlformats.org/officeDocument/2006/relationships/chart" Target="../charts/chart10.xml"/><Relationship Id="rId11" Type="http://schemas.openxmlformats.org/officeDocument/2006/relationships/chart" Target="../charts/chart11.xml"/><Relationship Id="rId12" Type="http://schemas.openxmlformats.org/officeDocument/2006/relationships/chart" Target="../charts/chart12.xml"/><Relationship Id="rId13" Type="http://schemas.openxmlformats.org/officeDocument/2006/relationships/chart" Target="../charts/chart13.xml"/><Relationship Id="rId14" Type="http://schemas.openxmlformats.org/officeDocument/2006/relationships/chart" Target="../charts/chart14.xml"/><Relationship Id="rId15" Type="http://schemas.openxmlformats.org/officeDocument/2006/relationships/chart" Target="../charts/chart15.xml"/><Relationship Id="rId16" Type="http://schemas.openxmlformats.org/officeDocument/2006/relationships/chart" Target="../charts/chart16.xml"/><Relationship Id="rId17" Type="http://schemas.openxmlformats.org/officeDocument/2006/relationships/chart" Target="../charts/chart17.xml"/><Relationship Id="rId18" Type="http://schemas.openxmlformats.org/officeDocument/2006/relationships/chart" Target="../charts/chart18.xml"/><Relationship Id="rId19" Type="http://schemas.openxmlformats.org/officeDocument/2006/relationships/chart" Target="../charts/chart19.xml"/><Relationship Id="rId20" Type="http://schemas.openxmlformats.org/officeDocument/2006/relationships/chart" Target="../charts/chart20.xml"/><Relationship Id="rId21" Type="http://schemas.openxmlformats.org/officeDocument/2006/relationships/chart" Target="../charts/chart21.xml"/><Relationship Id="rId22" Type="http://schemas.openxmlformats.org/officeDocument/2006/relationships/chart" Target="../charts/chart2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119</xdr:row>
      <xdr:rowOff>0</xdr:rowOff>
    </xdr:from>
    <xdr:to>
      <xdr:col>12</xdr:col>
      <xdr:colOff>352800</xdr:colOff>
      <xdr:row>135</xdr:row>
      <xdr:rowOff>179280</xdr:rowOff>
    </xdr:to>
    <xdr:graphicFrame>
      <xdr:nvGraphicFramePr>
        <xdr:cNvPr id="1" name="Chart 1"/>
        <xdr:cNvGraphicFramePr/>
      </xdr:nvGraphicFramePr>
      <xdr:xfrm>
        <a:off x="1222920" y="22669560"/>
        <a:ext cx="6468120" cy="32274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0</xdr:colOff>
      <xdr:row>119</xdr:row>
      <xdr:rowOff>0</xdr:rowOff>
    </xdr:from>
    <xdr:to>
      <xdr:col>22</xdr:col>
      <xdr:colOff>353160</xdr:colOff>
      <xdr:row>135</xdr:row>
      <xdr:rowOff>179280</xdr:rowOff>
    </xdr:to>
    <xdr:graphicFrame>
      <xdr:nvGraphicFramePr>
        <xdr:cNvPr id="2" name="Chart 2"/>
        <xdr:cNvGraphicFramePr/>
      </xdr:nvGraphicFramePr>
      <xdr:xfrm>
        <a:off x="7338240" y="22669560"/>
        <a:ext cx="6468120" cy="32274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0</xdr:colOff>
      <xdr:row>141</xdr:row>
      <xdr:rowOff>0</xdr:rowOff>
    </xdr:from>
    <xdr:to>
      <xdr:col>12</xdr:col>
      <xdr:colOff>352800</xdr:colOff>
      <xdr:row>157</xdr:row>
      <xdr:rowOff>179280</xdr:rowOff>
    </xdr:to>
    <xdr:graphicFrame>
      <xdr:nvGraphicFramePr>
        <xdr:cNvPr id="3" name="Chart 3"/>
        <xdr:cNvGraphicFramePr/>
      </xdr:nvGraphicFramePr>
      <xdr:xfrm>
        <a:off x="1222920" y="26860680"/>
        <a:ext cx="6468120" cy="32270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0</xdr:colOff>
      <xdr:row>141</xdr:row>
      <xdr:rowOff>0</xdr:rowOff>
    </xdr:from>
    <xdr:to>
      <xdr:col>22</xdr:col>
      <xdr:colOff>353160</xdr:colOff>
      <xdr:row>157</xdr:row>
      <xdr:rowOff>179280</xdr:rowOff>
    </xdr:to>
    <xdr:graphicFrame>
      <xdr:nvGraphicFramePr>
        <xdr:cNvPr id="4" name="Chart 4"/>
        <xdr:cNvGraphicFramePr/>
      </xdr:nvGraphicFramePr>
      <xdr:xfrm>
        <a:off x="7338240" y="26860680"/>
        <a:ext cx="6468120" cy="32270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0</xdr:colOff>
      <xdr:row>163</xdr:row>
      <xdr:rowOff>0</xdr:rowOff>
    </xdr:from>
    <xdr:to>
      <xdr:col>12</xdr:col>
      <xdr:colOff>352800</xdr:colOff>
      <xdr:row>179</xdr:row>
      <xdr:rowOff>179280</xdr:rowOff>
    </xdr:to>
    <xdr:graphicFrame>
      <xdr:nvGraphicFramePr>
        <xdr:cNvPr id="5" name="Chart 5"/>
        <xdr:cNvGraphicFramePr/>
      </xdr:nvGraphicFramePr>
      <xdr:xfrm>
        <a:off x="1222920" y="31051440"/>
        <a:ext cx="6468120" cy="322740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0</xdr:colOff>
      <xdr:row>163</xdr:row>
      <xdr:rowOff>0</xdr:rowOff>
    </xdr:from>
    <xdr:to>
      <xdr:col>22</xdr:col>
      <xdr:colOff>353160</xdr:colOff>
      <xdr:row>179</xdr:row>
      <xdr:rowOff>179280</xdr:rowOff>
    </xdr:to>
    <xdr:graphicFrame>
      <xdr:nvGraphicFramePr>
        <xdr:cNvPr id="6" name="Chart 6"/>
        <xdr:cNvGraphicFramePr/>
      </xdr:nvGraphicFramePr>
      <xdr:xfrm>
        <a:off x="7338240" y="31051440"/>
        <a:ext cx="6468120" cy="322740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0</xdr:colOff>
      <xdr:row>185</xdr:row>
      <xdr:rowOff>0</xdr:rowOff>
    </xdr:from>
    <xdr:to>
      <xdr:col>12</xdr:col>
      <xdr:colOff>352800</xdr:colOff>
      <xdr:row>201</xdr:row>
      <xdr:rowOff>179280</xdr:rowOff>
    </xdr:to>
    <xdr:graphicFrame>
      <xdr:nvGraphicFramePr>
        <xdr:cNvPr id="7" name="Chart 7"/>
        <xdr:cNvGraphicFramePr/>
      </xdr:nvGraphicFramePr>
      <xdr:xfrm>
        <a:off x="1222920" y="35242560"/>
        <a:ext cx="6468120" cy="322740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12</xdr:col>
      <xdr:colOff>0</xdr:colOff>
      <xdr:row>185</xdr:row>
      <xdr:rowOff>0</xdr:rowOff>
    </xdr:from>
    <xdr:to>
      <xdr:col>22</xdr:col>
      <xdr:colOff>353160</xdr:colOff>
      <xdr:row>201</xdr:row>
      <xdr:rowOff>179280</xdr:rowOff>
    </xdr:to>
    <xdr:graphicFrame>
      <xdr:nvGraphicFramePr>
        <xdr:cNvPr id="8" name="Chart 8"/>
        <xdr:cNvGraphicFramePr/>
      </xdr:nvGraphicFramePr>
      <xdr:xfrm>
        <a:off x="7338240" y="35242560"/>
        <a:ext cx="6468120" cy="322740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xdr:col>
      <xdr:colOff>0</xdr:colOff>
      <xdr:row>207</xdr:row>
      <xdr:rowOff>0</xdr:rowOff>
    </xdr:from>
    <xdr:to>
      <xdr:col>12</xdr:col>
      <xdr:colOff>352800</xdr:colOff>
      <xdr:row>223</xdr:row>
      <xdr:rowOff>179280</xdr:rowOff>
    </xdr:to>
    <xdr:graphicFrame>
      <xdr:nvGraphicFramePr>
        <xdr:cNvPr id="9" name="Chart 9"/>
        <xdr:cNvGraphicFramePr/>
      </xdr:nvGraphicFramePr>
      <xdr:xfrm>
        <a:off x="1222920" y="39433680"/>
        <a:ext cx="6468120" cy="322704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12</xdr:col>
      <xdr:colOff>0</xdr:colOff>
      <xdr:row>207</xdr:row>
      <xdr:rowOff>0</xdr:rowOff>
    </xdr:from>
    <xdr:to>
      <xdr:col>22</xdr:col>
      <xdr:colOff>353160</xdr:colOff>
      <xdr:row>223</xdr:row>
      <xdr:rowOff>179280</xdr:rowOff>
    </xdr:to>
    <xdr:graphicFrame>
      <xdr:nvGraphicFramePr>
        <xdr:cNvPr id="10" name="Chart 10"/>
        <xdr:cNvGraphicFramePr/>
      </xdr:nvGraphicFramePr>
      <xdr:xfrm>
        <a:off x="7338240" y="39433680"/>
        <a:ext cx="6468120" cy="322704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xdr:col>
      <xdr:colOff>0</xdr:colOff>
      <xdr:row>229</xdr:row>
      <xdr:rowOff>0</xdr:rowOff>
    </xdr:from>
    <xdr:to>
      <xdr:col>12</xdr:col>
      <xdr:colOff>352800</xdr:colOff>
      <xdr:row>245</xdr:row>
      <xdr:rowOff>179280</xdr:rowOff>
    </xdr:to>
    <xdr:graphicFrame>
      <xdr:nvGraphicFramePr>
        <xdr:cNvPr id="11" name="Chart 11"/>
        <xdr:cNvGraphicFramePr/>
      </xdr:nvGraphicFramePr>
      <xdr:xfrm>
        <a:off x="1222920" y="43624440"/>
        <a:ext cx="6468120" cy="322740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12</xdr:col>
      <xdr:colOff>0</xdr:colOff>
      <xdr:row>229</xdr:row>
      <xdr:rowOff>0</xdr:rowOff>
    </xdr:from>
    <xdr:to>
      <xdr:col>22</xdr:col>
      <xdr:colOff>353160</xdr:colOff>
      <xdr:row>245</xdr:row>
      <xdr:rowOff>179280</xdr:rowOff>
    </xdr:to>
    <xdr:graphicFrame>
      <xdr:nvGraphicFramePr>
        <xdr:cNvPr id="12" name="Chart 12"/>
        <xdr:cNvGraphicFramePr/>
      </xdr:nvGraphicFramePr>
      <xdr:xfrm>
        <a:off x="7338240" y="43624440"/>
        <a:ext cx="6468120" cy="322740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2</xdr:col>
      <xdr:colOff>0</xdr:colOff>
      <xdr:row>251</xdr:row>
      <xdr:rowOff>0</xdr:rowOff>
    </xdr:from>
    <xdr:to>
      <xdr:col>12</xdr:col>
      <xdr:colOff>352800</xdr:colOff>
      <xdr:row>267</xdr:row>
      <xdr:rowOff>179280</xdr:rowOff>
    </xdr:to>
    <xdr:graphicFrame>
      <xdr:nvGraphicFramePr>
        <xdr:cNvPr id="13" name="Chart 13"/>
        <xdr:cNvGraphicFramePr/>
      </xdr:nvGraphicFramePr>
      <xdr:xfrm>
        <a:off x="1222920" y="47815560"/>
        <a:ext cx="6468120" cy="322740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12</xdr:col>
      <xdr:colOff>0</xdr:colOff>
      <xdr:row>251</xdr:row>
      <xdr:rowOff>0</xdr:rowOff>
    </xdr:from>
    <xdr:to>
      <xdr:col>22</xdr:col>
      <xdr:colOff>353160</xdr:colOff>
      <xdr:row>267</xdr:row>
      <xdr:rowOff>179280</xdr:rowOff>
    </xdr:to>
    <xdr:graphicFrame>
      <xdr:nvGraphicFramePr>
        <xdr:cNvPr id="14" name="Chart 14"/>
        <xdr:cNvGraphicFramePr/>
      </xdr:nvGraphicFramePr>
      <xdr:xfrm>
        <a:off x="7338240" y="47815560"/>
        <a:ext cx="6468120" cy="322740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xdr:col>
      <xdr:colOff>0</xdr:colOff>
      <xdr:row>273</xdr:row>
      <xdr:rowOff>0</xdr:rowOff>
    </xdr:from>
    <xdr:to>
      <xdr:col>12</xdr:col>
      <xdr:colOff>352800</xdr:colOff>
      <xdr:row>289</xdr:row>
      <xdr:rowOff>179280</xdr:rowOff>
    </xdr:to>
    <xdr:graphicFrame>
      <xdr:nvGraphicFramePr>
        <xdr:cNvPr id="15" name="Chart 15"/>
        <xdr:cNvGraphicFramePr/>
      </xdr:nvGraphicFramePr>
      <xdr:xfrm>
        <a:off x="1222920" y="52006680"/>
        <a:ext cx="6468120" cy="322704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12</xdr:col>
      <xdr:colOff>0</xdr:colOff>
      <xdr:row>273</xdr:row>
      <xdr:rowOff>0</xdr:rowOff>
    </xdr:from>
    <xdr:to>
      <xdr:col>22</xdr:col>
      <xdr:colOff>353160</xdr:colOff>
      <xdr:row>289</xdr:row>
      <xdr:rowOff>179280</xdr:rowOff>
    </xdr:to>
    <xdr:graphicFrame>
      <xdr:nvGraphicFramePr>
        <xdr:cNvPr id="16" name="Chart 16"/>
        <xdr:cNvGraphicFramePr/>
      </xdr:nvGraphicFramePr>
      <xdr:xfrm>
        <a:off x="7338240" y="52006680"/>
        <a:ext cx="6468120" cy="322704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2</xdr:col>
      <xdr:colOff>0</xdr:colOff>
      <xdr:row>295</xdr:row>
      <xdr:rowOff>0</xdr:rowOff>
    </xdr:from>
    <xdr:to>
      <xdr:col>12</xdr:col>
      <xdr:colOff>352800</xdr:colOff>
      <xdr:row>311</xdr:row>
      <xdr:rowOff>179280</xdr:rowOff>
    </xdr:to>
    <xdr:graphicFrame>
      <xdr:nvGraphicFramePr>
        <xdr:cNvPr id="17" name="Chart 17"/>
        <xdr:cNvGraphicFramePr/>
      </xdr:nvGraphicFramePr>
      <xdr:xfrm>
        <a:off x="1222920" y="56197440"/>
        <a:ext cx="6468120" cy="322740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12</xdr:col>
      <xdr:colOff>0</xdr:colOff>
      <xdr:row>295</xdr:row>
      <xdr:rowOff>0</xdr:rowOff>
    </xdr:from>
    <xdr:to>
      <xdr:col>22</xdr:col>
      <xdr:colOff>353160</xdr:colOff>
      <xdr:row>311</xdr:row>
      <xdr:rowOff>179280</xdr:rowOff>
    </xdr:to>
    <xdr:graphicFrame>
      <xdr:nvGraphicFramePr>
        <xdr:cNvPr id="18" name="Chart 18"/>
        <xdr:cNvGraphicFramePr/>
      </xdr:nvGraphicFramePr>
      <xdr:xfrm>
        <a:off x="7338240" y="56197440"/>
        <a:ext cx="6468120" cy="322740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2</xdr:col>
      <xdr:colOff>0</xdr:colOff>
      <xdr:row>317</xdr:row>
      <xdr:rowOff>0</xdr:rowOff>
    </xdr:from>
    <xdr:to>
      <xdr:col>12</xdr:col>
      <xdr:colOff>352800</xdr:colOff>
      <xdr:row>333</xdr:row>
      <xdr:rowOff>179280</xdr:rowOff>
    </xdr:to>
    <xdr:graphicFrame>
      <xdr:nvGraphicFramePr>
        <xdr:cNvPr id="19" name="Chart 19"/>
        <xdr:cNvGraphicFramePr/>
      </xdr:nvGraphicFramePr>
      <xdr:xfrm>
        <a:off x="1222920" y="60388560"/>
        <a:ext cx="6468120" cy="322740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12</xdr:col>
      <xdr:colOff>0</xdr:colOff>
      <xdr:row>317</xdr:row>
      <xdr:rowOff>0</xdr:rowOff>
    </xdr:from>
    <xdr:to>
      <xdr:col>22</xdr:col>
      <xdr:colOff>353160</xdr:colOff>
      <xdr:row>333</xdr:row>
      <xdr:rowOff>179280</xdr:rowOff>
    </xdr:to>
    <xdr:graphicFrame>
      <xdr:nvGraphicFramePr>
        <xdr:cNvPr id="20" name="Chart 20"/>
        <xdr:cNvGraphicFramePr/>
      </xdr:nvGraphicFramePr>
      <xdr:xfrm>
        <a:off x="7338240" y="60388560"/>
        <a:ext cx="6468120" cy="322740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oneCell">
    <xdr:from>
      <xdr:col>2</xdr:col>
      <xdr:colOff>0</xdr:colOff>
      <xdr:row>339</xdr:row>
      <xdr:rowOff>0</xdr:rowOff>
    </xdr:from>
    <xdr:to>
      <xdr:col>12</xdr:col>
      <xdr:colOff>352800</xdr:colOff>
      <xdr:row>355</xdr:row>
      <xdr:rowOff>179280</xdr:rowOff>
    </xdr:to>
    <xdr:graphicFrame>
      <xdr:nvGraphicFramePr>
        <xdr:cNvPr id="21" name="Chart 21"/>
        <xdr:cNvGraphicFramePr/>
      </xdr:nvGraphicFramePr>
      <xdr:xfrm>
        <a:off x="1222920" y="64579680"/>
        <a:ext cx="6468120" cy="322704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editAs="oneCell">
    <xdr:from>
      <xdr:col>12</xdr:col>
      <xdr:colOff>0</xdr:colOff>
      <xdr:row>339</xdr:row>
      <xdr:rowOff>0</xdr:rowOff>
    </xdr:from>
    <xdr:to>
      <xdr:col>22</xdr:col>
      <xdr:colOff>353160</xdr:colOff>
      <xdr:row>355</xdr:row>
      <xdr:rowOff>179280</xdr:rowOff>
    </xdr:to>
    <xdr:graphicFrame>
      <xdr:nvGraphicFramePr>
        <xdr:cNvPr id="22" name="Chart 22"/>
        <xdr:cNvGraphicFramePr/>
      </xdr:nvGraphicFramePr>
      <xdr:xfrm>
        <a:off x="7338240" y="64579680"/>
        <a:ext cx="6468120" cy="322704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E10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1" style="1" width="1.7"/>
    <col collapsed="false" customWidth="true" hidden="false" outlineLevel="0" max="3" min="3" style="1" width="60"/>
    <col collapsed="false" customWidth="true" hidden="false" outlineLevel="0" max="4" min="4" style="1" width="18"/>
    <col collapsed="false" customWidth="true" hidden="false" outlineLevel="0" max="5" min="5" style="1" width="80"/>
  </cols>
  <sheetData>
    <row r="2" customFormat="false" ht="45.75" hidden="false" customHeight="true" outlineLevel="0" collapsed="false">
      <c r="C2" s="2" t="s">
        <v>0</v>
      </c>
    </row>
    <row r="3" customFormat="false" ht="15" hidden="false" customHeight="true" outlineLevel="0" collapsed="false">
      <c r="C3" s="3" t="s">
        <v>1</v>
      </c>
    </row>
    <row r="5" customFormat="false" ht="15" hidden="false" customHeight="true" outlineLevel="0" collapsed="false">
      <c r="C5" s="4" t="s">
        <v>2</v>
      </c>
      <c r="D5" s="5" t="s">
        <v>3</v>
      </c>
    </row>
    <row r="6" customFormat="false" ht="15" hidden="false" customHeight="true" outlineLevel="0" collapsed="false">
      <c r="C6" s="4" t="s">
        <v>4</v>
      </c>
      <c r="D6" s="5" t="s">
        <v>5</v>
      </c>
    </row>
    <row r="7" customFormat="false" ht="15" hidden="false" customHeight="true" outlineLevel="0" collapsed="false">
      <c r="C7" s="4" t="s">
        <v>6</v>
      </c>
      <c r="D7" s="5" t="n">
        <v>1</v>
      </c>
    </row>
    <row r="8" customFormat="false" ht="15" hidden="false" customHeight="true" outlineLevel="0" collapsed="false">
      <c r="C8" s="4" t="s">
        <v>7</v>
      </c>
      <c r="D8" s="6" t="n">
        <f aca="false">Drivers!C179</f>
        <v>162.78</v>
      </c>
    </row>
    <row r="9" customFormat="false" ht="15" hidden="false" customHeight="true" outlineLevel="0" collapsed="false">
      <c r="C9" s="4" t="s">
        <v>8</v>
      </c>
      <c r="D9" s="7" t="n">
        <v>46303</v>
      </c>
    </row>
    <row r="10" customFormat="false" ht="15" hidden="false" customHeight="true" outlineLevel="0" collapsed="false">
      <c r="C10" s="4" t="s">
        <v>9</v>
      </c>
      <c r="D10" s="7" t="n">
        <v>46022</v>
      </c>
    </row>
    <row r="11" customFormat="false" ht="15" hidden="false" customHeight="true" outlineLevel="0" collapsed="false">
      <c r="C11" s="4" t="s">
        <v>10</v>
      </c>
      <c r="D11" s="8" t="n">
        <f aca="false">Drivers!C77</f>
        <v>35.8</v>
      </c>
    </row>
    <row r="13" customFormat="false" ht="19.5" hidden="false" customHeight="true" outlineLevel="0" collapsed="false">
      <c r="A13" s="1" t="s">
        <v>11</v>
      </c>
      <c r="C13" s="9" t="s">
        <v>12</v>
      </c>
    </row>
    <row r="14" customFormat="false" ht="14.25" hidden="false" customHeight="true" outlineLevel="0" collapsed="false">
      <c r="C14" s="10" t="s">
        <v>13</v>
      </c>
      <c r="D14" s="10" t="s">
        <v>14</v>
      </c>
      <c r="E14" s="10" t="s">
        <v>15</v>
      </c>
    </row>
    <row r="15" customFormat="false" ht="14.25" hidden="false" customHeight="true" outlineLevel="0" collapsed="false">
      <c r="C15" s="4" t="s">
        <v>16</v>
      </c>
      <c r="D15" s="4" t="n">
        <v>1</v>
      </c>
      <c r="E15" s="4" t="s">
        <v>17</v>
      </c>
    </row>
    <row r="16" customFormat="false" ht="14.25" hidden="false" customHeight="true" outlineLevel="0" collapsed="false">
      <c r="C16" s="4" t="s">
        <v>18</v>
      </c>
      <c r="D16" s="4" t="n">
        <v>2</v>
      </c>
      <c r="E16" s="4" t="s">
        <v>19</v>
      </c>
    </row>
    <row r="17" customFormat="false" ht="14.25" hidden="false" customHeight="true" outlineLevel="0" collapsed="false">
      <c r="C17" s="4" t="s">
        <v>20</v>
      </c>
      <c r="D17" s="4" t="n">
        <v>3</v>
      </c>
      <c r="E17" s="4" t="s">
        <v>21</v>
      </c>
    </row>
    <row r="18" customFormat="false" ht="14.25" hidden="false" customHeight="true" outlineLevel="0" collapsed="false">
      <c r="C18" s="4" t="s">
        <v>22</v>
      </c>
      <c r="D18" s="4" t="n">
        <v>4</v>
      </c>
      <c r="E18" s="4" t="s">
        <v>23</v>
      </c>
    </row>
    <row r="19" customFormat="false" ht="14.25" hidden="false" customHeight="true" outlineLevel="0" collapsed="false">
      <c r="C19" s="4" t="s">
        <v>24</v>
      </c>
      <c r="D19" s="4" t="n">
        <v>5</v>
      </c>
      <c r="E19" s="4" t="s">
        <v>25</v>
      </c>
    </row>
    <row r="20" customFormat="false" ht="14.25" hidden="false" customHeight="true" outlineLevel="0" collapsed="false">
      <c r="C20" s="4" t="s">
        <v>26</v>
      </c>
      <c r="D20" s="4" t="n">
        <v>6</v>
      </c>
      <c r="E20" s="4" t="s">
        <v>27</v>
      </c>
    </row>
    <row r="21" customFormat="false" ht="14.25" hidden="false" customHeight="true" outlineLevel="0" collapsed="false">
      <c r="C21" s="4" t="s">
        <v>28</v>
      </c>
      <c r="D21" s="4" t="n">
        <v>7</v>
      </c>
      <c r="E21" s="4" t="s">
        <v>29</v>
      </c>
    </row>
    <row r="22" customFormat="false" ht="14.25" hidden="false" customHeight="true" outlineLevel="0" collapsed="false">
      <c r="C22" s="4" t="s">
        <v>30</v>
      </c>
      <c r="D22" s="4" t="n">
        <v>8</v>
      </c>
      <c r="E22" s="4" t="s">
        <v>31</v>
      </c>
    </row>
    <row r="23" customFormat="false" ht="14.25" hidden="false" customHeight="true" outlineLevel="0" collapsed="false">
      <c r="C23" s="4" t="s">
        <v>32</v>
      </c>
      <c r="D23" s="4" t="n">
        <v>9</v>
      </c>
      <c r="E23" s="4" t="s">
        <v>33</v>
      </c>
    </row>
    <row r="24" customFormat="false" ht="14.25" hidden="false" customHeight="true" outlineLevel="0" collapsed="false">
      <c r="C24" s="4" t="s">
        <v>34</v>
      </c>
      <c r="D24" s="4" t="n">
        <v>10</v>
      </c>
      <c r="E24" s="4" t="s">
        <v>35</v>
      </c>
    </row>
    <row r="25" customFormat="false" ht="14.25" hidden="false" customHeight="true" outlineLevel="0" collapsed="false">
      <c r="C25" s="4" t="s">
        <v>36</v>
      </c>
      <c r="D25" s="4" t="n">
        <v>11</v>
      </c>
      <c r="E25" s="4" t="s">
        <v>37</v>
      </c>
    </row>
    <row r="26" customFormat="false" ht="14.25" hidden="false" customHeight="true" outlineLevel="0" collapsed="false">
      <c r="C26" s="4" t="s">
        <v>38</v>
      </c>
      <c r="D26" s="4" t="n">
        <v>12</v>
      </c>
      <c r="E26" s="4" t="s">
        <v>39</v>
      </c>
    </row>
    <row r="27" customFormat="false" ht="14.25" hidden="false" customHeight="true" outlineLevel="0" collapsed="false">
      <c r="C27" s="4" t="s">
        <v>40</v>
      </c>
      <c r="D27" s="4" t="n">
        <v>13</v>
      </c>
      <c r="E27" s="4" t="s">
        <v>41</v>
      </c>
    </row>
    <row r="28" customFormat="false" ht="14.25" hidden="false" customHeight="true" outlineLevel="0" collapsed="false">
      <c r="C28" s="4" t="s">
        <v>42</v>
      </c>
      <c r="D28" s="4" t="n">
        <v>14</v>
      </c>
      <c r="E28" s="4" t="s">
        <v>43</v>
      </c>
    </row>
    <row r="29" customFormat="false" ht="14.25" hidden="false" customHeight="true" outlineLevel="0" collapsed="false">
      <c r="C29" s="4" t="s">
        <v>44</v>
      </c>
      <c r="D29" s="4" t="n">
        <v>15</v>
      </c>
      <c r="E29" s="4" t="s">
        <v>45</v>
      </c>
    </row>
    <row r="30" customFormat="false" ht="14.25" hidden="false" customHeight="true" outlineLevel="0" collapsed="false">
      <c r="C30" s="4" t="s">
        <v>46</v>
      </c>
      <c r="D30" s="4" t="n">
        <v>16</v>
      </c>
      <c r="E30" s="4" t="s">
        <v>47</v>
      </c>
    </row>
    <row r="31" customFormat="false" ht="14.25" hidden="false" customHeight="true" outlineLevel="0" collapsed="false">
      <c r="C31" s="4" t="s">
        <v>48</v>
      </c>
      <c r="D31" s="4" t="n">
        <v>17</v>
      </c>
      <c r="E31" s="4" t="s">
        <v>49</v>
      </c>
    </row>
    <row r="32" customFormat="false" ht="14.25" hidden="false" customHeight="true" outlineLevel="0" collapsed="false">
      <c r="C32" s="4" t="s">
        <v>50</v>
      </c>
      <c r="D32" s="4" t="n">
        <v>18</v>
      </c>
      <c r="E32" s="4" t="s">
        <v>51</v>
      </c>
    </row>
    <row r="33" customFormat="false" ht="14.25" hidden="false" customHeight="true" outlineLevel="0" collapsed="false">
      <c r="C33" s="4" t="s">
        <v>52</v>
      </c>
      <c r="D33" s="4" t="n">
        <v>19</v>
      </c>
      <c r="E33" s="4" t="s">
        <v>53</v>
      </c>
    </row>
    <row r="34" customFormat="false" ht="14.25" hidden="false" customHeight="true" outlineLevel="0" collapsed="false">
      <c r="C34" s="4" t="s">
        <v>54</v>
      </c>
      <c r="D34" s="4" t="n">
        <v>20</v>
      </c>
      <c r="E34" s="4" t="s">
        <v>55</v>
      </c>
    </row>
    <row r="35" customFormat="false" ht="14.25" hidden="false" customHeight="true" outlineLevel="0" collapsed="false">
      <c r="C35" s="4" t="s">
        <v>56</v>
      </c>
      <c r="D35" s="4" t="n">
        <v>21</v>
      </c>
      <c r="E35" s="4" t="s">
        <v>57</v>
      </c>
    </row>
    <row r="36" customFormat="false" ht="14.25" hidden="false" customHeight="true" outlineLevel="0" collapsed="false">
      <c r="C36" s="4" t="s">
        <v>58</v>
      </c>
      <c r="D36" s="4" t="n">
        <v>22</v>
      </c>
      <c r="E36" s="4" t="s">
        <v>59</v>
      </c>
    </row>
    <row r="37" customFormat="false" ht="14.25" hidden="false" customHeight="true" outlineLevel="0" collapsed="false">
      <c r="C37" s="11"/>
    </row>
    <row r="38" customFormat="false" ht="15" hidden="false" customHeight="true" outlineLevel="0" collapsed="false">
      <c r="A38" s="1" t="s">
        <v>11</v>
      </c>
      <c r="C38" s="9" t="s">
        <v>60</v>
      </c>
    </row>
    <row r="39" customFormat="false" ht="15" hidden="false" customHeight="true" outlineLevel="0" collapsed="false">
      <c r="C39" s="10" t="s">
        <v>61</v>
      </c>
      <c r="D39" s="10" t="s">
        <v>62</v>
      </c>
      <c r="E39" s="10" t="s">
        <v>63</v>
      </c>
    </row>
    <row r="40" customFormat="false" ht="15" hidden="false" customHeight="true" outlineLevel="0" collapsed="false">
      <c r="C40" s="4" t="s">
        <v>64</v>
      </c>
      <c r="D40" s="4" t="s">
        <v>65</v>
      </c>
      <c r="E40" s="4" t="s">
        <v>66</v>
      </c>
    </row>
    <row r="41" customFormat="false" ht="15" hidden="false" customHeight="true" outlineLevel="0" collapsed="false">
      <c r="C41" s="4" t="s">
        <v>67</v>
      </c>
      <c r="D41" s="4" t="s">
        <v>65</v>
      </c>
      <c r="E41" s="4" t="s">
        <v>68</v>
      </c>
    </row>
    <row r="42" customFormat="false" ht="15" hidden="false" customHeight="true" outlineLevel="0" collapsed="false">
      <c r="C42" s="4" t="s">
        <v>69</v>
      </c>
      <c r="D42" s="4" t="s">
        <v>65</v>
      </c>
      <c r="E42" s="4" t="s">
        <v>70</v>
      </c>
    </row>
    <row r="43" customFormat="false" ht="15" hidden="false" customHeight="true" outlineLevel="0" collapsed="false">
      <c r="C43" s="4" t="s">
        <v>71</v>
      </c>
      <c r="D43" s="4" t="s">
        <v>65</v>
      </c>
      <c r="E43" s="4" t="s">
        <v>72</v>
      </c>
    </row>
    <row r="44" customFormat="false" ht="15" hidden="false" customHeight="true" outlineLevel="0" collapsed="false">
      <c r="C44" s="4" t="s">
        <v>73</v>
      </c>
      <c r="D44" s="4" t="s">
        <v>65</v>
      </c>
      <c r="E44" s="4" t="s">
        <v>74</v>
      </c>
    </row>
    <row r="45" customFormat="false" ht="15" hidden="false" customHeight="true" outlineLevel="0" collapsed="false">
      <c r="C45" s="4" t="s">
        <v>75</v>
      </c>
      <c r="D45" s="4" t="s">
        <v>65</v>
      </c>
      <c r="E45" s="4" t="s">
        <v>76</v>
      </c>
    </row>
    <row r="46" customFormat="false" ht="15" hidden="false" customHeight="true" outlineLevel="0" collapsed="false">
      <c r="C46" s="4" t="s">
        <v>77</v>
      </c>
      <c r="D46" s="4" t="s">
        <v>65</v>
      </c>
      <c r="E46" s="4" t="s">
        <v>78</v>
      </c>
    </row>
    <row r="47" customFormat="false" ht="15" hidden="false" customHeight="true" outlineLevel="0" collapsed="false">
      <c r="C47" s="4" t="s">
        <v>79</v>
      </c>
      <c r="D47" s="4" t="s">
        <v>65</v>
      </c>
      <c r="E47" s="4" t="s">
        <v>80</v>
      </c>
    </row>
    <row r="48" customFormat="false" ht="15" hidden="false" customHeight="true" outlineLevel="0" collapsed="false">
      <c r="C48" s="4" t="s">
        <v>81</v>
      </c>
      <c r="D48" s="4" t="s">
        <v>82</v>
      </c>
      <c r="E48" s="4" t="s">
        <v>83</v>
      </c>
    </row>
    <row r="49" customFormat="false" ht="15" hidden="false" customHeight="true" outlineLevel="0" collapsed="false">
      <c r="C49" s="4" t="s">
        <v>84</v>
      </c>
      <c r="D49" s="4" t="s">
        <v>82</v>
      </c>
      <c r="E49" s="4" t="s">
        <v>85</v>
      </c>
    </row>
    <row r="50" customFormat="false" ht="15" hidden="false" customHeight="true" outlineLevel="0" collapsed="false">
      <c r="C50" s="4" t="s">
        <v>86</v>
      </c>
      <c r="D50" s="4" t="s">
        <v>82</v>
      </c>
      <c r="E50" s="4" t="s">
        <v>87</v>
      </c>
    </row>
    <row r="51" customFormat="false" ht="15" hidden="false" customHeight="true" outlineLevel="0" collapsed="false">
      <c r="C51" s="4" t="s">
        <v>88</v>
      </c>
      <c r="D51" s="4" t="s">
        <v>82</v>
      </c>
      <c r="E51" s="4" t="s">
        <v>89</v>
      </c>
    </row>
    <row r="52" customFormat="false" ht="15" hidden="false" customHeight="true" outlineLevel="0" collapsed="false">
      <c r="C52" s="4" t="s">
        <v>90</v>
      </c>
      <c r="D52" s="4" t="s">
        <v>65</v>
      </c>
      <c r="E52" s="4" t="s">
        <v>91</v>
      </c>
    </row>
    <row r="53" customFormat="false" ht="15" hidden="false" customHeight="true" outlineLevel="0" collapsed="false">
      <c r="C53" s="4" t="s">
        <v>92</v>
      </c>
      <c r="D53" s="4" t="s">
        <v>93</v>
      </c>
      <c r="E53" s="4" t="s">
        <v>94</v>
      </c>
    </row>
    <row r="54" customFormat="false" ht="15" hidden="false" customHeight="true" outlineLevel="0" collapsed="false">
      <c r="C54" s="4" t="s">
        <v>95</v>
      </c>
      <c r="D54" s="4" t="s">
        <v>93</v>
      </c>
      <c r="E54" s="4" t="s">
        <v>96</v>
      </c>
    </row>
    <row r="55" customFormat="false" ht="15" hidden="false" customHeight="true" outlineLevel="0" collapsed="false">
      <c r="C55" s="4" t="s">
        <v>97</v>
      </c>
      <c r="D55" s="4" t="s">
        <v>93</v>
      </c>
      <c r="E55" s="4" t="s">
        <v>98</v>
      </c>
    </row>
    <row r="56" customFormat="false" ht="15" hidden="false" customHeight="true" outlineLevel="0" collapsed="false">
      <c r="C56" s="4" t="s">
        <v>99</v>
      </c>
      <c r="D56" s="4" t="s">
        <v>93</v>
      </c>
      <c r="E56" s="4" t="s">
        <v>100</v>
      </c>
    </row>
    <row r="57" customFormat="false" ht="15" hidden="false" customHeight="true" outlineLevel="0" collapsed="false">
      <c r="C57" s="4" t="s">
        <v>101</v>
      </c>
      <c r="D57" s="4" t="s">
        <v>93</v>
      </c>
      <c r="E57" s="4" t="s">
        <v>102</v>
      </c>
    </row>
    <row r="58" customFormat="false" ht="15" hidden="false" customHeight="true" outlineLevel="0" collapsed="false">
      <c r="C58" s="4" t="s">
        <v>103</v>
      </c>
      <c r="D58" s="4" t="s">
        <v>104</v>
      </c>
      <c r="E58" s="4" t="s">
        <v>105</v>
      </c>
    </row>
    <row r="59" customFormat="false" ht="15" hidden="false" customHeight="true" outlineLevel="0" collapsed="false">
      <c r="C59" s="4" t="s">
        <v>106</v>
      </c>
      <c r="D59" s="4" t="s">
        <v>104</v>
      </c>
      <c r="E59" s="4" t="s">
        <v>107</v>
      </c>
    </row>
    <row r="60" customFormat="false" ht="15" hidden="false" customHeight="true" outlineLevel="0" collapsed="false">
      <c r="C60" s="4" t="s">
        <v>108</v>
      </c>
      <c r="D60" s="4" t="s">
        <v>109</v>
      </c>
      <c r="E60" s="4" t="s">
        <v>110</v>
      </c>
    </row>
    <row r="61" customFormat="false" ht="15" hidden="false" customHeight="true" outlineLevel="0" collapsed="false">
      <c r="C61" s="4" t="s">
        <v>111</v>
      </c>
      <c r="D61" s="4" t="s">
        <v>109</v>
      </c>
      <c r="E61" s="4" t="s">
        <v>112</v>
      </c>
    </row>
    <row r="63" customFormat="false" ht="15" hidden="false" customHeight="true" outlineLevel="0" collapsed="false">
      <c r="A63" s="1" t="s">
        <v>11</v>
      </c>
      <c r="C63" s="9" t="s">
        <v>113</v>
      </c>
    </row>
    <row r="64" customFormat="false" ht="15" hidden="false" customHeight="true" outlineLevel="0" collapsed="false">
      <c r="C64" s="10" t="s">
        <v>114</v>
      </c>
      <c r="D64" s="10" t="s">
        <v>115</v>
      </c>
      <c r="E64" s="10" t="s">
        <v>116</v>
      </c>
    </row>
    <row r="65" customFormat="false" ht="15" hidden="false" customHeight="true" outlineLevel="0" collapsed="false">
      <c r="C65" s="4" t="s">
        <v>117</v>
      </c>
      <c r="D65" s="12" t="n">
        <f aca="false">SUM('3 Statement Forecast'!D62:N62)</f>
        <v>0</v>
      </c>
      <c r="E65" s="4" t="s">
        <v>118</v>
      </c>
    </row>
    <row r="66" customFormat="false" ht="15" hidden="false" customHeight="true" outlineLevel="0" collapsed="false">
      <c r="C66" s="4" t="s">
        <v>119</v>
      </c>
      <c r="D66" s="12" t="n">
        <f aca="false">MAX(ABS('3 Statement Forecast'!D36+'3 Statement Forecast'!D37-'3 Statement Forecast'!D93),ABS('3 Statement Forecast'!E36+'3 Statement Forecast'!E37-'3 Statement Forecast'!E93),ABS('3 Statement Forecast'!F36+'3 Statement Forecast'!F37-'3 Statement Forecast'!F93),ABS('3 Statement Forecast'!G36+'3 Statement Forecast'!G37-'3 Statement Forecast'!G93),ABS('3 Statement Forecast'!H36+'3 Statement Forecast'!H37-'3 Statement Forecast'!H93),ABS('3 Statement Forecast'!I36+'3 Statement Forecast'!I37-'3 Statement Forecast'!I93),ABS('3 Statement Forecast'!J36+'3 Statement Forecast'!J37-'3 Statement Forecast'!J93),ABS('3 Statement Forecast'!K36+'3 Statement Forecast'!K37-'3 Statement Forecast'!K93),ABS('3 Statement Forecast'!L36+'3 Statement Forecast'!L37-'3 Statement Forecast'!L93),ABS('3 Statement Forecast'!M36+'3 Statement Forecast'!M37-'3 Statement Forecast'!M93),ABS('3 Statement Forecast'!N36+'3 Statement Forecast'!N37-'3 Statement Forecast'!N93))</f>
        <v>0</v>
      </c>
      <c r="E66" s="4" t="s">
        <v>120</v>
      </c>
    </row>
    <row r="67" customFormat="false" ht="15" hidden="false" customHeight="true" outlineLevel="0" collapsed="false">
      <c r="C67" s="4" t="s">
        <v>121</v>
      </c>
      <c r="D67" s="12" t="n">
        <f aca="false">'Residual Income'!D74</f>
        <v>0</v>
      </c>
      <c r="E67" s="4" t="s">
        <v>122</v>
      </c>
    </row>
    <row r="68" customFormat="false" ht="15" hidden="false" customHeight="true" outlineLevel="0" collapsed="false">
      <c r="C68" s="4" t="s">
        <v>123</v>
      </c>
      <c r="D68" s="12" t="n">
        <f aca="false">'Residual Income'!D75</f>
        <v>70.9903287919645</v>
      </c>
      <c r="E68" s="4" t="s">
        <v>124</v>
      </c>
    </row>
    <row r="69" customFormat="false" ht="15" hidden="false" customHeight="true" outlineLevel="0" collapsed="false">
      <c r="C69" s="4" t="s">
        <v>125</v>
      </c>
      <c r="D69" s="12" t="n">
        <f aca="false">NAV!D25</f>
        <v>0</v>
      </c>
      <c r="E69" s="4" t="s">
        <v>126</v>
      </c>
    </row>
    <row r="70" customFormat="false" ht="15" hidden="false" customHeight="true" outlineLevel="0" collapsed="false">
      <c r="C70" s="4" t="s">
        <v>127</v>
      </c>
      <c r="D70" s="12" t="n">
        <f aca="false">NAV!E25</f>
        <v>0</v>
      </c>
      <c r="E70" s="4" t="s">
        <v>128</v>
      </c>
    </row>
    <row r="71" customFormat="false" ht="15" hidden="false" customHeight="true" outlineLevel="0" collapsed="false">
      <c r="C71" s="4" t="s">
        <v>129</v>
      </c>
      <c r="D71" s="12" t="n">
        <f aca="false">MAX(ABS(FCFE!D102),ABS(FCFE!D103),ABS(FCFE!D104),ABS(FCFE!D105),ABS(FCFE!D106))</f>
        <v>0</v>
      </c>
      <c r="E71" s="4" t="s">
        <v>130</v>
      </c>
    </row>
    <row r="72" customFormat="false" ht="15" hidden="false" customHeight="true" outlineLevel="0" collapsed="false">
      <c r="C72" s="4" t="s">
        <v>131</v>
      </c>
      <c r="D72" s="12" t="n">
        <f aca="false">COUNTIF(Summary!A1:H105,"#*")</f>
        <v>0</v>
      </c>
      <c r="E72" s="4" t="s">
        <v>132</v>
      </c>
    </row>
    <row r="73" customFormat="false" ht="15" hidden="false" customHeight="true" outlineLevel="0" collapsed="false">
      <c r="C73" s="4" t="s">
        <v>133</v>
      </c>
      <c r="D73" s="12" t="n">
        <f aca="false">'3 Statement Forecast'!D116</f>
        <v>0.15</v>
      </c>
      <c r="E73" s="4" t="s">
        <v>134</v>
      </c>
    </row>
    <row r="74" customFormat="false" ht="15" hidden="false" customHeight="true" outlineLevel="0" collapsed="false">
      <c r="C74" s="4" t="s">
        <v>135</v>
      </c>
      <c r="D74" s="12" t="str">
        <f aca="false">'3 Statement Forecast'!D127</f>
        <v>TRUE</v>
      </c>
      <c r="E74" s="4" t="s">
        <v>136</v>
      </c>
    </row>
    <row r="75" customFormat="false" ht="15" hidden="false" customHeight="true" outlineLevel="0" collapsed="false">
      <c r="C75" s="4" t="s">
        <v>137</v>
      </c>
      <c r="D75" s="12" t="n">
        <f aca="false">ROUND('Legacy Cohort Model'!N46-Drivers!$C$704,3)</f>
        <v>-0.026</v>
      </c>
      <c r="E75" s="4" t="s">
        <v>138</v>
      </c>
    </row>
    <row r="76" customFormat="false" ht="15" hidden="false" customHeight="true" outlineLevel="0" collapsed="false">
      <c r="C76" s="4" t="s">
        <v>139</v>
      </c>
      <c r="D76" s="12" t="str">
        <f aca="false">IF(ABS('3 Statement Forecast'!N117-Drivers!$C$709)&lt;=0.005,"OK","DRIFT")</f>
        <v>DRIFT</v>
      </c>
      <c r="E76" s="4" t="s">
        <v>140</v>
      </c>
    </row>
    <row r="77" customFormat="false" ht="15" hidden="false" customHeight="true" outlineLevel="0" collapsed="false">
      <c r="C77" s="4" t="s">
        <v>141</v>
      </c>
      <c r="D77" s="12" t="n">
        <v>1</v>
      </c>
      <c r="E77" s="4" t="s">
        <v>142</v>
      </c>
    </row>
    <row r="79" customFormat="false" ht="15" hidden="false" customHeight="true" outlineLevel="0" collapsed="false">
      <c r="A79" s="1" t="s">
        <v>11</v>
      </c>
      <c r="C79" s="9" t="s">
        <v>143</v>
      </c>
    </row>
    <row r="80" customFormat="false" ht="15" hidden="false" customHeight="true" outlineLevel="0" collapsed="false">
      <c r="C80" s="4" t="s">
        <v>44</v>
      </c>
      <c r="D80" s="13" t="str">
        <f aca="false">Rating!D29</f>
        <v>HOLD</v>
      </c>
    </row>
    <row r="81" customFormat="false" ht="15" hidden="false" customHeight="true" outlineLevel="0" collapsed="false">
      <c r="C81" s="4" t="s">
        <v>144</v>
      </c>
      <c r="D81" s="14" t="n">
        <f aca="false">Rating!D18</f>
        <v>162.565666188363</v>
      </c>
    </row>
    <row r="82" customFormat="false" ht="15" hidden="false" customHeight="true" outlineLevel="0" collapsed="false">
      <c r="C82" s="4" t="s">
        <v>145</v>
      </c>
      <c r="D82" s="14" t="n">
        <f aca="false">Rating!D19</f>
        <v>162.78</v>
      </c>
    </row>
    <row r="83" customFormat="false" ht="15" hidden="false" customHeight="true" outlineLevel="0" collapsed="false">
      <c r="C83" s="4" t="s">
        <v>146</v>
      </c>
      <c r="D83" s="15" t="n">
        <f aca="false">Rating!D24</f>
        <v>0.0149015001128095</v>
      </c>
    </row>
    <row r="84" customFormat="false" ht="15" hidden="false" customHeight="true" outlineLevel="0" collapsed="false">
      <c r="C84" s="4" t="s">
        <v>147</v>
      </c>
      <c r="D84" s="15" t="n">
        <f aca="false">Rating!D27</f>
        <v>0.15</v>
      </c>
    </row>
    <row r="85" customFormat="false" ht="15" hidden="false" customHeight="true" outlineLevel="0" collapsed="false">
      <c r="C85" s="4" t="s">
        <v>148</v>
      </c>
      <c r="D85" s="15" t="n">
        <f aca="false">Rating!D28</f>
        <v>-0.05</v>
      </c>
    </row>
    <row r="87" customFormat="false" ht="15" hidden="false" customHeight="true" outlineLevel="0" collapsed="false">
      <c r="A87" s="1" t="s">
        <v>11</v>
      </c>
      <c r="C87" s="9" t="s">
        <v>149</v>
      </c>
    </row>
    <row r="88" customFormat="false" ht="15" hidden="false" customHeight="true" outlineLevel="0" collapsed="false">
      <c r="C88" s="4" t="s">
        <v>150</v>
      </c>
    </row>
    <row r="89" customFormat="false" ht="15" hidden="false" customHeight="true" outlineLevel="0" collapsed="false">
      <c r="C89" s="4" t="s">
        <v>151</v>
      </c>
    </row>
    <row r="90" customFormat="false" ht="15" hidden="false" customHeight="true" outlineLevel="0" collapsed="false">
      <c r="C90" s="4" t="s">
        <v>152</v>
      </c>
    </row>
    <row r="91" customFormat="false" ht="15" hidden="false" customHeight="true" outlineLevel="0" collapsed="false">
      <c r="C91" s="4" t="s">
        <v>153</v>
      </c>
    </row>
    <row r="92" customFormat="false" ht="15" hidden="false" customHeight="true" outlineLevel="0" collapsed="false">
      <c r="C92" s="4" t="s">
        <v>154</v>
      </c>
    </row>
    <row r="93" customFormat="false" ht="15" hidden="false" customHeight="true" outlineLevel="0" collapsed="false">
      <c r="C93" s="4" t="s">
        <v>155</v>
      </c>
    </row>
    <row r="94" customFormat="false" ht="15" hidden="false" customHeight="true" outlineLevel="0" collapsed="false">
      <c r="C94" s="4" t="s">
        <v>156</v>
      </c>
    </row>
    <row r="95" customFormat="false" ht="15" hidden="false" customHeight="true" outlineLevel="0" collapsed="false">
      <c r="C95" s="4" t="s">
        <v>157</v>
      </c>
    </row>
    <row r="96" customFormat="false" ht="15" hidden="false" customHeight="true" outlineLevel="0" collapsed="false">
      <c r="C96" s="4" t="s">
        <v>158</v>
      </c>
    </row>
    <row r="97" customFormat="false" ht="15" hidden="false" customHeight="true" outlineLevel="0" collapsed="false">
      <c r="C97" s="4" t="s">
        <v>159</v>
      </c>
    </row>
    <row r="98" customFormat="false" ht="15" hidden="false" customHeight="true" outlineLevel="0" collapsed="false">
      <c r="C98" s="4" t="s">
        <v>160</v>
      </c>
    </row>
    <row r="99" customFormat="false" ht="15" hidden="false" customHeight="true" outlineLevel="0" collapsed="false">
      <c r="C99" s="4" t="s">
        <v>161</v>
      </c>
    </row>
    <row r="100" customFormat="false" ht="15" hidden="false" customHeight="true" outlineLevel="0" collapsed="false">
      <c r="C100" s="4" t="s">
        <v>162</v>
      </c>
    </row>
    <row r="102" customFormat="false" ht="15" hidden="false" customHeight="true" outlineLevel="0" collapsed="false">
      <c r="C102" s="16" t="s">
        <v>163</v>
      </c>
    </row>
    <row r="103" customFormat="false" ht="15" hidden="false" customHeight="true" outlineLevel="0" collapsed="false">
      <c r="C103" s="17" t="s">
        <v>164</v>
      </c>
      <c r="D103" s="18" t="str">
        <f aca="false">Valuation!E167</f>
        <v>STALE</v>
      </c>
      <c r="E103" s="3" t="s">
        <v>165</v>
      </c>
    </row>
    <row r="104" customFormat="false" ht="15" hidden="false" customHeight="true" outlineLevel="0" collapsed="false">
      <c r="C104" s="17" t="s">
        <v>166</v>
      </c>
      <c r="D104" s="19" t="n">
        <f aca="false">Valuation!E168</f>
        <v>0.256601883256639</v>
      </c>
      <c r="E104" s="3" t="s">
        <v>167</v>
      </c>
    </row>
  </sheetData>
  <conditionalFormatting sqref="D65">
    <cfRule type="expression" priority="2" aboveAverage="0" equalAverage="0" bottom="0" percent="0" rank="0" text="" dxfId="0">
      <formula>ABS(D65)&gt;0.01</formula>
    </cfRule>
  </conditionalFormatting>
  <conditionalFormatting sqref="D66">
    <cfRule type="expression" priority="3" aboveAverage="0" equalAverage="0" bottom="0" percent="0" rank="0" text="" dxfId="0">
      <formula>ABS(D66)&gt;0.01</formula>
    </cfRule>
  </conditionalFormatting>
  <conditionalFormatting sqref="D67">
    <cfRule type="expression" priority="4" aboveAverage="0" equalAverage="0" bottom="0" percent="0" rank="0" text="" dxfId="0">
      <formula>ABS(D67)&gt;0.01</formula>
    </cfRule>
  </conditionalFormatting>
  <conditionalFormatting sqref="D68">
    <cfRule type="expression" priority="5" aboveAverage="0" equalAverage="0" bottom="0" percent="0" rank="0" text="" dxfId="0">
      <formula>ABS(D68)&gt;0.01</formula>
    </cfRule>
  </conditionalFormatting>
  <conditionalFormatting sqref="D69">
    <cfRule type="expression" priority="6" aboveAverage="0" equalAverage="0" bottom="0" percent="0" rank="0" text="" dxfId="0">
      <formula>ABS(D69)&gt;0.01</formula>
    </cfRule>
  </conditionalFormatting>
  <conditionalFormatting sqref="D70">
    <cfRule type="expression" priority="7" aboveAverage="0" equalAverage="0" bottom="0" percent="0" rank="0" text="" dxfId="0">
      <formula>ABS(D70)&gt;0.01</formula>
    </cfRule>
  </conditionalFormatting>
  <conditionalFormatting sqref="D71">
    <cfRule type="expression" priority="8" aboveAverage="0" equalAverage="0" bottom="0" percent="0" rank="0" text="" dxfId="0">
      <formula>ABS(D71)&gt;0.01</formula>
    </cfRule>
  </conditionalFormatting>
  <conditionalFormatting sqref="D72">
    <cfRule type="expression" priority="9" aboveAverage="0" equalAverage="0" bottom="0" percent="0" rank="0" text="" dxfId="0">
      <formula>ABS(D72)&gt;0.01</formula>
    </cfRule>
  </conditionalFormatting>
  <conditionalFormatting sqref="D73">
    <cfRule type="expression" priority="10" aboveAverage="0" equalAverage="0" bottom="0" percent="0" rank="0" text="" dxfId="0">
      <formula>D73&gt;0.15</formula>
    </cfRule>
  </conditionalFormatting>
  <conditionalFormatting sqref="D74">
    <cfRule type="expression" priority="11" aboveAverage="0" equalAverage="0" bottom="0" percent="0" rank="0" text="" dxfId="0">
      <formula>D74&lt;&gt;"TRUE"</formula>
    </cfRule>
  </conditionalFormatting>
  <conditionalFormatting sqref="D75">
    <cfRule type="expression" priority="12" aboveAverage="0" equalAverage="0" bottom="0" percent="0" rank="0" text="" dxfId="0">
      <formula>ABS(D75)&gt;0.005</formula>
    </cfRule>
  </conditionalFormatting>
  <conditionalFormatting sqref="D76">
    <cfRule type="expression" priority="13" aboveAverage="0" equalAverage="0" bottom="0" percent="0" rank="0" text="" dxfId="0">
      <formula>D76&lt;&gt;"OK"</formula>
    </cfRule>
  </conditionalFormatting>
  <conditionalFormatting sqref="D77">
    <cfRule type="expression" priority="14" aboveAverage="0" equalAverage="0" bottom="0" percent="0" rank="0" text="" dxfId="0">
      <formula>D77&gt;1</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8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7"/>
    <col collapsed="false" customWidth="true" hidden="false" outlineLevel="0" max="2" min="2" style="1" width="46"/>
    <col collapsed="false" customWidth="true" hidden="false" outlineLevel="0" max="14" min="3" style="1" width="12.3"/>
    <col collapsed="false" customWidth="true" hidden="false" outlineLevel="0" max="15" min="15" style="1" width="26"/>
  </cols>
  <sheetData>
    <row r="1" customFormat="false" ht="15" hidden="false" customHeight="true" outlineLevel="0" collapsed="false">
      <c r="B1" s="20" t="s">
        <v>168</v>
      </c>
      <c r="C1" s="20"/>
      <c r="D1" s="20"/>
      <c r="E1" s="20"/>
      <c r="F1" s="20"/>
      <c r="G1" s="20"/>
      <c r="H1" s="20"/>
      <c r="I1" s="20"/>
      <c r="J1" s="20"/>
      <c r="K1" s="20"/>
      <c r="L1" s="20"/>
      <c r="M1" s="20"/>
      <c r="N1" s="20"/>
      <c r="O1" s="20"/>
    </row>
    <row r="2" customFormat="false" ht="14.25" hidden="false" customHeight="true" outlineLevel="0" collapsed="false">
      <c r="B2" s="11"/>
      <c r="C2" s="11"/>
      <c r="D2" s="11"/>
      <c r="E2" s="11"/>
      <c r="F2" s="11"/>
      <c r="G2" s="11"/>
      <c r="H2" s="11"/>
      <c r="I2" s="11"/>
      <c r="J2" s="11"/>
      <c r="K2" s="11"/>
      <c r="L2" s="11"/>
      <c r="M2" s="11"/>
      <c r="N2" s="11"/>
      <c r="O2" s="11"/>
    </row>
    <row r="3" customFormat="false" ht="14.25" hidden="false" customHeight="true" outlineLevel="0" collapsed="false">
      <c r="B3" s="21" t="s">
        <v>169</v>
      </c>
      <c r="C3" s="21" t="s">
        <v>115</v>
      </c>
      <c r="D3" s="11"/>
      <c r="E3" s="11"/>
      <c r="F3" s="11"/>
      <c r="G3" s="11"/>
      <c r="H3" s="11"/>
      <c r="I3" s="11"/>
      <c r="J3" s="11"/>
      <c r="K3" s="11"/>
      <c r="L3" s="11"/>
      <c r="M3" s="11"/>
      <c r="N3" s="11"/>
      <c r="O3" s="21" t="s">
        <v>170</v>
      </c>
    </row>
    <row r="4" customFormat="false" ht="14.25" hidden="false" customHeight="true" outlineLevel="0" collapsed="false">
      <c r="A4" s="22" t="s">
        <v>11</v>
      </c>
      <c r="B4" s="23" t="s">
        <v>171</v>
      </c>
      <c r="C4" s="11"/>
      <c r="D4" s="11"/>
      <c r="E4" s="11"/>
      <c r="F4" s="11"/>
      <c r="G4" s="11"/>
      <c r="H4" s="11"/>
      <c r="I4" s="11"/>
      <c r="J4" s="11"/>
      <c r="K4" s="11"/>
      <c r="L4" s="11"/>
      <c r="M4" s="11"/>
      <c r="N4" s="11"/>
      <c r="O4" s="11"/>
    </row>
    <row r="5" customFormat="false" ht="14.25" hidden="false" customHeight="true" outlineLevel="0" collapsed="false">
      <c r="B5" s="17" t="s">
        <v>172</v>
      </c>
      <c r="C5" s="24" t="n">
        <v>100593</v>
      </c>
      <c r="D5" s="11"/>
      <c r="E5" s="11"/>
      <c r="F5" s="11"/>
      <c r="G5" s="11"/>
      <c r="H5" s="11"/>
      <c r="I5" s="11"/>
      <c r="J5" s="11"/>
      <c r="K5" s="11"/>
      <c r="L5" s="11"/>
      <c r="M5" s="11"/>
      <c r="N5" s="11"/>
      <c r="O5" s="25" t="s">
        <v>173</v>
      </c>
    </row>
    <row r="6" customFormat="false" ht="14.25" hidden="false" customHeight="true" outlineLevel="0" collapsed="false">
      <c r="B6" s="17" t="s">
        <v>174</v>
      </c>
      <c r="C6" s="24" t="n">
        <v>7032</v>
      </c>
      <c r="D6" s="11"/>
      <c r="E6" s="11"/>
      <c r="F6" s="11"/>
      <c r="G6" s="11"/>
      <c r="H6" s="11"/>
      <c r="I6" s="11"/>
      <c r="J6" s="11"/>
      <c r="K6" s="11"/>
      <c r="L6" s="11"/>
      <c r="M6" s="11"/>
      <c r="N6" s="11"/>
      <c r="O6" s="25" t="s">
        <v>175</v>
      </c>
    </row>
    <row r="7" customFormat="false" ht="14.25" hidden="false" customHeight="true" outlineLevel="0" collapsed="false">
      <c r="B7" s="17" t="s">
        <v>176</v>
      </c>
      <c r="C7" s="26" t="n">
        <v>0.99</v>
      </c>
      <c r="D7" s="11"/>
      <c r="E7" s="11"/>
      <c r="F7" s="11"/>
      <c r="G7" s="11"/>
      <c r="H7" s="11"/>
      <c r="I7" s="11"/>
      <c r="J7" s="11"/>
      <c r="K7" s="11"/>
      <c r="L7" s="11"/>
      <c r="M7" s="11"/>
      <c r="N7" s="11"/>
      <c r="O7" s="25" t="s">
        <v>177</v>
      </c>
    </row>
    <row r="8" customFormat="false" ht="14.25" hidden="false" customHeight="true" outlineLevel="0" collapsed="false">
      <c r="B8" s="17" t="s">
        <v>178</v>
      </c>
      <c r="C8" s="26" t="n">
        <v>0.873</v>
      </c>
      <c r="D8" s="11"/>
      <c r="E8" s="11"/>
      <c r="F8" s="11"/>
      <c r="G8" s="11"/>
      <c r="H8" s="11"/>
      <c r="I8" s="11"/>
      <c r="J8" s="11"/>
      <c r="K8" s="11"/>
      <c r="L8" s="11"/>
      <c r="M8" s="11"/>
      <c r="N8" s="11"/>
      <c r="O8" s="25" t="s">
        <v>179</v>
      </c>
    </row>
    <row r="9" customFormat="false" ht="14.25" hidden="false" customHeight="true" outlineLevel="0" collapsed="false">
      <c r="B9" s="27" t="s">
        <v>180</v>
      </c>
      <c r="C9" s="26" t="n">
        <v>0.219</v>
      </c>
      <c r="D9" s="11"/>
      <c r="E9" s="11"/>
      <c r="F9" s="11"/>
      <c r="G9" s="11"/>
      <c r="H9" s="11"/>
      <c r="I9" s="11"/>
      <c r="J9" s="11"/>
      <c r="K9" s="11"/>
      <c r="L9" s="11"/>
      <c r="M9" s="11"/>
      <c r="N9" s="11"/>
      <c r="O9" s="25" t="s">
        <v>181</v>
      </c>
    </row>
    <row r="10" customFormat="false" ht="14.25" hidden="false" customHeight="true" outlineLevel="0" collapsed="false">
      <c r="A10" s="22" t="s">
        <v>11</v>
      </c>
      <c r="B10" s="23" t="s">
        <v>182</v>
      </c>
      <c r="C10" s="11"/>
      <c r="D10" s="11"/>
      <c r="E10" s="11"/>
      <c r="F10" s="11"/>
      <c r="G10" s="11"/>
      <c r="H10" s="11"/>
      <c r="I10" s="11"/>
      <c r="J10" s="11"/>
      <c r="K10" s="11"/>
      <c r="L10" s="11"/>
      <c r="M10" s="11"/>
      <c r="N10" s="11"/>
      <c r="O10" s="11"/>
    </row>
    <row r="11" customFormat="false" ht="14.25" hidden="false" customHeight="true" outlineLevel="0" collapsed="false">
      <c r="B11" s="17" t="s">
        <v>183</v>
      </c>
      <c r="C11" s="24" t="n">
        <v>20000</v>
      </c>
      <c r="D11" s="11"/>
      <c r="E11" s="11"/>
      <c r="F11" s="11"/>
      <c r="G11" s="11"/>
      <c r="H11" s="11"/>
      <c r="I11" s="11"/>
      <c r="J11" s="11"/>
      <c r="K11" s="11"/>
      <c r="L11" s="11"/>
      <c r="M11" s="11"/>
      <c r="N11" s="11"/>
      <c r="O11" s="25" t="s">
        <v>184</v>
      </c>
    </row>
    <row r="12" customFormat="false" ht="14.25" hidden="false" customHeight="true" outlineLevel="0" collapsed="false">
      <c r="B12" s="17" t="s">
        <v>185</v>
      </c>
      <c r="C12" s="24" t="n">
        <v>18500</v>
      </c>
      <c r="D12" s="11"/>
      <c r="E12" s="11"/>
      <c r="F12" s="11"/>
      <c r="G12" s="11"/>
      <c r="H12" s="11"/>
      <c r="I12" s="11"/>
      <c r="J12" s="11"/>
      <c r="K12" s="11"/>
      <c r="L12" s="11"/>
      <c r="M12" s="11"/>
      <c r="N12" s="11"/>
      <c r="O12" s="25" t="s">
        <v>186</v>
      </c>
    </row>
    <row r="13" customFormat="false" ht="14.25" hidden="false" customHeight="true" outlineLevel="0" collapsed="false">
      <c r="B13" s="17" t="s">
        <v>187</v>
      </c>
      <c r="C13" s="24" t="n">
        <v>18700</v>
      </c>
      <c r="D13" s="11"/>
      <c r="E13" s="11"/>
      <c r="F13" s="11"/>
      <c r="G13" s="11"/>
      <c r="H13" s="11"/>
      <c r="I13" s="11"/>
      <c r="J13" s="11"/>
      <c r="K13" s="11"/>
      <c r="L13" s="11"/>
      <c r="M13" s="11"/>
      <c r="N13" s="11"/>
      <c r="O13" s="25" t="s">
        <v>186</v>
      </c>
    </row>
    <row r="14" customFormat="false" ht="14.25" hidden="false" customHeight="true" outlineLevel="0" collapsed="false">
      <c r="B14" s="17" t="s">
        <v>188</v>
      </c>
      <c r="C14" s="24" t="n">
        <v>19400</v>
      </c>
      <c r="D14" s="11"/>
      <c r="E14" s="11"/>
      <c r="F14" s="11"/>
      <c r="G14" s="11"/>
      <c r="H14" s="11"/>
      <c r="I14" s="11"/>
      <c r="J14" s="11"/>
      <c r="K14" s="11"/>
      <c r="L14" s="11"/>
      <c r="M14" s="11"/>
      <c r="N14" s="11"/>
      <c r="O14" s="25" t="s">
        <v>186</v>
      </c>
    </row>
    <row r="15" customFormat="false" ht="14.25" hidden="false" customHeight="true" outlineLevel="0" collapsed="false">
      <c r="B15" s="17" t="s">
        <v>189</v>
      </c>
      <c r="C15" s="24" t="n">
        <v>21500</v>
      </c>
      <c r="D15" s="11"/>
      <c r="E15" s="11"/>
      <c r="F15" s="11"/>
      <c r="G15" s="11"/>
      <c r="H15" s="11"/>
      <c r="I15" s="11"/>
      <c r="J15" s="11"/>
      <c r="K15" s="11"/>
      <c r="L15" s="11"/>
      <c r="M15" s="11"/>
      <c r="N15" s="11"/>
      <c r="O15" s="25" t="s">
        <v>190</v>
      </c>
    </row>
    <row r="16" customFormat="false" ht="14.25" hidden="false" customHeight="true" outlineLevel="0" collapsed="false">
      <c r="B16" s="17" t="s">
        <v>191</v>
      </c>
      <c r="C16" s="24" t="n">
        <v>2493</v>
      </c>
      <c r="D16" s="11"/>
      <c r="E16" s="11"/>
      <c r="F16" s="11"/>
      <c r="G16" s="11"/>
      <c r="H16" s="11"/>
      <c r="I16" s="11"/>
      <c r="J16" s="11"/>
      <c r="K16" s="11"/>
      <c r="L16" s="11"/>
      <c r="M16" s="11"/>
      <c r="N16" s="11"/>
      <c r="O16" s="25" t="s">
        <v>192</v>
      </c>
    </row>
    <row r="17" customFormat="false" ht="14.25" hidden="false" customHeight="true" outlineLevel="0" collapsed="false">
      <c r="B17" s="17" t="s">
        <v>193</v>
      </c>
      <c r="C17" s="24" t="n">
        <v>6800</v>
      </c>
      <c r="D17" s="11"/>
      <c r="E17" s="11"/>
      <c r="F17" s="11"/>
      <c r="G17" s="11"/>
      <c r="H17" s="11"/>
      <c r="I17" s="11"/>
      <c r="J17" s="11"/>
      <c r="K17" s="11"/>
      <c r="L17" s="11"/>
      <c r="M17" s="11"/>
      <c r="N17" s="11"/>
      <c r="O17" s="25" t="s">
        <v>194</v>
      </c>
    </row>
    <row r="18" customFormat="false" ht="14.25" hidden="false" customHeight="true" outlineLevel="0" collapsed="false">
      <c r="B18" s="17" t="s">
        <v>195</v>
      </c>
      <c r="C18" s="24" t="n">
        <v>7200</v>
      </c>
      <c r="D18" s="11"/>
      <c r="E18" s="11"/>
      <c r="F18" s="11"/>
      <c r="G18" s="11"/>
      <c r="H18" s="11"/>
      <c r="I18" s="11"/>
      <c r="J18" s="11"/>
      <c r="K18" s="11"/>
      <c r="L18" s="11"/>
      <c r="M18" s="11"/>
      <c r="N18" s="11"/>
      <c r="O18" s="25" t="s">
        <v>196</v>
      </c>
    </row>
    <row r="19" customFormat="false" ht="14.25" hidden="false" customHeight="true" outlineLevel="0" collapsed="false">
      <c r="B19" s="17" t="s">
        <v>197</v>
      </c>
      <c r="C19" s="24" t="n">
        <v>7500</v>
      </c>
      <c r="D19" s="11"/>
      <c r="E19" s="11"/>
      <c r="F19" s="11"/>
      <c r="G19" s="11"/>
      <c r="H19" s="11"/>
      <c r="I19" s="11"/>
      <c r="J19" s="11"/>
      <c r="K19" s="11"/>
      <c r="L19" s="11"/>
      <c r="M19" s="11"/>
      <c r="N19" s="11"/>
      <c r="O19" s="25" t="s">
        <v>198</v>
      </c>
    </row>
    <row r="20" customFormat="false" ht="14.25" hidden="false" customHeight="true" outlineLevel="0" collapsed="false">
      <c r="B20" s="17" t="s">
        <v>199</v>
      </c>
      <c r="C20" s="24" t="n">
        <v>7900</v>
      </c>
      <c r="D20" s="11"/>
      <c r="E20" s="11"/>
      <c r="F20" s="11"/>
      <c r="G20" s="11"/>
      <c r="H20" s="11"/>
      <c r="I20" s="11"/>
      <c r="J20" s="11"/>
      <c r="K20" s="11"/>
      <c r="L20" s="11"/>
      <c r="M20" s="11"/>
      <c r="N20" s="11"/>
      <c r="O20" s="25" t="s">
        <v>200</v>
      </c>
    </row>
    <row r="21" customFormat="false" ht="14.25" hidden="false" customHeight="true" outlineLevel="0" collapsed="false">
      <c r="B21" s="17" t="s">
        <v>201</v>
      </c>
      <c r="C21" s="24" t="n">
        <v>8100</v>
      </c>
      <c r="D21" s="11"/>
      <c r="E21" s="11"/>
      <c r="F21" s="11"/>
      <c r="G21" s="11"/>
      <c r="H21" s="11"/>
      <c r="I21" s="11"/>
      <c r="J21" s="11"/>
      <c r="K21" s="11"/>
      <c r="L21" s="11"/>
      <c r="M21" s="11"/>
      <c r="N21" s="11"/>
      <c r="O21" s="25" t="s">
        <v>202</v>
      </c>
    </row>
    <row r="22" customFormat="false" ht="14.25" hidden="false" customHeight="true" outlineLevel="0" collapsed="false">
      <c r="B22" s="17" t="s">
        <v>203</v>
      </c>
      <c r="C22" s="24" t="n">
        <v>8300</v>
      </c>
      <c r="D22" s="11"/>
      <c r="E22" s="11"/>
      <c r="F22" s="11"/>
      <c r="G22" s="11"/>
      <c r="H22" s="11"/>
      <c r="I22" s="11"/>
      <c r="J22" s="11"/>
      <c r="K22" s="11"/>
      <c r="L22" s="11"/>
      <c r="M22" s="11"/>
      <c r="N22" s="11"/>
      <c r="O22" s="25" t="s">
        <v>204</v>
      </c>
    </row>
    <row r="23" customFormat="false" ht="14.25" hidden="false" customHeight="true" outlineLevel="0" collapsed="false">
      <c r="B23" s="17" t="s">
        <v>205</v>
      </c>
      <c r="C23" s="28" t="n">
        <v>1.2387</v>
      </c>
      <c r="D23" s="11" t="s">
        <v>206</v>
      </c>
      <c r="E23" s="11"/>
      <c r="F23" s="11"/>
      <c r="G23" s="11"/>
      <c r="H23" s="11"/>
      <c r="I23" s="11"/>
      <c r="J23" s="11"/>
      <c r="K23" s="11"/>
      <c r="L23" s="11"/>
      <c r="M23" s="11"/>
      <c r="N23" s="11"/>
      <c r="O23" s="25" t="s">
        <v>207</v>
      </c>
    </row>
    <row r="24" customFormat="false" ht="14.25" hidden="false" customHeight="true" outlineLevel="0" collapsed="false">
      <c r="A24" s="22" t="s">
        <v>11</v>
      </c>
      <c r="B24" s="23" t="s">
        <v>208</v>
      </c>
      <c r="C24" s="11"/>
      <c r="D24" s="11"/>
      <c r="E24" s="11"/>
      <c r="F24" s="11"/>
      <c r="G24" s="11"/>
      <c r="H24" s="11"/>
      <c r="I24" s="11"/>
      <c r="J24" s="11"/>
      <c r="K24" s="11"/>
      <c r="L24" s="11"/>
      <c r="M24" s="11"/>
      <c r="N24" s="11"/>
      <c r="O24" s="11"/>
    </row>
    <row r="25" customFormat="false" ht="14.25" hidden="false" customHeight="true" outlineLevel="0" collapsed="false">
      <c r="B25" s="17" t="s">
        <v>209</v>
      </c>
      <c r="C25" s="24" t="n">
        <v>98535</v>
      </c>
      <c r="D25" s="11"/>
      <c r="E25" s="11"/>
      <c r="F25" s="11"/>
      <c r="G25" s="11"/>
      <c r="H25" s="11"/>
      <c r="I25" s="11"/>
      <c r="J25" s="11"/>
      <c r="K25" s="11"/>
      <c r="L25" s="11"/>
      <c r="M25" s="11"/>
      <c r="N25" s="11"/>
      <c r="O25" s="25" t="s">
        <v>210</v>
      </c>
    </row>
    <row r="26" customFormat="false" ht="14.25" hidden="false" customHeight="true" outlineLevel="0" collapsed="false">
      <c r="B26" s="17" t="s">
        <v>211</v>
      </c>
      <c r="C26" s="24" t="n">
        <v>271.5</v>
      </c>
      <c r="D26" s="11"/>
      <c r="E26" s="11"/>
      <c r="F26" s="11"/>
      <c r="G26" s="11"/>
      <c r="H26" s="11"/>
      <c r="I26" s="11"/>
      <c r="J26" s="11"/>
      <c r="K26" s="11"/>
      <c r="L26" s="11"/>
      <c r="M26" s="11"/>
      <c r="N26" s="11"/>
      <c r="O26" s="25" t="s">
        <v>212</v>
      </c>
    </row>
    <row r="27" customFormat="false" ht="14.25" hidden="false" customHeight="true" outlineLevel="0" collapsed="false">
      <c r="B27" s="17" t="s">
        <v>213</v>
      </c>
      <c r="C27" s="26" t="n">
        <v>0.17</v>
      </c>
      <c r="D27" s="11"/>
      <c r="E27" s="11"/>
      <c r="F27" s="11"/>
      <c r="G27" s="11"/>
      <c r="H27" s="11"/>
      <c r="I27" s="11"/>
      <c r="J27" s="11"/>
      <c r="K27" s="11"/>
      <c r="L27" s="11"/>
      <c r="M27" s="11"/>
      <c r="N27" s="11"/>
      <c r="O27" s="25" t="s">
        <v>214</v>
      </c>
    </row>
    <row r="28" customFormat="false" ht="14.25" hidden="false" customHeight="true" outlineLevel="0" collapsed="false">
      <c r="B28" s="17" t="s">
        <v>215</v>
      </c>
      <c r="C28" s="26" t="n">
        <v>0.17</v>
      </c>
      <c r="D28" s="11"/>
      <c r="E28" s="11"/>
      <c r="F28" s="11"/>
      <c r="G28" s="11"/>
      <c r="H28" s="11"/>
      <c r="I28" s="11"/>
      <c r="J28" s="11"/>
      <c r="K28" s="11"/>
      <c r="L28" s="11"/>
      <c r="M28" s="11"/>
      <c r="N28" s="11"/>
      <c r="O28" s="25" t="s">
        <v>216</v>
      </c>
    </row>
    <row r="29" customFormat="false" ht="14.25" hidden="false" customHeight="true" outlineLevel="0" collapsed="false">
      <c r="A29" s="22" t="s">
        <v>11</v>
      </c>
      <c r="B29" s="23" t="s">
        <v>217</v>
      </c>
      <c r="C29" s="11"/>
      <c r="D29" s="11"/>
      <c r="E29" s="11"/>
      <c r="F29" s="11"/>
      <c r="G29" s="11"/>
      <c r="H29" s="11"/>
      <c r="I29" s="11"/>
      <c r="J29" s="11"/>
      <c r="K29" s="11"/>
      <c r="L29" s="11"/>
      <c r="M29" s="11"/>
      <c r="N29" s="11"/>
      <c r="O29" s="11"/>
    </row>
    <row r="30" customFormat="false" ht="14.25" hidden="false" customHeight="true" outlineLevel="0" collapsed="false">
      <c r="B30" s="27" t="s">
        <v>218</v>
      </c>
      <c r="C30" s="26" t="n">
        <v>0.223</v>
      </c>
      <c r="D30" s="11"/>
      <c r="E30" s="11"/>
      <c r="F30" s="11"/>
      <c r="G30" s="11"/>
      <c r="H30" s="11"/>
      <c r="I30" s="11"/>
      <c r="J30" s="11"/>
      <c r="K30" s="11"/>
      <c r="L30" s="11"/>
      <c r="M30" s="11"/>
      <c r="N30" s="11"/>
      <c r="O30" s="25" t="s">
        <v>219</v>
      </c>
    </row>
    <row r="31" customFormat="false" ht="14.25" hidden="false" customHeight="true" outlineLevel="0" collapsed="false">
      <c r="B31" s="27" t="s">
        <v>220</v>
      </c>
      <c r="C31" s="26" t="n">
        <v>0.168</v>
      </c>
      <c r="D31" s="11"/>
      <c r="E31" s="11"/>
      <c r="F31" s="11"/>
      <c r="G31" s="11"/>
      <c r="H31" s="11"/>
      <c r="I31" s="11"/>
      <c r="J31" s="11"/>
      <c r="K31" s="11"/>
      <c r="L31" s="11"/>
      <c r="M31" s="11"/>
      <c r="N31" s="11"/>
      <c r="O31" s="25" t="s">
        <v>221</v>
      </c>
    </row>
    <row r="32" customFormat="false" ht="14.25" hidden="false" customHeight="true" outlineLevel="0" collapsed="false">
      <c r="B32" s="27" t="s">
        <v>222</v>
      </c>
      <c r="C32" s="26" t="n">
        <v>0.185</v>
      </c>
      <c r="D32" s="11"/>
      <c r="E32" s="11"/>
      <c r="F32" s="11"/>
      <c r="G32" s="11"/>
      <c r="H32" s="11"/>
      <c r="I32" s="11"/>
      <c r="J32" s="11"/>
      <c r="K32" s="11"/>
      <c r="L32" s="11"/>
      <c r="M32" s="11"/>
      <c r="N32" s="11"/>
      <c r="O32" s="25" t="s">
        <v>223</v>
      </c>
    </row>
    <row r="33" customFormat="false" ht="14.25" hidden="false" customHeight="true" outlineLevel="0" collapsed="false">
      <c r="B33" s="27" t="s">
        <v>224</v>
      </c>
      <c r="C33" s="29" t="n">
        <f aca="false">CHOOSE(Drivers!$C$736,Drivers!$D$740,Drivers!$E$740,Drivers!$F$740)</f>
        <v>0.15</v>
      </c>
      <c r="D33" s="11"/>
      <c r="E33" s="11"/>
      <c r="F33" s="11"/>
      <c r="G33" s="11"/>
      <c r="H33" s="11"/>
      <c r="I33" s="11"/>
      <c r="J33" s="11"/>
      <c r="K33" s="11"/>
      <c r="L33" s="11"/>
      <c r="M33" s="11"/>
      <c r="N33" s="11"/>
      <c r="O33" s="25" t="s">
        <v>225</v>
      </c>
    </row>
    <row r="34" customFormat="false" ht="14.25" hidden="false" customHeight="true" outlineLevel="0" collapsed="false">
      <c r="B34" s="27" t="s">
        <v>226</v>
      </c>
      <c r="C34" s="29" t="n">
        <f aca="false">CHOOSE(Drivers!$C$736,Drivers!$D$741,Drivers!$E$741,Drivers!$F$741)</f>
        <v>0.1</v>
      </c>
      <c r="D34" s="11"/>
      <c r="E34" s="11"/>
      <c r="F34" s="11"/>
      <c r="G34" s="11"/>
      <c r="H34" s="11"/>
      <c r="I34" s="11"/>
      <c r="J34" s="11"/>
      <c r="K34" s="11"/>
      <c r="L34" s="11"/>
      <c r="M34" s="11"/>
      <c r="N34" s="11"/>
      <c r="O34" s="25" t="s">
        <v>200</v>
      </c>
    </row>
    <row r="35" customFormat="false" ht="14.25" hidden="false" customHeight="true" outlineLevel="0" collapsed="false">
      <c r="B35" s="27" t="s">
        <v>227</v>
      </c>
      <c r="C35" s="29" t="n">
        <f aca="false">CHOOSE(Drivers!$C$736,Drivers!$D$742,Drivers!$E$742,Drivers!$F$742)</f>
        <v>0.05</v>
      </c>
      <c r="D35" s="11"/>
      <c r="E35" s="11"/>
      <c r="F35" s="11"/>
      <c r="G35" s="11"/>
      <c r="H35" s="11"/>
      <c r="I35" s="11"/>
      <c r="J35" s="11"/>
      <c r="K35" s="11"/>
      <c r="L35" s="11"/>
      <c r="M35" s="11"/>
      <c r="N35" s="11"/>
      <c r="O35" s="25" t="s">
        <v>228</v>
      </c>
    </row>
    <row r="36" customFormat="false" ht="14.25" hidden="false" customHeight="true" outlineLevel="0" collapsed="false">
      <c r="B36" s="27" t="s">
        <v>229</v>
      </c>
      <c r="C36" s="29" t="n">
        <f aca="false">CHOOSE(Drivers!$C$736,Drivers!$D$743,Drivers!$E$743,Drivers!$F$743)</f>
        <v>-0.02</v>
      </c>
      <c r="D36" s="11"/>
      <c r="E36" s="11"/>
      <c r="F36" s="11"/>
      <c r="G36" s="11"/>
      <c r="H36" s="11"/>
      <c r="I36" s="11"/>
      <c r="J36" s="11"/>
      <c r="K36" s="11"/>
      <c r="L36" s="11"/>
      <c r="M36" s="11"/>
      <c r="N36" s="11"/>
      <c r="O36" s="25" t="s">
        <v>230</v>
      </c>
    </row>
    <row r="37" customFormat="false" ht="14.25" hidden="false" customHeight="true" outlineLevel="0" collapsed="false">
      <c r="B37" s="17" t="s">
        <v>231</v>
      </c>
      <c r="C37" s="29" t="n">
        <f aca="false">CHOOSE(Drivers!$C$736,Drivers!$D$746,Drivers!$E$746,Drivers!$F$746)</f>
        <v>0.808</v>
      </c>
      <c r="D37" s="11"/>
      <c r="E37" s="11"/>
      <c r="F37" s="11"/>
      <c r="G37" s="11"/>
      <c r="H37" s="11"/>
      <c r="I37" s="11"/>
      <c r="J37" s="11"/>
      <c r="K37" s="11"/>
      <c r="L37" s="11"/>
      <c r="M37" s="11"/>
      <c r="N37" s="11"/>
      <c r="O37" s="25" t="s">
        <v>232</v>
      </c>
    </row>
    <row r="38" customFormat="false" ht="14.25" hidden="false" customHeight="true" outlineLevel="0" collapsed="false">
      <c r="B38" s="17" t="s">
        <v>233</v>
      </c>
      <c r="C38" s="29" t="n">
        <f aca="false">CHOOSE(Drivers!$C$736,Drivers!$D$747,Drivers!$E$747,Drivers!$F$747)</f>
        <v>0.85</v>
      </c>
      <c r="D38" s="11"/>
      <c r="E38" s="11"/>
      <c r="F38" s="11"/>
      <c r="G38" s="11"/>
      <c r="H38" s="11"/>
      <c r="I38" s="11"/>
      <c r="J38" s="11"/>
      <c r="K38" s="11"/>
      <c r="L38" s="11"/>
      <c r="M38" s="11"/>
      <c r="N38" s="11"/>
      <c r="O38" s="25" t="s">
        <v>234</v>
      </c>
    </row>
    <row r="39" customFormat="false" ht="14.25" hidden="false" customHeight="true" outlineLevel="0" collapsed="false">
      <c r="B39" s="17" t="s">
        <v>235</v>
      </c>
      <c r="C39" s="26" t="n">
        <v>0.842</v>
      </c>
      <c r="D39" s="11"/>
      <c r="E39" s="11"/>
      <c r="F39" s="11"/>
      <c r="G39" s="11"/>
      <c r="H39" s="11"/>
      <c r="I39" s="11"/>
      <c r="J39" s="11"/>
      <c r="K39" s="11"/>
      <c r="L39" s="11"/>
      <c r="M39" s="11"/>
      <c r="N39" s="11"/>
      <c r="O39" s="25" t="s">
        <v>236</v>
      </c>
    </row>
    <row r="40" customFormat="false" ht="14.25" hidden="false" customHeight="true" outlineLevel="0" collapsed="false">
      <c r="B40" s="17" t="s">
        <v>237</v>
      </c>
      <c r="C40" s="24" t="n">
        <v>8100</v>
      </c>
      <c r="D40" s="11"/>
      <c r="E40" s="11"/>
      <c r="F40" s="11"/>
      <c r="G40" s="11"/>
      <c r="H40" s="11"/>
      <c r="I40" s="11"/>
      <c r="J40" s="11"/>
      <c r="K40" s="11"/>
      <c r="L40" s="11"/>
      <c r="M40" s="11"/>
      <c r="N40" s="11"/>
      <c r="O40" s="25" t="s">
        <v>238</v>
      </c>
    </row>
    <row r="41" customFormat="false" ht="14.25" hidden="false" customHeight="true" outlineLevel="0" collapsed="false">
      <c r="A41" s="22" t="s">
        <v>11</v>
      </c>
      <c r="B41" s="23" t="s">
        <v>239</v>
      </c>
      <c r="C41" s="11"/>
      <c r="D41" s="11"/>
      <c r="E41" s="11"/>
      <c r="F41" s="11"/>
      <c r="G41" s="11"/>
      <c r="H41" s="11"/>
      <c r="I41" s="11"/>
      <c r="J41" s="11"/>
      <c r="K41" s="11"/>
      <c r="L41" s="11"/>
      <c r="M41" s="11"/>
      <c r="N41" s="11"/>
      <c r="O41" s="11"/>
    </row>
    <row r="42" customFormat="false" ht="14.25" hidden="false" customHeight="true" outlineLevel="0" collapsed="false">
      <c r="B42" s="17" t="s">
        <v>240</v>
      </c>
      <c r="C42" s="24" t="n">
        <v>1049.1</v>
      </c>
      <c r="D42" s="11"/>
      <c r="E42" s="11"/>
      <c r="F42" s="11"/>
      <c r="G42" s="11"/>
      <c r="H42" s="11"/>
      <c r="I42" s="11"/>
      <c r="J42" s="11"/>
      <c r="K42" s="11"/>
      <c r="L42" s="11"/>
      <c r="M42" s="11"/>
      <c r="N42" s="11"/>
      <c r="O42" s="25" t="s">
        <v>241</v>
      </c>
    </row>
    <row r="43" customFormat="false" ht="14.25" hidden="false" customHeight="true" outlineLevel="0" collapsed="false">
      <c r="B43" s="17" t="s">
        <v>242</v>
      </c>
      <c r="C43" s="24" t="n">
        <v>58.5</v>
      </c>
      <c r="D43" s="11"/>
      <c r="E43" s="11"/>
      <c r="F43" s="11"/>
      <c r="G43" s="11"/>
      <c r="H43" s="11"/>
      <c r="I43" s="11"/>
      <c r="J43" s="11"/>
      <c r="K43" s="11"/>
      <c r="L43" s="11"/>
      <c r="M43" s="11"/>
      <c r="N43" s="11"/>
      <c r="O43" s="25" t="s">
        <v>243</v>
      </c>
    </row>
    <row r="44" customFormat="false" ht="14.25" hidden="false" customHeight="true" outlineLevel="0" collapsed="false">
      <c r="B44" s="17" t="s">
        <v>244</v>
      </c>
      <c r="C44" s="24" t="n">
        <v>36.4</v>
      </c>
      <c r="D44" s="11"/>
      <c r="E44" s="11"/>
      <c r="F44" s="11"/>
      <c r="G44" s="11"/>
      <c r="H44" s="11"/>
      <c r="I44" s="11"/>
      <c r="J44" s="11"/>
      <c r="K44" s="11"/>
      <c r="L44" s="11"/>
      <c r="M44" s="11"/>
      <c r="N44" s="11"/>
      <c r="O44" s="25" t="s">
        <v>243</v>
      </c>
    </row>
    <row r="45" customFormat="false" ht="14.25" hidden="false" customHeight="true" outlineLevel="0" collapsed="false">
      <c r="B45" s="17" t="s">
        <v>245</v>
      </c>
      <c r="C45" s="24" t="n">
        <v>954.2</v>
      </c>
      <c r="D45" s="11"/>
      <c r="E45" s="11"/>
      <c r="F45" s="11"/>
      <c r="G45" s="11"/>
      <c r="H45" s="11"/>
      <c r="I45" s="11"/>
      <c r="J45" s="11"/>
      <c r="K45" s="11"/>
      <c r="L45" s="11"/>
      <c r="M45" s="11"/>
      <c r="N45" s="11"/>
      <c r="O45" s="25" t="s">
        <v>246</v>
      </c>
    </row>
    <row r="46" customFormat="false" ht="14.25" hidden="false" customHeight="true" outlineLevel="0" collapsed="false">
      <c r="B46" s="17" t="s">
        <v>247</v>
      </c>
      <c r="C46" s="24" t="n">
        <v>137.3</v>
      </c>
      <c r="D46" s="11"/>
      <c r="E46" s="11"/>
      <c r="F46" s="11"/>
      <c r="G46" s="11"/>
      <c r="H46" s="11"/>
      <c r="I46" s="11"/>
      <c r="J46" s="11"/>
      <c r="K46" s="11"/>
      <c r="L46" s="11"/>
      <c r="M46" s="11"/>
      <c r="N46" s="11"/>
      <c r="O46" s="25" t="s">
        <v>248</v>
      </c>
    </row>
    <row r="47" customFormat="false" ht="14.25" hidden="false" customHeight="true" outlineLevel="0" collapsed="false">
      <c r="B47" s="17" t="s">
        <v>249</v>
      </c>
      <c r="C47" s="24" t="n">
        <v>366.1</v>
      </c>
      <c r="D47" s="11"/>
      <c r="E47" s="11"/>
      <c r="F47" s="11"/>
      <c r="G47" s="11"/>
      <c r="H47" s="11"/>
      <c r="I47" s="11"/>
      <c r="J47" s="11"/>
      <c r="K47" s="11"/>
      <c r="L47" s="11"/>
      <c r="M47" s="11"/>
      <c r="N47" s="11"/>
      <c r="O47" s="25" t="s">
        <v>250</v>
      </c>
    </row>
    <row r="48" customFormat="false" ht="14.25" hidden="false" customHeight="true" outlineLevel="0" collapsed="false">
      <c r="B48" s="17" t="s">
        <v>251</v>
      </c>
      <c r="C48" s="24" t="n">
        <v>22.3</v>
      </c>
      <c r="D48" s="11"/>
      <c r="E48" s="11"/>
      <c r="F48" s="11"/>
      <c r="G48" s="11"/>
      <c r="H48" s="11"/>
      <c r="I48" s="11"/>
      <c r="J48" s="11"/>
      <c r="K48" s="11"/>
      <c r="L48" s="11"/>
      <c r="M48" s="11"/>
      <c r="N48" s="11"/>
      <c r="O48" s="25" t="s">
        <v>250</v>
      </c>
    </row>
    <row r="49" customFormat="false" ht="14.25" hidden="false" customHeight="true" outlineLevel="0" collapsed="false">
      <c r="B49" s="17" t="s">
        <v>252</v>
      </c>
      <c r="C49" s="24" t="n">
        <v>38.2</v>
      </c>
      <c r="D49" s="11"/>
      <c r="E49" s="11"/>
      <c r="F49" s="11"/>
      <c r="G49" s="11"/>
      <c r="H49" s="11"/>
      <c r="I49" s="11"/>
      <c r="J49" s="11"/>
      <c r="K49" s="11"/>
      <c r="L49" s="11"/>
      <c r="M49" s="11"/>
      <c r="N49" s="11"/>
      <c r="O49" s="25" t="s">
        <v>250</v>
      </c>
    </row>
    <row r="50" customFormat="false" ht="14.25" hidden="false" customHeight="true" outlineLevel="0" collapsed="false">
      <c r="B50" s="17" t="s">
        <v>253</v>
      </c>
      <c r="C50" s="24" t="n">
        <v>86.7</v>
      </c>
      <c r="D50" s="11"/>
      <c r="E50" s="11"/>
      <c r="F50" s="11"/>
      <c r="G50" s="11"/>
      <c r="H50" s="11"/>
      <c r="I50" s="11"/>
      <c r="J50" s="11"/>
      <c r="K50" s="11"/>
      <c r="L50" s="11"/>
      <c r="M50" s="11"/>
      <c r="N50" s="11"/>
      <c r="O50" s="25" t="s">
        <v>254</v>
      </c>
    </row>
    <row r="51" customFormat="false" ht="14.25" hidden="false" customHeight="true" outlineLevel="0" collapsed="false">
      <c r="B51" s="17" t="s">
        <v>255</v>
      </c>
      <c r="C51" s="24" t="n">
        <v>40.7</v>
      </c>
      <c r="D51" s="11"/>
      <c r="E51" s="11"/>
      <c r="F51" s="11"/>
      <c r="G51" s="11"/>
      <c r="H51" s="11"/>
      <c r="I51" s="11"/>
      <c r="J51" s="11"/>
      <c r="K51" s="11"/>
      <c r="L51" s="11"/>
      <c r="M51" s="11"/>
      <c r="N51" s="11"/>
      <c r="O51" s="25" t="s">
        <v>250</v>
      </c>
    </row>
    <row r="52" customFormat="false" ht="14.25" hidden="false" customHeight="true" outlineLevel="0" collapsed="false">
      <c r="A52" s="22" t="s">
        <v>11</v>
      </c>
      <c r="B52" s="23" t="s">
        <v>256</v>
      </c>
      <c r="C52" s="11"/>
      <c r="D52" s="11"/>
      <c r="E52" s="11"/>
      <c r="F52" s="11"/>
      <c r="G52" s="11"/>
      <c r="H52" s="11"/>
      <c r="I52" s="11"/>
      <c r="J52" s="11"/>
      <c r="K52" s="11"/>
      <c r="L52" s="11"/>
      <c r="M52" s="11"/>
      <c r="N52" s="11"/>
      <c r="O52" s="11"/>
    </row>
    <row r="53" customFormat="false" ht="14.25" hidden="false" customHeight="true" outlineLevel="0" collapsed="false">
      <c r="B53" s="17" t="s">
        <v>257</v>
      </c>
      <c r="C53" s="28" t="n">
        <v>9.9</v>
      </c>
      <c r="D53" s="11"/>
      <c r="E53" s="11"/>
      <c r="F53" s="11"/>
      <c r="G53" s="11"/>
      <c r="H53" s="11"/>
      <c r="I53" s="11"/>
      <c r="J53" s="11"/>
      <c r="K53" s="11"/>
      <c r="L53" s="11"/>
      <c r="M53" s="11"/>
      <c r="N53" s="11"/>
      <c r="O53" s="25" t="s">
        <v>258</v>
      </c>
    </row>
    <row r="54" customFormat="false" ht="14.25" hidden="false" customHeight="true" outlineLevel="0" collapsed="false">
      <c r="B54" s="17" t="s">
        <v>259</v>
      </c>
      <c r="C54" s="28" t="n">
        <v>10.3</v>
      </c>
      <c r="D54" s="11"/>
      <c r="E54" s="11"/>
      <c r="F54" s="11"/>
      <c r="G54" s="11"/>
      <c r="H54" s="11"/>
      <c r="I54" s="11"/>
      <c r="J54" s="11"/>
      <c r="K54" s="11"/>
      <c r="L54" s="11"/>
      <c r="M54" s="11"/>
      <c r="N54" s="11"/>
      <c r="O54" s="25" t="s">
        <v>258</v>
      </c>
    </row>
    <row r="55" customFormat="false" ht="14.25" hidden="false" customHeight="true" outlineLevel="0" collapsed="false">
      <c r="B55" s="17" t="s">
        <v>260</v>
      </c>
      <c r="C55" s="28" t="n">
        <v>10.1</v>
      </c>
      <c r="D55" s="11"/>
      <c r="E55" s="11"/>
      <c r="F55" s="11"/>
      <c r="G55" s="11"/>
      <c r="H55" s="11"/>
      <c r="I55" s="11"/>
      <c r="J55" s="11"/>
      <c r="K55" s="11"/>
      <c r="L55" s="11"/>
      <c r="M55" s="11"/>
      <c r="N55" s="11"/>
      <c r="O55" s="25" t="s">
        <v>261</v>
      </c>
    </row>
    <row r="56" customFormat="false" ht="14.25" hidden="false" customHeight="true" outlineLevel="0" collapsed="false">
      <c r="B56" s="17" t="s">
        <v>262</v>
      </c>
      <c r="C56" s="30" t="n">
        <f aca="false">CHOOSE(Drivers!$C$736,Drivers!$D$749,Drivers!$E$749,Drivers!$F$749)</f>
        <v>130</v>
      </c>
      <c r="D56" s="11"/>
      <c r="E56" s="11"/>
      <c r="F56" s="11"/>
      <c r="G56" s="11"/>
      <c r="H56" s="11"/>
      <c r="I56" s="11"/>
      <c r="J56" s="11"/>
      <c r="K56" s="11"/>
      <c r="L56" s="11"/>
      <c r="M56" s="11"/>
      <c r="N56" s="11"/>
      <c r="O56" s="25" t="s">
        <v>263</v>
      </c>
    </row>
    <row r="57" customFormat="false" ht="14.25" hidden="false" customHeight="true" outlineLevel="0" collapsed="false">
      <c r="B57" s="17" t="s">
        <v>264</v>
      </c>
      <c r="C57" s="30" t="n">
        <f aca="false">CHOOSE(Drivers!$C$736,Drivers!$D$751,Drivers!$E$751,Drivers!$F$751)</f>
        <v>70</v>
      </c>
      <c r="D57" s="11"/>
      <c r="E57" s="11"/>
      <c r="F57" s="11"/>
      <c r="G57" s="11"/>
      <c r="H57" s="11"/>
      <c r="I57" s="11"/>
      <c r="J57" s="11"/>
      <c r="K57" s="11"/>
      <c r="L57" s="11"/>
      <c r="M57" s="11"/>
      <c r="N57" s="11"/>
      <c r="O57" s="25" t="s">
        <v>265</v>
      </c>
    </row>
    <row r="58" customFormat="false" ht="14.25" hidden="false" customHeight="true" outlineLevel="0" collapsed="false">
      <c r="B58" s="17" t="s">
        <v>266</v>
      </c>
      <c r="C58" s="30" t="n">
        <f aca="false">CHOOSE(Drivers!$C$736,Drivers!$D$750,Drivers!$E$750,Drivers!$F$750)</f>
        <v>140</v>
      </c>
      <c r="D58" s="11"/>
      <c r="E58" s="11"/>
      <c r="F58" s="11"/>
      <c r="G58" s="11"/>
      <c r="H58" s="11"/>
      <c r="I58" s="11"/>
      <c r="J58" s="11"/>
      <c r="K58" s="11"/>
      <c r="L58" s="11"/>
      <c r="M58" s="11"/>
      <c r="N58" s="11"/>
      <c r="O58" s="25" t="s">
        <v>267</v>
      </c>
    </row>
    <row r="59" customFormat="false" ht="14.25" hidden="false" customHeight="true" outlineLevel="0" collapsed="false">
      <c r="B59" s="17" t="s">
        <v>268</v>
      </c>
      <c r="C59" s="30" t="n">
        <f aca="false">CHOOSE(Drivers!$C$736,Drivers!$D$752,Drivers!$E$752,Drivers!$F$752)</f>
        <v>70</v>
      </c>
      <c r="D59" s="11"/>
      <c r="E59" s="11"/>
      <c r="F59" s="11"/>
      <c r="G59" s="11"/>
      <c r="H59" s="11"/>
      <c r="I59" s="11"/>
      <c r="J59" s="11"/>
      <c r="K59" s="11"/>
      <c r="L59" s="11"/>
      <c r="M59" s="11"/>
      <c r="N59" s="11"/>
      <c r="O59" s="25" t="s">
        <v>269</v>
      </c>
    </row>
    <row r="60" customFormat="false" ht="14.25" hidden="false" customHeight="true" outlineLevel="0" collapsed="false">
      <c r="A60" s="22" t="s">
        <v>11</v>
      </c>
      <c r="B60" s="23" t="s">
        <v>270</v>
      </c>
      <c r="C60" s="11"/>
      <c r="D60" s="11"/>
      <c r="E60" s="11"/>
      <c r="F60" s="11"/>
      <c r="G60" s="11"/>
      <c r="H60" s="11"/>
      <c r="I60" s="11"/>
      <c r="J60" s="11"/>
      <c r="K60" s="11"/>
      <c r="L60" s="11"/>
      <c r="M60" s="11"/>
      <c r="N60" s="11"/>
      <c r="O60" s="11"/>
    </row>
    <row r="61" customFormat="false" ht="14.25" hidden="false" customHeight="true" outlineLevel="0" collapsed="false">
      <c r="B61" s="17" t="s">
        <v>271</v>
      </c>
      <c r="C61" s="24" t="n">
        <v>136.6</v>
      </c>
      <c r="D61" s="11"/>
      <c r="E61" s="11"/>
      <c r="F61" s="11"/>
      <c r="G61" s="11"/>
      <c r="H61" s="11"/>
      <c r="I61" s="11"/>
      <c r="J61" s="11"/>
      <c r="K61" s="11"/>
      <c r="L61" s="11"/>
      <c r="M61" s="11"/>
      <c r="N61" s="11"/>
      <c r="O61" s="25" t="s">
        <v>272</v>
      </c>
    </row>
    <row r="62" customFormat="false" ht="14.25" hidden="false" customHeight="true" outlineLevel="0" collapsed="false">
      <c r="B62" s="17" t="s">
        <v>273</v>
      </c>
      <c r="C62" s="24" t="n">
        <v>-108.6</v>
      </c>
      <c r="D62" s="11"/>
      <c r="E62" s="11"/>
      <c r="F62" s="11"/>
      <c r="G62" s="11"/>
      <c r="H62" s="11"/>
      <c r="I62" s="11"/>
      <c r="J62" s="11"/>
      <c r="K62" s="11"/>
      <c r="L62" s="11"/>
      <c r="M62" s="11"/>
      <c r="N62" s="11"/>
      <c r="O62" s="25" t="s">
        <v>274</v>
      </c>
    </row>
    <row r="63" customFormat="false" ht="14.25" hidden="false" customHeight="true" outlineLevel="0" collapsed="false">
      <c r="B63" s="17" t="s">
        <v>275</v>
      </c>
      <c r="C63" s="24" t="n">
        <v>21.9</v>
      </c>
      <c r="D63" s="11"/>
      <c r="E63" s="11"/>
      <c r="F63" s="11"/>
      <c r="G63" s="11"/>
      <c r="H63" s="11"/>
      <c r="I63" s="11"/>
      <c r="J63" s="11"/>
      <c r="K63" s="11"/>
      <c r="L63" s="11"/>
      <c r="M63" s="11"/>
      <c r="N63" s="11"/>
      <c r="O63" s="25" t="s">
        <v>272</v>
      </c>
    </row>
    <row r="64" customFormat="false" ht="14.25" hidden="false" customHeight="true" outlineLevel="0" collapsed="false">
      <c r="B64" s="17" t="s">
        <v>276</v>
      </c>
      <c r="C64" s="24" t="n">
        <v>-36.6</v>
      </c>
      <c r="D64" s="11"/>
      <c r="E64" s="11"/>
      <c r="F64" s="11"/>
      <c r="G64" s="11"/>
      <c r="H64" s="11"/>
      <c r="I64" s="11"/>
      <c r="J64" s="11"/>
      <c r="K64" s="11"/>
      <c r="L64" s="11"/>
      <c r="M64" s="11"/>
      <c r="N64" s="11"/>
      <c r="O64" s="25" t="s">
        <v>272</v>
      </c>
    </row>
    <row r="65" customFormat="false" ht="14.25" hidden="false" customHeight="true" outlineLevel="0" collapsed="false">
      <c r="B65" s="17" t="s">
        <v>277</v>
      </c>
      <c r="C65" s="28" t="n">
        <v>-2.5</v>
      </c>
      <c r="D65" s="11"/>
      <c r="E65" s="11"/>
      <c r="F65" s="11"/>
      <c r="G65" s="11"/>
      <c r="H65" s="11"/>
      <c r="I65" s="11"/>
      <c r="J65" s="11"/>
      <c r="K65" s="11"/>
      <c r="L65" s="11"/>
      <c r="M65" s="11"/>
      <c r="N65" s="11"/>
      <c r="O65" s="25" t="s">
        <v>272</v>
      </c>
    </row>
    <row r="66" customFormat="false" ht="14.25" hidden="false" customHeight="true" outlineLevel="0" collapsed="false">
      <c r="B66" s="27" t="s">
        <v>278</v>
      </c>
      <c r="C66" s="28" t="n">
        <v>10.8</v>
      </c>
      <c r="D66" s="11"/>
      <c r="E66" s="11"/>
      <c r="F66" s="11"/>
      <c r="G66" s="11"/>
      <c r="H66" s="11"/>
      <c r="I66" s="11"/>
      <c r="J66" s="11"/>
      <c r="K66" s="11"/>
      <c r="L66" s="11"/>
      <c r="M66" s="11"/>
      <c r="N66" s="11"/>
      <c r="O66" s="25" t="s">
        <v>279</v>
      </c>
    </row>
    <row r="67" customFormat="false" ht="14.25" hidden="false" customHeight="true" outlineLevel="0" collapsed="false">
      <c r="B67" s="17" t="s">
        <v>280</v>
      </c>
      <c r="C67" s="24" t="n">
        <v>271.5</v>
      </c>
      <c r="D67" s="11"/>
      <c r="E67" s="11"/>
      <c r="F67" s="11"/>
      <c r="G67" s="11"/>
      <c r="H67" s="11"/>
      <c r="I67" s="11"/>
      <c r="J67" s="11"/>
      <c r="K67" s="11"/>
      <c r="L67" s="11"/>
      <c r="M67" s="11"/>
      <c r="N67" s="11"/>
      <c r="O67" s="25" t="s">
        <v>272</v>
      </c>
    </row>
    <row r="68" customFormat="false" ht="14.25" hidden="false" customHeight="true" outlineLevel="0" collapsed="false">
      <c r="B68" s="17" t="s">
        <v>281</v>
      </c>
      <c r="C68" s="24" t="n">
        <v>-208.8</v>
      </c>
      <c r="D68" s="11"/>
      <c r="E68" s="11"/>
      <c r="F68" s="11"/>
      <c r="G68" s="11"/>
      <c r="H68" s="11"/>
      <c r="I68" s="11"/>
      <c r="J68" s="11"/>
      <c r="K68" s="11"/>
      <c r="L68" s="11"/>
      <c r="M68" s="11"/>
      <c r="N68" s="11"/>
      <c r="O68" s="25" t="s">
        <v>272</v>
      </c>
    </row>
    <row r="69" customFormat="false" ht="14.25" hidden="false" customHeight="true" outlineLevel="0" collapsed="false">
      <c r="B69" s="17" t="s">
        <v>282</v>
      </c>
      <c r="C69" s="24" t="n">
        <v>23.9</v>
      </c>
      <c r="D69" s="11"/>
      <c r="E69" s="11"/>
      <c r="F69" s="11"/>
      <c r="G69" s="11"/>
      <c r="H69" s="11"/>
      <c r="I69" s="11"/>
      <c r="J69" s="11"/>
      <c r="K69" s="11"/>
      <c r="L69" s="11"/>
      <c r="M69" s="11"/>
      <c r="N69" s="11"/>
      <c r="O69" s="25" t="s">
        <v>272</v>
      </c>
    </row>
    <row r="70" customFormat="false" ht="14.25" hidden="false" customHeight="true" outlineLevel="0" collapsed="false">
      <c r="B70" s="17" t="s">
        <v>283</v>
      </c>
      <c r="C70" s="24" t="n">
        <v>-80.5</v>
      </c>
      <c r="D70" s="11"/>
      <c r="E70" s="11"/>
      <c r="F70" s="11"/>
      <c r="G70" s="11"/>
      <c r="H70" s="11"/>
      <c r="I70" s="11"/>
      <c r="J70" s="11"/>
      <c r="K70" s="11"/>
      <c r="L70" s="11"/>
      <c r="M70" s="11"/>
      <c r="N70" s="11"/>
      <c r="O70" s="25" t="s">
        <v>272</v>
      </c>
    </row>
    <row r="71" customFormat="false" ht="14.25" hidden="false" customHeight="true" outlineLevel="0" collapsed="false">
      <c r="B71" s="17" t="s">
        <v>284</v>
      </c>
      <c r="C71" s="28" t="n">
        <v>-4.4</v>
      </c>
      <c r="D71" s="11"/>
      <c r="E71" s="11"/>
      <c r="F71" s="11"/>
      <c r="G71" s="11"/>
      <c r="H71" s="11"/>
      <c r="I71" s="11"/>
      <c r="J71" s="11"/>
      <c r="K71" s="11"/>
      <c r="L71" s="11"/>
      <c r="M71" s="11"/>
      <c r="N71" s="11"/>
      <c r="O71" s="25" t="s">
        <v>272</v>
      </c>
    </row>
    <row r="72" customFormat="false" ht="14.25" hidden="false" customHeight="true" outlineLevel="0" collapsed="false">
      <c r="B72" s="27" t="s">
        <v>285</v>
      </c>
      <c r="C72" s="28" t="n">
        <v>1.7</v>
      </c>
      <c r="D72" s="11"/>
      <c r="E72" s="11"/>
      <c r="F72" s="11"/>
      <c r="G72" s="11"/>
      <c r="H72" s="11"/>
      <c r="I72" s="11"/>
      <c r="J72" s="11"/>
      <c r="K72" s="11"/>
      <c r="L72" s="11"/>
      <c r="M72" s="11"/>
      <c r="N72" s="11"/>
      <c r="O72" s="25" t="s">
        <v>279</v>
      </c>
    </row>
    <row r="73" customFormat="false" ht="14.25" hidden="false" customHeight="true" outlineLevel="0" collapsed="false">
      <c r="B73" s="17" t="s">
        <v>286</v>
      </c>
      <c r="C73" s="26" t="n">
        <f aca="false">Drivers!$C$251</f>
        <v>0.33535</v>
      </c>
      <c r="D73" s="11" t="s">
        <v>287</v>
      </c>
      <c r="E73" s="11"/>
      <c r="F73" s="11"/>
      <c r="G73" s="11"/>
      <c r="H73" s="11"/>
      <c r="I73" s="11"/>
      <c r="J73" s="11"/>
      <c r="K73" s="11"/>
      <c r="L73" s="11"/>
      <c r="M73" s="11"/>
      <c r="N73" s="11"/>
      <c r="O73" s="25" t="s">
        <v>288</v>
      </c>
    </row>
    <row r="74" customFormat="false" ht="14.25" hidden="false" customHeight="true" outlineLevel="0" collapsed="false">
      <c r="A74" s="22" t="s">
        <v>11</v>
      </c>
      <c r="B74" s="23" t="s">
        <v>289</v>
      </c>
      <c r="C74" s="11"/>
      <c r="D74" s="11"/>
      <c r="E74" s="11"/>
      <c r="F74" s="11"/>
      <c r="G74" s="11"/>
      <c r="H74" s="11"/>
      <c r="I74" s="11"/>
      <c r="J74" s="11"/>
      <c r="K74" s="11"/>
      <c r="L74" s="11"/>
      <c r="M74" s="11"/>
      <c r="N74" s="11"/>
      <c r="O74" s="11"/>
    </row>
    <row r="75" customFormat="false" ht="14.25" hidden="false" customHeight="true" outlineLevel="0" collapsed="false">
      <c r="B75" s="17" t="s">
        <v>290</v>
      </c>
      <c r="C75" s="26" t="n">
        <v>0.263</v>
      </c>
      <c r="D75" s="11"/>
      <c r="E75" s="11"/>
      <c r="F75" s="11"/>
      <c r="G75" s="11"/>
      <c r="H75" s="11"/>
      <c r="I75" s="11"/>
      <c r="J75" s="11"/>
      <c r="K75" s="11"/>
      <c r="L75" s="11"/>
      <c r="M75" s="11"/>
      <c r="N75" s="11"/>
      <c r="O75" s="25" t="s">
        <v>291</v>
      </c>
    </row>
    <row r="76" customFormat="false" ht="14.25" hidden="false" customHeight="true" outlineLevel="0" collapsed="false">
      <c r="B76" s="17" t="s">
        <v>292</v>
      </c>
      <c r="C76" s="26" t="n">
        <v>0.24</v>
      </c>
      <c r="D76" s="11"/>
      <c r="E76" s="11"/>
      <c r="F76" s="11"/>
      <c r="G76" s="11"/>
      <c r="H76" s="11"/>
      <c r="I76" s="11"/>
      <c r="J76" s="11"/>
      <c r="K76" s="11"/>
      <c r="L76" s="11"/>
      <c r="M76" s="11"/>
      <c r="N76" s="11"/>
      <c r="O76" s="25" t="s">
        <v>293</v>
      </c>
    </row>
    <row r="77" customFormat="false" ht="14.25" hidden="false" customHeight="true" outlineLevel="0" collapsed="false">
      <c r="B77" s="17" t="s">
        <v>294</v>
      </c>
      <c r="C77" s="24" t="n">
        <v>35.8</v>
      </c>
      <c r="D77" s="11"/>
      <c r="E77" s="11"/>
      <c r="F77" s="11"/>
      <c r="G77" s="11"/>
      <c r="H77" s="11"/>
      <c r="I77" s="11"/>
      <c r="J77" s="11"/>
      <c r="K77" s="11"/>
      <c r="L77" s="11"/>
      <c r="M77" s="11"/>
      <c r="N77" s="11"/>
      <c r="O77" s="25" t="s">
        <v>258</v>
      </c>
    </row>
    <row r="78" customFormat="false" ht="14.25" hidden="false" customHeight="true" outlineLevel="0" collapsed="false">
      <c r="B78" s="17" t="s">
        <v>295</v>
      </c>
      <c r="C78" s="24" t="n">
        <f aca="false">Drivers!$C$77-Drivers!$C$725</f>
        <v>35.2265200268053</v>
      </c>
      <c r="D78" s="11"/>
      <c r="E78" s="11"/>
      <c r="F78" s="11"/>
      <c r="G78" s="11"/>
      <c r="H78" s="11"/>
      <c r="I78" s="11"/>
      <c r="J78" s="11"/>
      <c r="K78" s="11"/>
      <c r="L78" s="11"/>
      <c r="M78" s="11"/>
      <c r="N78" s="11"/>
      <c r="O78" s="25" t="s">
        <v>296</v>
      </c>
    </row>
    <row r="79" customFormat="false" ht="14.25" hidden="false" customHeight="true" outlineLevel="0" collapsed="false">
      <c r="B79" s="17" t="s">
        <v>297</v>
      </c>
      <c r="C79" s="28" t="n">
        <v>2.64</v>
      </c>
      <c r="D79" s="11"/>
      <c r="E79" s="11"/>
      <c r="F79" s="11"/>
      <c r="G79" s="11"/>
      <c r="H79" s="11"/>
      <c r="I79" s="11"/>
      <c r="J79" s="11"/>
      <c r="K79" s="11"/>
      <c r="L79" s="11"/>
      <c r="M79" s="11"/>
      <c r="N79" s="11"/>
      <c r="O79" s="25" t="s">
        <v>298</v>
      </c>
    </row>
    <row r="80" customFormat="false" ht="14.25" hidden="false" customHeight="true" outlineLevel="0" collapsed="false">
      <c r="B80" s="17" t="s">
        <v>299</v>
      </c>
      <c r="C80" s="28" t="n">
        <v>2.74</v>
      </c>
      <c r="D80" s="11"/>
      <c r="E80" s="11"/>
      <c r="F80" s="11"/>
      <c r="G80" s="11"/>
      <c r="H80" s="11"/>
      <c r="I80" s="11"/>
      <c r="J80" s="11"/>
      <c r="K80" s="11"/>
      <c r="L80" s="11"/>
      <c r="M80" s="11"/>
      <c r="N80" s="11"/>
      <c r="O80" s="25" t="s">
        <v>300</v>
      </c>
    </row>
    <row r="81" customFormat="false" ht="14.25" hidden="false" customHeight="true" outlineLevel="0" collapsed="false">
      <c r="B81" s="17" t="s">
        <v>301</v>
      </c>
      <c r="C81" s="24" t="n">
        <v>100</v>
      </c>
      <c r="D81" s="11"/>
      <c r="E81" s="11"/>
      <c r="F81" s="11"/>
      <c r="G81" s="11"/>
      <c r="H81" s="11"/>
      <c r="I81" s="11"/>
      <c r="J81" s="11"/>
      <c r="K81" s="11"/>
      <c r="L81" s="11"/>
      <c r="M81" s="11"/>
      <c r="N81" s="11"/>
      <c r="O81" s="25" t="s">
        <v>200</v>
      </c>
    </row>
    <row r="82" customFormat="false" ht="14.25" hidden="false" customHeight="true" outlineLevel="0" collapsed="false">
      <c r="B82" s="17" t="s">
        <v>302</v>
      </c>
      <c r="C82" s="24" t="n">
        <v>100</v>
      </c>
      <c r="D82" s="11"/>
      <c r="E82" s="11"/>
      <c r="F82" s="11"/>
      <c r="G82" s="11"/>
      <c r="H82" s="11"/>
      <c r="I82" s="11"/>
      <c r="J82" s="11"/>
      <c r="K82" s="11"/>
      <c r="L82" s="11"/>
      <c r="M82" s="11"/>
      <c r="N82" s="11"/>
      <c r="O82" s="25" t="s">
        <v>200</v>
      </c>
    </row>
    <row r="83" customFormat="false" ht="14.25" hidden="false" customHeight="true" outlineLevel="0" collapsed="false">
      <c r="B83" s="17" t="s">
        <v>303</v>
      </c>
      <c r="C83" s="24" t="n">
        <v>28</v>
      </c>
      <c r="D83" s="11"/>
      <c r="E83" s="11"/>
      <c r="F83" s="11"/>
      <c r="G83" s="11"/>
      <c r="H83" s="11"/>
      <c r="I83" s="11"/>
      <c r="J83" s="11"/>
      <c r="K83" s="11"/>
      <c r="L83" s="11"/>
      <c r="M83" s="11"/>
      <c r="N83" s="11"/>
      <c r="O83" s="25" t="s">
        <v>304</v>
      </c>
    </row>
    <row r="84" customFormat="false" ht="14.25" hidden="false" customHeight="true" outlineLevel="0" collapsed="false">
      <c r="B84" s="17" t="s">
        <v>305</v>
      </c>
      <c r="C84" s="24" t="n">
        <v>100</v>
      </c>
      <c r="D84" s="11"/>
      <c r="E84" s="11"/>
      <c r="F84" s="11"/>
      <c r="G84" s="11"/>
      <c r="H84" s="11"/>
      <c r="I84" s="11"/>
      <c r="J84" s="11"/>
      <c r="K84" s="11"/>
      <c r="L84" s="11"/>
      <c r="M84" s="11"/>
      <c r="N84" s="11"/>
      <c r="O84" s="25" t="s">
        <v>306</v>
      </c>
    </row>
    <row r="85" customFormat="false" ht="14.25" hidden="false" customHeight="true" outlineLevel="0" collapsed="false">
      <c r="B85" s="17" t="s">
        <v>307</v>
      </c>
      <c r="C85" s="24" t="n">
        <v>100</v>
      </c>
      <c r="D85" s="11"/>
      <c r="E85" s="11"/>
      <c r="F85" s="11"/>
      <c r="G85" s="11"/>
      <c r="H85" s="11"/>
      <c r="I85" s="11"/>
      <c r="J85" s="11"/>
      <c r="K85" s="11"/>
      <c r="L85" s="11"/>
      <c r="M85" s="11"/>
      <c r="N85" s="11"/>
      <c r="O85" s="25" t="s">
        <v>200</v>
      </c>
    </row>
    <row r="86" customFormat="false" ht="14.25" hidden="false" customHeight="true" outlineLevel="0" collapsed="false">
      <c r="B86" s="17" t="s">
        <v>308</v>
      </c>
      <c r="C86" s="24" t="n">
        <v>150</v>
      </c>
      <c r="D86" s="11"/>
      <c r="E86" s="11"/>
      <c r="F86" s="11"/>
      <c r="G86" s="11"/>
      <c r="H86" s="11"/>
      <c r="I86" s="11"/>
      <c r="J86" s="11"/>
      <c r="K86" s="11"/>
      <c r="L86" s="11"/>
      <c r="M86" s="11"/>
      <c r="N86" s="11"/>
      <c r="O86" s="25" t="s">
        <v>309</v>
      </c>
    </row>
    <row r="87" customFormat="false" ht="14.25" hidden="false" customHeight="true" outlineLevel="0" collapsed="false">
      <c r="B87" s="17" t="s">
        <v>310</v>
      </c>
      <c r="C87" s="24" t="n">
        <v>150</v>
      </c>
      <c r="D87" s="11"/>
      <c r="E87" s="11"/>
      <c r="F87" s="11"/>
      <c r="G87" s="11"/>
      <c r="H87" s="11"/>
      <c r="I87" s="11"/>
      <c r="J87" s="11"/>
      <c r="K87" s="11"/>
      <c r="L87" s="11"/>
      <c r="M87" s="11"/>
      <c r="N87" s="11"/>
      <c r="O87" s="25" t="s">
        <v>200</v>
      </c>
    </row>
    <row r="88" customFormat="false" ht="14.25" hidden="false" customHeight="true" outlineLevel="0" collapsed="false">
      <c r="B88" s="17" t="s">
        <v>311</v>
      </c>
      <c r="C88" s="24" t="n">
        <v>400</v>
      </c>
      <c r="D88" s="11"/>
      <c r="E88" s="11"/>
      <c r="F88" s="11"/>
      <c r="G88" s="11"/>
      <c r="H88" s="11"/>
      <c r="I88" s="11"/>
      <c r="J88" s="11"/>
      <c r="K88" s="11"/>
      <c r="L88" s="11"/>
      <c r="M88" s="11"/>
      <c r="N88" s="11"/>
      <c r="O88" s="25" t="s">
        <v>312</v>
      </c>
    </row>
    <row r="89" customFormat="false" ht="14.25" hidden="false" customHeight="true" outlineLevel="0" collapsed="false">
      <c r="A89" s="22" t="s">
        <v>11</v>
      </c>
      <c r="B89" s="23" t="s">
        <v>313</v>
      </c>
      <c r="C89" s="11"/>
      <c r="D89" s="11"/>
      <c r="E89" s="11"/>
      <c r="F89" s="11"/>
      <c r="G89" s="11"/>
      <c r="H89" s="11"/>
      <c r="I89" s="11"/>
      <c r="J89" s="11"/>
      <c r="K89" s="11"/>
      <c r="L89" s="11"/>
      <c r="M89" s="11"/>
      <c r="N89" s="11"/>
      <c r="O89" s="11"/>
    </row>
    <row r="90" customFormat="false" ht="14.25" hidden="false" customHeight="true" outlineLevel="0" collapsed="false">
      <c r="B90" s="17" t="s">
        <v>314</v>
      </c>
      <c r="C90" s="24" t="n">
        <v>633.8</v>
      </c>
      <c r="D90" s="11"/>
      <c r="E90" s="11"/>
      <c r="F90" s="11"/>
      <c r="G90" s="11"/>
      <c r="H90" s="11"/>
      <c r="I90" s="11"/>
      <c r="J90" s="11"/>
      <c r="K90" s="11"/>
      <c r="L90" s="11"/>
      <c r="M90" s="11"/>
      <c r="N90" s="11"/>
      <c r="O90" s="25" t="s">
        <v>315</v>
      </c>
    </row>
    <row r="91" customFormat="false" ht="14.25" hidden="false" customHeight="true" outlineLevel="0" collapsed="false">
      <c r="B91" s="17" t="s">
        <v>316</v>
      </c>
      <c r="C91" s="24" t="n">
        <v>848.1</v>
      </c>
      <c r="D91" s="11"/>
      <c r="E91" s="11"/>
      <c r="F91" s="11"/>
      <c r="G91" s="11"/>
      <c r="H91" s="11"/>
      <c r="I91" s="11"/>
      <c r="J91" s="11"/>
      <c r="K91" s="11"/>
      <c r="L91" s="11"/>
      <c r="M91" s="11"/>
      <c r="N91" s="11"/>
      <c r="O91" s="25" t="s">
        <v>317</v>
      </c>
    </row>
    <row r="92" customFormat="false" ht="14.25" hidden="false" customHeight="true" outlineLevel="0" collapsed="false">
      <c r="B92" s="17" t="s">
        <v>318</v>
      </c>
      <c r="C92" s="24" t="n">
        <v>819.4</v>
      </c>
      <c r="D92" s="11"/>
      <c r="E92" s="11"/>
      <c r="F92" s="11"/>
      <c r="G92" s="11"/>
      <c r="H92" s="11"/>
      <c r="I92" s="11"/>
      <c r="J92" s="11"/>
      <c r="K92" s="11"/>
      <c r="L92" s="11"/>
      <c r="M92" s="11"/>
      <c r="N92" s="11"/>
      <c r="O92" s="25" t="s">
        <v>317</v>
      </c>
    </row>
    <row r="93" customFormat="false" ht="14.25" hidden="false" customHeight="true" outlineLevel="0" collapsed="false">
      <c r="B93" s="17" t="s">
        <v>319</v>
      </c>
      <c r="C93" s="24" t="n">
        <v>850</v>
      </c>
      <c r="D93" s="11"/>
      <c r="E93" s="11"/>
      <c r="F93" s="11"/>
      <c r="G93" s="11"/>
      <c r="H93" s="11"/>
      <c r="I93" s="11"/>
      <c r="J93" s="11"/>
      <c r="K93" s="11"/>
      <c r="L93" s="11"/>
      <c r="M93" s="11"/>
      <c r="N93" s="11"/>
      <c r="O93" s="25" t="s">
        <v>317</v>
      </c>
    </row>
    <row r="94" customFormat="false" ht="14.25" hidden="false" customHeight="true" outlineLevel="0" collapsed="false">
      <c r="B94" s="17" t="s">
        <v>320</v>
      </c>
      <c r="C94" s="24" t="n">
        <v>2576.4</v>
      </c>
      <c r="D94" s="11"/>
      <c r="E94" s="11"/>
      <c r="F94" s="11"/>
      <c r="G94" s="11"/>
      <c r="H94" s="11"/>
      <c r="I94" s="11"/>
      <c r="J94" s="11"/>
      <c r="K94" s="11"/>
      <c r="L94" s="11"/>
      <c r="M94" s="11"/>
      <c r="N94" s="11"/>
      <c r="O94" s="25" t="s">
        <v>321</v>
      </c>
    </row>
    <row r="95" customFormat="false" ht="14.25" hidden="false" customHeight="true" outlineLevel="0" collapsed="false">
      <c r="B95" s="17" t="s">
        <v>322</v>
      </c>
      <c r="C95" s="24" t="n">
        <v>6615.2</v>
      </c>
      <c r="D95" s="11"/>
      <c r="E95" s="11"/>
      <c r="F95" s="11"/>
      <c r="G95" s="11"/>
      <c r="H95" s="11"/>
      <c r="I95" s="11"/>
      <c r="J95" s="11"/>
      <c r="K95" s="11"/>
      <c r="L95" s="11"/>
      <c r="M95" s="11"/>
      <c r="N95" s="11"/>
      <c r="O95" s="25" t="s">
        <v>317</v>
      </c>
    </row>
    <row r="96" customFormat="false" ht="14.25" hidden="false" customHeight="true" outlineLevel="0" collapsed="false">
      <c r="B96" s="17" t="s">
        <v>323</v>
      </c>
      <c r="C96" s="24" t="n">
        <v>294.2</v>
      </c>
      <c r="D96" s="11"/>
      <c r="E96" s="11"/>
      <c r="F96" s="11"/>
      <c r="G96" s="11"/>
      <c r="H96" s="11"/>
      <c r="I96" s="11"/>
      <c r="J96" s="11"/>
      <c r="K96" s="11"/>
      <c r="L96" s="11"/>
      <c r="M96" s="11"/>
      <c r="N96" s="11"/>
      <c r="O96" s="25" t="s">
        <v>324</v>
      </c>
    </row>
    <row r="97" customFormat="false" ht="14.25" hidden="false" customHeight="true" outlineLevel="0" collapsed="false">
      <c r="B97" s="17" t="s">
        <v>325</v>
      </c>
      <c r="C97" s="24" t="n">
        <v>542.1</v>
      </c>
      <c r="D97" s="11"/>
      <c r="E97" s="11"/>
      <c r="F97" s="11"/>
      <c r="G97" s="11"/>
      <c r="H97" s="11"/>
      <c r="I97" s="11"/>
      <c r="J97" s="11"/>
      <c r="K97" s="11"/>
      <c r="L97" s="11"/>
      <c r="M97" s="11"/>
      <c r="N97" s="11"/>
      <c r="O97" s="25" t="s">
        <v>326</v>
      </c>
    </row>
    <row r="98" customFormat="false" ht="14.25" hidden="false" customHeight="true" outlineLevel="0" collapsed="false">
      <c r="B98" s="17" t="s">
        <v>327</v>
      </c>
      <c r="C98" s="24" t="n">
        <v>511.1</v>
      </c>
      <c r="D98" s="11"/>
      <c r="E98" s="11"/>
      <c r="F98" s="11"/>
      <c r="G98" s="11"/>
      <c r="H98" s="11"/>
      <c r="I98" s="11"/>
      <c r="J98" s="11"/>
      <c r="K98" s="11"/>
      <c r="L98" s="11"/>
      <c r="M98" s="11"/>
      <c r="N98" s="11"/>
      <c r="O98" s="25" t="s">
        <v>317</v>
      </c>
    </row>
    <row r="99" customFormat="false" ht="14.25" hidden="false" customHeight="true" outlineLevel="0" collapsed="false">
      <c r="B99" s="17" t="s">
        <v>328</v>
      </c>
      <c r="C99" s="24" t="n">
        <v>12451.7</v>
      </c>
      <c r="D99" s="11"/>
      <c r="E99" s="11"/>
      <c r="F99" s="11"/>
      <c r="G99" s="11"/>
      <c r="H99" s="11"/>
      <c r="I99" s="11"/>
      <c r="J99" s="11"/>
      <c r="K99" s="11"/>
      <c r="L99" s="11"/>
      <c r="M99" s="11"/>
      <c r="N99" s="11"/>
      <c r="O99" s="25" t="s">
        <v>329</v>
      </c>
    </row>
    <row r="100" customFormat="false" ht="14.25" hidden="false" customHeight="true" outlineLevel="0" collapsed="false">
      <c r="B100" s="17" t="s">
        <v>330</v>
      </c>
      <c r="C100" s="24" t="n">
        <v>82.2</v>
      </c>
      <c r="D100" s="11"/>
      <c r="E100" s="11"/>
      <c r="F100" s="11"/>
      <c r="G100" s="11"/>
      <c r="H100" s="11"/>
      <c r="I100" s="11"/>
      <c r="J100" s="11"/>
      <c r="K100" s="11"/>
      <c r="L100" s="11"/>
      <c r="M100" s="11"/>
      <c r="N100" s="11"/>
      <c r="O100" s="25" t="s">
        <v>331</v>
      </c>
    </row>
    <row r="101" customFormat="false" ht="14.25" hidden="false" customHeight="true" outlineLevel="0" collapsed="false">
      <c r="B101" s="17" t="s">
        <v>332</v>
      </c>
      <c r="C101" s="24" t="n">
        <v>12533.9</v>
      </c>
      <c r="D101" s="11"/>
      <c r="E101" s="11"/>
      <c r="F101" s="11"/>
      <c r="G101" s="11"/>
      <c r="H101" s="11"/>
      <c r="I101" s="11"/>
      <c r="J101" s="11"/>
      <c r="K101" s="11"/>
      <c r="L101" s="11"/>
      <c r="M101" s="11"/>
      <c r="N101" s="11"/>
      <c r="O101" s="25" t="s">
        <v>333</v>
      </c>
    </row>
    <row r="102" customFormat="false" ht="14.25" hidden="false" customHeight="true" outlineLevel="0" collapsed="false">
      <c r="B102" s="17" t="s">
        <v>334</v>
      </c>
      <c r="C102" s="29" t="n">
        <f aca="false">CHOOSE(Drivers!$C$736,Drivers!$D$756,Drivers!$E$756,Drivers!$F$756)</f>
        <v>0.053</v>
      </c>
      <c r="D102" s="11"/>
      <c r="E102" s="11"/>
      <c r="F102" s="11"/>
      <c r="G102" s="11"/>
      <c r="H102" s="11"/>
      <c r="I102" s="11"/>
      <c r="J102" s="11"/>
      <c r="K102" s="11"/>
      <c r="L102" s="11"/>
      <c r="M102" s="11"/>
      <c r="N102" s="11"/>
      <c r="O102" s="25" t="s">
        <v>335</v>
      </c>
    </row>
    <row r="103" customFormat="false" ht="14.25" hidden="false" customHeight="true" outlineLevel="0" collapsed="false">
      <c r="B103" s="17" t="s">
        <v>336</v>
      </c>
      <c r="C103" s="26" t="n">
        <v>0.0463</v>
      </c>
      <c r="D103" s="11"/>
      <c r="E103" s="11"/>
      <c r="F103" s="11"/>
      <c r="G103" s="11"/>
      <c r="H103" s="11"/>
      <c r="I103" s="11"/>
      <c r="J103" s="11"/>
      <c r="K103" s="11"/>
      <c r="L103" s="11"/>
      <c r="M103" s="11"/>
      <c r="N103" s="11"/>
      <c r="O103" s="25" t="s">
        <v>337</v>
      </c>
    </row>
    <row r="104" customFormat="false" ht="14.25" hidden="false" customHeight="true" outlineLevel="0" collapsed="false">
      <c r="B104" s="17" t="s">
        <v>338</v>
      </c>
      <c r="C104" s="26" t="n">
        <v>0.0463</v>
      </c>
      <c r="D104" s="11"/>
      <c r="E104" s="11"/>
      <c r="F104" s="11"/>
      <c r="G104" s="11"/>
      <c r="H104" s="11"/>
      <c r="I104" s="11"/>
      <c r="J104" s="11"/>
      <c r="K104" s="11"/>
      <c r="L104" s="11"/>
      <c r="M104" s="11"/>
      <c r="N104" s="11"/>
      <c r="O104" s="25" t="s">
        <v>339</v>
      </c>
    </row>
    <row r="105" customFormat="false" ht="14.25" hidden="false" customHeight="true" outlineLevel="0" collapsed="false">
      <c r="B105" s="17" t="s">
        <v>340</v>
      </c>
      <c r="C105" s="26" t="n">
        <v>0.06</v>
      </c>
      <c r="D105" s="11"/>
      <c r="E105" s="11"/>
      <c r="F105" s="11"/>
      <c r="G105" s="11"/>
      <c r="H105" s="11"/>
      <c r="I105" s="11"/>
      <c r="J105" s="11"/>
      <c r="K105" s="11"/>
      <c r="L105" s="11"/>
      <c r="M105" s="11"/>
      <c r="N105" s="11"/>
      <c r="O105" s="25" t="s">
        <v>341</v>
      </c>
    </row>
    <row r="106" customFormat="false" ht="14.25" hidden="false" customHeight="true" outlineLevel="0" collapsed="false">
      <c r="B106" s="17" t="s">
        <v>342</v>
      </c>
      <c r="C106" s="24" t="n">
        <v>2942.9</v>
      </c>
      <c r="D106" s="11"/>
      <c r="E106" s="11"/>
      <c r="F106" s="11"/>
      <c r="G106" s="11"/>
      <c r="H106" s="11"/>
      <c r="I106" s="11"/>
      <c r="J106" s="11"/>
      <c r="K106" s="11"/>
      <c r="L106" s="11"/>
      <c r="M106" s="11"/>
      <c r="N106" s="11"/>
      <c r="O106" s="25" t="s">
        <v>343</v>
      </c>
    </row>
    <row r="107" customFormat="false" ht="14.25" hidden="false" customHeight="true" outlineLevel="0" collapsed="false">
      <c r="B107" s="17" t="s">
        <v>344</v>
      </c>
      <c r="C107" s="24" t="n">
        <v>2860.2</v>
      </c>
      <c r="D107" s="11"/>
      <c r="E107" s="11"/>
      <c r="F107" s="11"/>
      <c r="G107" s="11"/>
      <c r="H107" s="11"/>
      <c r="I107" s="11"/>
      <c r="J107" s="11"/>
      <c r="K107" s="11"/>
      <c r="L107" s="11"/>
      <c r="M107" s="11"/>
      <c r="N107" s="11"/>
      <c r="O107" s="25" t="s">
        <v>345</v>
      </c>
    </row>
    <row r="108" customFormat="false" ht="14.25" hidden="false" customHeight="true" outlineLevel="0" collapsed="false">
      <c r="B108" s="17" t="s">
        <v>346</v>
      </c>
      <c r="C108" s="26" t="n">
        <v>0.0502</v>
      </c>
      <c r="D108" s="11"/>
      <c r="E108" s="11"/>
      <c r="F108" s="11"/>
      <c r="G108" s="11"/>
      <c r="H108" s="11"/>
      <c r="I108" s="11"/>
      <c r="J108" s="11"/>
      <c r="K108" s="11"/>
      <c r="L108" s="11"/>
      <c r="M108" s="11"/>
      <c r="N108" s="11"/>
      <c r="O108" s="25" t="s">
        <v>347</v>
      </c>
    </row>
    <row r="109" customFormat="false" ht="14.25" hidden="false" customHeight="true" outlineLevel="0" collapsed="false">
      <c r="B109" s="17" t="s">
        <v>348</v>
      </c>
      <c r="C109" s="26" t="n">
        <v>0.045</v>
      </c>
      <c r="D109" s="11"/>
      <c r="E109" s="11"/>
      <c r="F109" s="11"/>
      <c r="G109" s="11"/>
      <c r="H109" s="11"/>
      <c r="I109" s="11"/>
      <c r="J109" s="11"/>
      <c r="K109" s="11"/>
      <c r="L109" s="11"/>
      <c r="M109" s="11"/>
      <c r="N109" s="11"/>
      <c r="O109" s="25" t="s">
        <v>349</v>
      </c>
    </row>
    <row r="110" customFormat="false" ht="14.25" hidden="false" customHeight="true" outlineLevel="0" collapsed="false">
      <c r="B110" s="17" t="s">
        <v>350</v>
      </c>
      <c r="C110" s="24" t="n">
        <v>500</v>
      </c>
      <c r="D110" s="11"/>
      <c r="E110" s="11"/>
      <c r="F110" s="11"/>
      <c r="G110" s="11"/>
      <c r="H110" s="11"/>
      <c r="I110" s="11"/>
      <c r="J110" s="11"/>
      <c r="K110" s="11"/>
      <c r="L110" s="11"/>
      <c r="M110" s="11"/>
      <c r="N110" s="11"/>
      <c r="O110" s="25" t="s">
        <v>351</v>
      </c>
    </row>
    <row r="111" customFormat="false" ht="14.25" hidden="false" customHeight="true" outlineLevel="0" collapsed="false">
      <c r="A111" s="22" t="s">
        <v>11</v>
      </c>
      <c r="B111" s="23" t="s">
        <v>352</v>
      </c>
      <c r="C111" s="11"/>
      <c r="D111" s="11"/>
      <c r="E111" s="11"/>
      <c r="F111" s="11"/>
      <c r="G111" s="11"/>
      <c r="H111" s="11"/>
      <c r="I111" s="11"/>
      <c r="J111" s="11"/>
      <c r="K111" s="11"/>
      <c r="L111" s="11"/>
      <c r="M111" s="11"/>
      <c r="N111" s="11"/>
      <c r="O111" s="11"/>
    </row>
    <row r="112" customFormat="false" ht="14.25" hidden="false" customHeight="true" outlineLevel="0" collapsed="false">
      <c r="B112" s="17" t="s">
        <v>353</v>
      </c>
      <c r="C112" s="24" t="n">
        <v>732.3</v>
      </c>
      <c r="D112" s="11"/>
      <c r="E112" s="11"/>
      <c r="F112" s="11"/>
      <c r="G112" s="11"/>
      <c r="H112" s="11"/>
      <c r="I112" s="11"/>
      <c r="J112" s="11"/>
      <c r="K112" s="11"/>
      <c r="L112" s="11"/>
      <c r="M112" s="11"/>
      <c r="N112" s="11"/>
      <c r="O112" s="25" t="s">
        <v>354</v>
      </c>
    </row>
    <row r="113" customFormat="false" ht="14.25" hidden="false" customHeight="true" outlineLevel="0" collapsed="false">
      <c r="B113" s="17" t="s">
        <v>355</v>
      </c>
      <c r="C113" s="24" t="n">
        <v>140</v>
      </c>
      <c r="D113" s="11"/>
      <c r="E113" s="11"/>
      <c r="F113" s="11"/>
      <c r="G113" s="11"/>
      <c r="H113" s="11"/>
      <c r="I113" s="11"/>
      <c r="J113" s="11"/>
      <c r="K113" s="11"/>
      <c r="L113" s="11"/>
      <c r="M113" s="11"/>
      <c r="N113" s="11"/>
      <c r="O113" s="25" t="s">
        <v>356</v>
      </c>
    </row>
    <row r="114" customFormat="false" ht="14.25" hidden="false" customHeight="true" outlineLevel="0" collapsed="false">
      <c r="B114" s="17" t="s">
        <v>357</v>
      </c>
      <c r="C114" s="24" t="n">
        <v>150</v>
      </c>
      <c r="D114" s="11"/>
      <c r="E114" s="11"/>
      <c r="F114" s="11"/>
      <c r="G114" s="11"/>
      <c r="H114" s="11"/>
      <c r="I114" s="11"/>
      <c r="J114" s="11"/>
      <c r="K114" s="11"/>
      <c r="L114" s="11"/>
      <c r="M114" s="11"/>
      <c r="N114" s="11"/>
      <c r="O114" s="25" t="s">
        <v>200</v>
      </c>
    </row>
    <row r="115" customFormat="false" ht="14.25" hidden="false" customHeight="true" outlineLevel="0" collapsed="false">
      <c r="B115" s="17" t="s">
        <v>358</v>
      </c>
      <c r="C115" s="24" t="n">
        <v>140</v>
      </c>
      <c r="D115" s="11"/>
      <c r="E115" s="11"/>
      <c r="F115" s="11"/>
      <c r="G115" s="11"/>
      <c r="H115" s="11"/>
      <c r="I115" s="11"/>
      <c r="J115" s="11"/>
      <c r="K115" s="11"/>
      <c r="L115" s="11"/>
      <c r="M115" s="11"/>
      <c r="N115" s="11"/>
      <c r="O115" s="25" t="s">
        <v>359</v>
      </c>
    </row>
    <row r="116" customFormat="false" ht="14.25" hidden="false" customHeight="true" outlineLevel="0" collapsed="false">
      <c r="B116" s="17" t="s">
        <v>360</v>
      </c>
      <c r="C116" s="30" t="n">
        <f aca="false">CHOOSE(Drivers!$C$736,Drivers!$D$758,Drivers!$E$758,Drivers!$F$758)</f>
        <v>130</v>
      </c>
      <c r="D116" s="11"/>
      <c r="E116" s="11"/>
      <c r="F116" s="11"/>
      <c r="G116" s="11"/>
      <c r="H116" s="11"/>
      <c r="I116" s="11"/>
      <c r="J116" s="11"/>
      <c r="K116" s="11"/>
      <c r="L116" s="11"/>
      <c r="M116" s="11"/>
      <c r="N116" s="11"/>
      <c r="O116" s="25" t="s">
        <v>200</v>
      </c>
    </row>
    <row r="117" customFormat="false" ht="14.25" hidden="false" customHeight="true" outlineLevel="0" collapsed="false">
      <c r="A117" s="22" t="s">
        <v>11</v>
      </c>
      <c r="B117" s="23" t="s">
        <v>361</v>
      </c>
      <c r="C117" s="11"/>
      <c r="D117" s="11"/>
      <c r="E117" s="11"/>
      <c r="F117" s="11"/>
      <c r="G117" s="11"/>
      <c r="H117" s="11"/>
      <c r="I117" s="11"/>
      <c r="J117" s="11"/>
      <c r="K117" s="11"/>
      <c r="L117" s="11"/>
      <c r="M117" s="11"/>
      <c r="N117" s="11"/>
      <c r="O117" s="11"/>
    </row>
    <row r="118" customFormat="false" ht="14.25" hidden="false" customHeight="true" outlineLevel="0" collapsed="false">
      <c r="B118" s="17" t="s">
        <v>362</v>
      </c>
      <c r="C118" s="24" t="n">
        <v>15662.6</v>
      </c>
      <c r="D118" s="11"/>
      <c r="E118" s="11"/>
      <c r="F118" s="11"/>
      <c r="G118" s="11"/>
      <c r="H118" s="11"/>
      <c r="I118" s="11"/>
      <c r="J118" s="11"/>
      <c r="K118" s="11"/>
      <c r="L118" s="11"/>
      <c r="M118" s="11"/>
      <c r="N118" s="11"/>
      <c r="O118" s="25" t="s">
        <v>363</v>
      </c>
    </row>
    <row r="119" customFormat="false" ht="14.25" hidden="false" customHeight="true" outlineLevel="0" collapsed="false">
      <c r="B119" s="17" t="s">
        <v>364</v>
      </c>
      <c r="C119" s="24" t="n">
        <v>-4251.7</v>
      </c>
      <c r="D119" s="11"/>
      <c r="E119" s="11"/>
      <c r="F119" s="11"/>
      <c r="G119" s="11"/>
      <c r="H119" s="11"/>
      <c r="I119" s="11"/>
      <c r="J119" s="11"/>
      <c r="K119" s="11"/>
      <c r="L119" s="11"/>
      <c r="M119" s="11"/>
      <c r="N119" s="11"/>
      <c r="O119" s="25" t="s">
        <v>333</v>
      </c>
    </row>
    <row r="120" customFormat="false" ht="14.25" hidden="false" customHeight="true" outlineLevel="0" collapsed="false">
      <c r="B120" s="17" t="s">
        <v>365</v>
      </c>
      <c r="C120" s="24" t="n">
        <v>11410.9</v>
      </c>
      <c r="D120" s="11"/>
      <c r="E120" s="11"/>
      <c r="F120" s="11"/>
      <c r="G120" s="11"/>
      <c r="H120" s="11"/>
      <c r="I120" s="11"/>
      <c r="J120" s="11"/>
      <c r="K120" s="11"/>
      <c r="L120" s="11"/>
      <c r="M120" s="11"/>
      <c r="N120" s="11"/>
      <c r="O120" s="25" t="s">
        <v>333</v>
      </c>
    </row>
    <row r="121" customFormat="false" ht="14.25" hidden="false" customHeight="true" outlineLevel="0" collapsed="false">
      <c r="B121" s="17" t="s">
        <v>366</v>
      </c>
      <c r="C121" s="24" t="n">
        <v>1041</v>
      </c>
      <c r="D121" s="11"/>
      <c r="E121" s="11"/>
      <c r="F121" s="11"/>
      <c r="G121" s="11"/>
      <c r="H121" s="11"/>
      <c r="I121" s="11"/>
      <c r="J121" s="11"/>
      <c r="K121" s="11"/>
      <c r="L121" s="11"/>
      <c r="M121" s="11"/>
      <c r="N121" s="11"/>
      <c r="O121" s="25" t="s">
        <v>367</v>
      </c>
    </row>
    <row r="122" customFormat="false" ht="14.25" hidden="false" customHeight="true" outlineLevel="0" collapsed="false">
      <c r="B122" s="17" t="s">
        <v>368</v>
      </c>
      <c r="C122" s="24" t="n">
        <v>1400</v>
      </c>
      <c r="D122" s="11"/>
      <c r="E122" s="11"/>
      <c r="F122" s="11"/>
      <c r="G122" s="11"/>
      <c r="H122" s="11"/>
      <c r="I122" s="11"/>
      <c r="J122" s="11"/>
      <c r="K122" s="11"/>
      <c r="L122" s="11"/>
      <c r="M122" s="11"/>
      <c r="N122" s="11"/>
      <c r="O122" s="25" t="s">
        <v>369</v>
      </c>
    </row>
    <row r="123" customFormat="false" ht="14.25" hidden="false" customHeight="true" outlineLevel="0" collapsed="false">
      <c r="B123" s="17" t="s">
        <v>370</v>
      </c>
      <c r="C123" s="24" t="n">
        <v>4200</v>
      </c>
      <c r="D123" s="11"/>
      <c r="E123" s="11"/>
      <c r="F123" s="11"/>
      <c r="G123" s="11"/>
      <c r="H123" s="11"/>
      <c r="I123" s="11"/>
      <c r="J123" s="11"/>
      <c r="K123" s="11"/>
      <c r="L123" s="11"/>
      <c r="M123" s="11"/>
      <c r="N123" s="11"/>
      <c r="O123" s="25" t="s">
        <v>371</v>
      </c>
    </row>
    <row r="124" customFormat="false" ht="14.25" hidden="false" customHeight="true" outlineLevel="0" collapsed="false">
      <c r="B124" s="17" t="s">
        <v>372</v>
      </c>
      <c r="C124" s="24" t="n">
        <v>671.4</v>
      </c>
      <c r="D124" s="11"/>
      <c r="E124" s="11"/>
      <c r="F124" s="11"/>
      <c r="G124" s="11"/>
      <c r="H124" s="11"/>
      <c r="I124" s="11"/>
      <c r="J124" s="11"/>
      <c r="K124" s="11"/>
      <c r="L124" s="11"/>
      <c r="M124" s="11"/>
      <c r="N124" s="11"/>
      <c r="O124" s="25" t="s">
        <v>373</v>
      </c>
    </row>
    <row r="125" customFormat="false" ht="14.25" hidden="false" customHeight="true" outlineLevel="0" collapsed="false">
      <c r="B125" s="17" t="s">
        <v>374</v>
      </c>
      <c r="C125" s="24" t="n">
        <v>720</v>
      </c>
      <c r="D125" s="11"/>
      <c r="E125" s="11"/>
      <c r="F125" s="11"/>
      <c r="G125" s="11"/>
      <c r="H125" s="11"/>
      <c r="I125" s="11"/>
      <c r="J125" s="11"/>
      <c r="K125" s="11"/>
      <c r="L125" s="11"/>
      <c r="M125" s="11"/>
      <c r="N125" s="11"/>
      <c r="O125" s="25" t="s">
        <v>375</v>
      </c>
    </row>
    <row r="126" customFormat="false" ht="14.25" hidden="false" customHeight="true" outlineLevel="0" collapsed="false">
      <c r="A126" s="22" t="s">
        <v>11</v>
      </c>
      <c r="B126" s="23" t="s">
        <v>376</v>
      </c>
      <c r="C126" s="11"/>
      <c r="D126" s="11"/>
      <c r="E126" s="11"/>
      <c r="F126" s="11"/>
      <c r="G126" s="11"/>
      <c r="H126" s="11"/>
      <c r="I126" s="11"/>
      <c r="J126" s="11"/>
      <c r="K126" s="11"/>
      <c r="L126" s="11"/>
      <c r="M126" s="11"/>
      <c r="N126" s="11"/>
      <c r="O126" s="11"/>
    </row>
    <row r="127" customFormat="false" ht="14.25" hidden="false" customHeight="true" outlineLevel="0" collapsed="false">
      <c r="B127" s="17" t="s">
        <v>377</v>
      </c>
      <c r="C127" s="26" t="n">
        <v>0.121</v>
      </c>
      <c r="D127" s="11"/>
      <c r="E127" s="11"/>
      <c r="F127" s="11"/>
      <c r="G127" s="11"/>
      <c r="H127" s="11"/>
      <c r="I127" s="11"/>
      <c r="J127" s="11"/>
      <c r="K127" s="11"/>
      <c r="L127" s="11"/>
      <c r="M127" s="11"/>
      <c r="N127" s="11"/>
      <c r="O127" s="25" t="s">
        <v>378</v>
      </c>
    </row>
    <row r="128" customFormat="false" ht="14.25" hidden="false" customHeight="true" outlineLevel="0" collapsed="false">
      <c r="B128" s="17" t="s">
        <v>379</v>
      </c>
      <c r="C128" s="26" t="n">
        <f aca="false">-Drivers!C330/Drivers!C327</f>
        <v>0.251331843959443</v>
      </c>
      <c r="D128" s="11" t="s">
        <v>380</v>
      </c>
      <c r="E128" s="11"/>
      <c r="F128" s="11"/>
      <c r="G128" s="11"/>
      <c r="H128" s="11"/>
      <c r="I128" s="11"/>
      <c r="J128" s="11"/>
      <c r="K128" s="11"/>
      <c r="L128" s="11"/>
      <c r="M128" s="11"/>
      <c r="N128" s="11"/>
      <c r="O128" s="25" t="s">
        <v>381</v>
      </c>
    </row>
    <row r="129" customFormat="false" ht="14.25" hidden="false" customHeight="true" outlineLevel="0" collapsed="false">
      <c r="B129" s="17" t="s">
        <v>382</v>
      </c>
      <c r="C129" s="24" t="n">
        <v>29.6</v>
      </c>
      <c r="D129" s="11"/>
      <c r="E129" s="11"/>
      <c r="F129" s="11"/>
      <c r="G129" s="11"/>
      <c r="H129" s="11"/>
      <c r="I129" s="11"/>
      <c r="J129" s="11"/>
      <c r="K129" s="11"/>
      <c r="L129" s="11"/>
      <c r="M129" s="11"/>
      <c r="N129" s="11"/>
      <c r="O129" s="25" t="s">
        <v>383</v>
      </c>
    </row>
    <row r="130" customFormat="false" ht="14.25" hidden="false" customHeight="true" outlineLevel="0" collapsed="false">
      <c r="B130" s="17" t="s">
        <v>384</v>
      </c>
      <c r="C130" s="26" t="n">
        <v>0.04</v>
      </c>
      <c r="D130" s="11"/>
      <c r="E130" s="11"/>
      <c r="F130" s="11"/>
      <c r="G130" s="11"/>
      <c r="H130" s="11"/>
      <c r="I130" s="11"/>
      <c r="J130" s="11"/>
      <c r="K130" s="11"/>
      <c r="L130" s="11"/>
      <c r="M130" s="11"/>
      <c r="N130" s="11"/>
      <c r="O130" s="25" t="s">
        <v>385</v>
      </c>
    </row>
    <row r="131" customFormat="false" ht="14.25" hidden="false" customHeight="true" outlineLevel="0" collapsed="false">
      <c r="A131" s="22" t="s">
        <v>11</v>
      </c>
      <c r="B131" s="23" t="s">
        <v>386</v>
      </c>
      <c r="C131" s="11"/>
      <c r="D131" s="11"/>
      <c r="E131" s="11"/>
      <c r="F131" s="11"/>
      <c r="G131" s="11"/>
      <c r="H131" s="11"/>
      <c r="I131" s="11"/>
      <c r="J131" s="11"/>
      <c r="K131" s="11"/>
      <c r="L131" s="11"/>
      <c r="M131" s="11"/>
      <c r="N131" s="11"/>
      <c r="O131" s="11"/>
    </row>
    <row r="132" customFormat="false" ht="14.25" hidden="false" customHeight="true" outlineLevel="0" collapsed="false">
      <c r="B132" s="17" t="s">
        <v>387</v>
      </c>
      <c r="C132" s="26" t="n">
        <v>0.135</v>
      </c>
      <c r="D132" s="11"/>
      <c r="E132" s="11"/>
      <c r="F132" s="11"/>
      <c r="G132" s="11"/>
      <c r="H132" s="11"/>
      <c r="I132" s="11"/>
      <c r="J132" s="11"/>
      <c r="K132" s="11"/>
      <c r="L132" s="11"/>
      <c r="M132" s="11"/>
      <c r="N132" s="11"/>
      <c r="O132" s="25" t="s">
        <v>388</v>
      </c>
    </row>
    <row r="133" customFormat="false" ht="14.25" hidden="false" customHeight="true" outlineLevel="0" collapsed="false">
      <c r="B133" s="17" t="s">
        <v>389</v>
      </c>
      <c r="C133" s="26" t="n">
        <v>0.062</v>
      </c>
      <c r="D133" s="11"/>
      <c r="E133" s="11"/>
      <c r="F133" s="11"/>
      <c r="G133" s="11"/>
      <c r="H133" s="11"/>
      <c r="I133" s="11"/>
      <c r="J133" s="11"/>
      <c r="K133" s="11"/>
      <c r="L133" s="11"/>
      <c r="M133" s="11"/>
      <c r="N133" s="11"/>
      <c r="O133" s="25" t="s">
        <v>390</v>
      </c>
    </row>
    <row r="134" customFormat="false" ht="14.25" hidden="false" customHeight="true" outlineLevel="0" collapsed="false">
      <c r="B134" s="17" t="s">
        <v>391</v>
      </c>
      <c r="C134" s="26" t="n">
        <v>0.01</v>
      </c>
      <c r="D134" s="11"/>
      <c r="E134" s="11"/>
      <c r="F134" s="11"/>
      <c r="G134" s="11"/>
      <c r="H134" s="11"/>
      <c r="I134" s="11"/>
      <c r="J134" s="11"/>
      <c r="K134" s="11"/>
      <c r="L134" s="11"/>
      <c r="M134" s="11"/>
      <c r="N134" s="11"/>
      <c r="O134" s="25" t="s">
        <v>392</v>
      </c>
    </row>
    <row r="135" customFormat="false" ht="14.25" hidden="false" customHeight="true" outlineLevel="0" collapsed="false">
      <c r="A135" s="22" t="s">
        <v>11</v>
      </c>
      <c r="B135" s="23" t="s">
        <v>393</v>
      </c>
      <c r="C135" s="11"/>
      <c r="D135" s="11"/>
      <c r="E135" s="11"/>
      <c r="F135" s="11"/>
      <c r="G135" s="11"/>
      <c r="H135" s="11"/>
      <c r="I135" s="11"/>
      <c r="J135" s="11"/>
      <c r="K135" s="11"/>
      <c r="L135" s="11"/>
      <c r="M135" s="11"/>
      <c r="N135" s="11"/>
      <c r="O135" s="11"/>
    </row>
    <row r="136" customFormat="false" ht="14.25" hidden="false" customHeight="true" outlineLevel="0" collapsed="false">
      <c r="B136" s="17" t="s">
        <v>394</v>
      </c>
      <c r="C136" s="26" t="n">
        <v>0.05</v>
      </c>
      <c r="D136" s="11"/>
      <c r="E136" s="11"/>
      <c r="F136" s="11"/>
      <c r="G136" s="11"/>
      <c r="H136" s="11"/>
      <c r="I136" s="11"/>
      <c r="J136" s="11"/>
      <c r="K136" s="11"/>
      <c r="L136" s="11"/>
      <c r="M136" s="11"/>
      <c r="N136" s="11"/>
      <c r="O136" s="25" t="s">
        <v>395</v>
      </c>
    </row>
    <row r="137" customFormat="false" ht="14.25" hidden="false" customHeight="true" outlineLevel="0" collapsed="false">
      <c r="B137" s="17" t="s">
        <v>396</v>
      </c>
      <c r="C137" s="26" t="n">
        <v>0.07</v>
      </c>
      <c r="D137" s="11"/>
      <c r="E137" s="11"/>
      <c r="F137" s="11"/>
      <c r="G137" s="11"/>
      <c r="H137" s="11"/>
      <c r="I137" s="11"/>
      <c r="J137" s="11"/>
      <c r="K137" s="11"/>
      <c r="L137" s="11"/>
      <c r="M137" s="11"/>
      <c r="N137" s="11"/>
      <c r="O137" s="25" t="s">
        <v>397</v>
      </c>
    </row>
    <row r="138" customFormat="false" ht="14.25" hidden="false" customHeight="true" outlineLevel="0" collapsed="false">
      <c r="B138" s="17" t="s">
        <v>398</v>
      </c>
      <c r="C138" s="26" t="n">
        <v>0.05</v>
      </c>
      <c r="D138" s="11"/>
      <c r="E138" s="11"/>
      <c r="F138" s="11"/>
      <c r="G138" s="11"/>
      <c r="H138" s="11"/>
      <c r="I138" s="11"/>
      <c r="J138" s="11"/>
      <c r="K138" s="11"/>
      <c r="L138" s="11"/>
      <c r="M138" s="11"/>
      <c r="N138" s="11"/>
      <c r="O138" s="25" t="s">
        <v>200</v>
      </c>
    </row>
    <row r="139" customFormat="false" ht="14.25" hidden="false" customHeight="true" outlineLevel="0" collapsed="false">
      <c r="B139" s="17" t="s">
        <v>399</v>
      </c>
      <c r="C139" s="26" t="n">
        <v>0.2</v>
      </c>
      <c r="D139" s="11"/>
      <c r="E139" s="11"/>
      <c r="F139" s="11"/>
      <c r="G139" s="11"/>
      <c r="H139" s="11"/>
      <c r="I139" s="11"/>
      <c r="J139" s="11"/>
      <c r="K139" s="11"/>
      <c r="L139" s="11"/>
      <c r="M139" s="11"/>
      <c r="N139" s="11"/>
      <c r="O139" s="25" t="s">
        <v>400</v>
      </c>
    </row>
    <row r="140" customFormat="false" ht="14.25" hidden="false" customHeight="true" outlineLevel="0" collapsed="false">
      <c r="B140" s="17" t="s">
        <v>401</v>
      </c>
      <c r="C140" s="26" t="n">
        <v>0.1</v>
      </c>
      <c r="D140" s="11"/>
      <c r="E140" s="11"/>
      <c r="F140" s="11"/>
      <c r="G140" s="11"/>
      <c r="H140" s="11"/>
      <c r="I140" s="11"/>
      <c r="J140" s="11"/>
      <c r="K140" s="11"/>
      <c r="L140" s="11"/>
      <c r="M140" s="11"/>
      <c r="N140" s="11"/>
      <c r="O140" s="25" t="s">
        <v>200</v>
      </c>
    </row>
    <row r="141" customFormat="false" ht="14.25" hidden="false" customHeight="true" outlineLevel="0" collapsed="false">
      <c r="B141" s="17" t="s">
        <v>402</v>
      </c>
      <c r="C141" s="26" t="n">
        <v>0.03</v>
      </c>
      <c r="D141" s="11"/>
      <c r="E141" s="11"/>
      <c r="F141" s="11"/>
      <c r="G141" s="11"/>
      <c r="H141" s="11"/>
      <c r="I141" s="11"/>
      <c r="J141" s="11"/>
      <c r="K141" s="11"/>
      <c r="L141" s="11"/>
      <c r="M141" s="11"/>
      <c r="N141" s="11"/>
      <c r="O141" s="25" t="s">
        <v>200</v>
      </c>
    </row>
    <row r="142" customFormat="false" ht="14.25" hidden="false" customHeight="true" outlineLevel="0" collapsed="false">
      <c r="B142" s="17" t="s">
        <v>403</v>
      </c>
      <c r="C142" s="28" t="n">
        <v>10.4</v>
      </c>
      <c r="D142" s="11" t="s">
        <v>404</v>
      </c>
      <c r="E142" s="11"/>
      <c r="F142" s="11"/>
      <c r="G142" s="11"/>
      <c r="H142" s="11"/>
      <c r="I142" s="11"/>
      <c r="J142" s="11"/>
      <c r="K142" s="11"/>
      <c r="L142" s="11"/>
      <c r="M142" s="11"/>
      <c r="N142" s="11"/>
      <c r="O142" s="25" t="s">
        <v>405</v>
      </c>
    </row>
    <row r="143" customFormat="false" ht="14.25" hidden="false" customHeight="true" outlineLevel="0" collapsed="false">
      <c r="B143" s="17" t="s">
        <v>406</v>
      </c>
      <c r="C143" s="24" t="n">
        <v>10</v>
      </c>
      <c r="D143" s="11"/>
      <c r="E143" s="11"/>
      <c r="F143" s="11"/>
      <c r="G143" s="11"/>
      <c r="H143" s="11"/>
      <c r="I143" s="11"/>
      <c r="J143" s="11"/>
      <c r="K143" s="11"/>
      <c r="L143" s="11"/>
      <c r="M143" s="11"/>
      <c r="N143" s="11"/>
      <c r="O143" s="25" t="s">
        <v>407</v>
      </c>
    </row>
    <row r="144" customFormat="false" ht="14.25" hidden="false" customHeight="true" outlineLevel="0" collapsed="false">
      <c r="A144" s="22" t="s">
        <v>11</v>
      </c>
      <c r="B144" s="23" t="s">
        <v>408</v>
      </c>
      <c r="C144" s="11"/>
      <c r="D144" s="11"/>
      <c r="E144" s="11"/>
      <c r="F144" s="11"/>
      <c r="G144" s="11"/>
      <c r="H144" s="11"/>
      <c r="I144" s="11"/>
      <c r="J144" s="11"/>
      <c r="K144" s="11"/>
      <c r="L144" s="11"/>
      <c r="M144" s="11"/>
      <c r="N144" s="11"/>
      <c r="O144" s="11"/>
    </row>
    <row r="145" customFormat="false" ht="14.25" hidden="false" customHeight="true" outlineLevel="0" collapsed="false">
      <c r="B145" s="17" t="s">
        <v>409</v>
      </c>
      <c r="C145" s="24" t="n">
        <v>2350.79</v>
      </c>
      <c r="D145" s="11"/>
      <c r="E145" s="11"/>
      <c r="F145" s="11"/>
      <c r="G145" s="11"/>
      <c r="H145" s="11"/>
      <c r="I145" s="11"/>
      <c r="J145" s="11"/>
      <c r="K145" s="11"/>
      <c r="L145" s="11"/>
      <c r="M145" s="11"/>
      <c r="N145" s="11"/>
      <c r="O145" s="25" t="s">
        <v>410</v>
      </c>
    </row>
    <row r="146" customFormat="false" ht="14.25" hidden="false" customHeight="true" outlineLevel="0" collapsed="false">
      <c r="B146" s="17" t="s">
        <v>411</v>
      </c>
      <c r="C146" s="24" t="n">
        <v>2427.52</v>
      </c>
      <c r="D146" s="11"/>
      <c r="E146" s="11"/>
      <c r="F146" s="11"/>
      <c r="G146" s="11"/>
      <c r="H146" s="11"/>
      <c r="I146" s="11"/>
      <c r="J146" s="11"/>
      <c r="K146" s="11"/>
      <c r="L146" s="11"/>
      <c r="M146" s="11"/>
      <c r="N146" s="11"/>
      <c r="O146" s="25" t="s">
        <v>412</v>
      </c>
    </row>
    <row r="147" customFormat="false" ht="14.25" hidden="false" customHeight="true" outlineLevel="0" collapsed="false">
      <c r="B147" s="17" t="s">
        <v>413</v>
      </c>
      <c r="C147" s="28" t="n">
        <v>10.228</v>
      </c>
      <c r="D147" s="11"/>
      <c r="E147" s="11"/>
      <c r="F147" s="11"/>
      <c r="G147" s="11"/>
      <c r="H147" s="11"/>
      <c r="I147" s="11"/>
      <c r="J147" s="11"/>
      <c r="K147" s="11"/>
      <c r="L147" s="11"/>
      <c r="M147" s="11"/>
      <c r="N147" s="11"/>
      <c r="O147" s="25" t="s">
        <v>412</v>
      </c>
    </row>
    <row r="148" customFormat="false" ht="14.25" hidden="false" customHeight="true" outlineLevel="0" collapsed="false">
      <c r="B148" s="17" t="s">
        <v>414</v>
      </c>
      <c r="C148" s="28" t="n">
        <v>11.271</v>
      </c>
      <c r="D148" s="11"/>
      <c r="E148" s="11"/>
      <c r="F148" s="11"/>
      <c r="G148" s="11"/>
      <c r="H148" s="11"/>
      <c r="I148" s="11"/>
      <c r="J148" s="11"/>
      <c r="K148" s="11"/>
      <c r="L148" s="11"/>
      <c r="M148" s="11"/>
      <c r="N148" s="11"/>
      <c r="O148" s="25" t="s">
        <v>412</v>
      </c>
    </row>
    <row r="149" customFormat="false" ht="14.25" hidden="false" customHeight="true" outlineLevel="0" collapsed="false">
      <c r="B149" s="17" t="s">
        <v>415</v>
      </c>
      <c r="C149" s="24" t="n">
        <v>13284</v>
      </c>
      <c r="D149" s="11"/>
      <c r="E149" s="11"/>
      <c r="F149" s="11"/>
      <c r="G149" s="11"/>
      <c r="H149" s="11"/>
      <c r="I149" s="11"/>
      <c r="J149" s="11"/>
      <c r="K149" s="11"/>
      <c r="L149" s="11"/>
      <c r="M149" s="11"/>
      <c r="N149" s="11"/>
      <c r="O149" s="25" t="s">
        <v>412</v>
      </c>
    </row>
    <row r="150" customFormat="false" ht="14.25" hidden="false" customHeight="true" outlineLevel="0" collapsed="false">
      <c r="A150" s="22" t="s">
        <v>11</v>
      </c>
      <c r="B150" s="10" t="s">
        <v>416</v>
      </c>
      <c r="C150" s="11"/>
      <c r="D150" s="11"/>
      <c r="E150" s="11"/>
      <c r="F150" s="11"/>
      <c r="G150" s="11"/>
      <c r="H150" s="11"/>
      <c r="I150" s="11"/>
      <c r="J150" s="11"/>
      <c r="K150" s="11"/>
      <c r="L150" s="11"/>
      <c r="M150" s="11"/>
      <c r="N150" s="11"/>
      <c r="O150" s="11"/>
    </row>
    <row r="151" customFormat="false" ht="14.25" hidden="false" customHeight="true" outlineLevel="0" collapsed="false">
      <c r="B151" s="27" t="s">
        <v>417</v>
      </c>
      <c r="C151" s="31" t="n">
        <v>-391.5</v>
      </c>
      <c r="D151" s="11"/>
      <c r="E151" s="11"/>
      <c r="F151" s="11"/>
      <c r="G151" s="11"/>
      <c r="H151" s="11"/>
      <c r="I151" s="11"/>
      <c r="J151" s="11"/>
      <c r="K151" s="11"/>
      <c r="L151" s="11"/>
      <c r="M151" s="11"/>
      <c r="N151" s="11"/>
      <c r="O151" s="11" t="s">
        <v>418</v>
      </c>
    </row>
    <row r="152" customFormat="false" ht="14.25" hidden="false" customHeight="true" outlineLevel="0" collapsed="false">
      <c r="B152" s="27" t="s">
        <v>419</v>
      </c>
      <c r="C152" s="32" t="n">
        <f aca="false">C172-C173</f>
        <v>918.4</v>
      </c>
      <c r="D152" s="11"/>
      <c r="E152" s="11"/>
      <c r="F152" s="11"/>
      <c r="G152" s="11"/>
      <c r="H152" s="11"/>
      <c r="I152" s="11"/>
      <c r="J152" s="11"/>
      <c r="K152" s="11"/>
      <c r="L152" s="11"/>
      <c r="M152" s="11"/>
      <c r="N152" s="11"/>
      <c r="O152" s="11" t="s">
        <v>420</v>
      </c>
    </row>
    <row r="153" customFormat="false" ht="14.25" hidden="false" customHeight="true" outlineLevel="0" collapsed="false">
      <c r="B153" s="27" t="s">
        <v>421</v>
      </c>
      <c r="C153" s="33" t="n">
        <v>-0.1</v>
      </c>
      <c r="D153" s="11"/>
      <c r="E153" s="11"/>
      <c r="F153" s="11"/>
      <c r="G153" s="11"/>
      <c r="H153" s="11"/>
      <c r="I153" s="11"/>
      <c r="J153" s="11"/>
      <c r="K153" s="11"/>
      <c r="L153" s="11"/>
      <c r="M153" s="11"/>
      <c r="N153" s="11"/>
      <c r="O153" s="11" t="s">
        <v>422</v>
      </c>
    </row>
    <row r="154" customFormat="false" ht="14.25" hidden="false" customHeight="true" outlineLevel="0" collapsed="false">
      <c r="B154" s="27" t="s">
        <v>423</v>
      </c>
      <c r="C154" s="33" t="n">
        <v>-0.05</v>
      </c>
      <c r="D154" s="11"/>
      <c r="E154" s="11"/>
      <c r="F154" s="11"/>
      <c r="G154" s="11"/>
      <c r="H154" s="11"/>
      <c r="I154" s="11"/>
      <c r="J154" s="11"/>
      <c r="K154" s="11"/>
      <c r="L154" s="11"/>
      <c r="M154" s="11"/>
      <c r="N154" s="11"/>
      <c r="O154" s="11" t="s">
        <v>422</v>
      </c>
    </row>
    <row r="155" customFormat="false" ht="14.25" hidden="false" customHeight="true" outlineLevel="0" collapsed="false">
      <c r="B155" s="27" t="s">
        <v>424</v>
      </c>
      <c r="C155" s="31" t="n">
        <v>0</v>
      </c>
      <c r="D155" s="11"/>
      <c r="E155" s="11"/>
      <c r="F155" s="11"/>
      <c r="G155" s="11"/>
      <c r="H155" s="11"/>
      <c r="I155" s="11"/>
      <c r="J155" s="11"/>
      <c r="K155" s="11"/>
      <c r="L155" s="11"/>
      <c r="M155" s="11"/>
      <c r="N155" s="11"/>
      <c r="O155" s="11" t="s">
        <v>422</v>
      </c>
    </row>
    <row r="156" customFormat="false" ht="14.25" hidden="false" customHeight="true" outlineLevel="0" collapsed="false">
      <c r="B156" s="27" t="s">
        <v>425</v>
      </c>
      <c r="C156" s="33" t="n">
        <v>0.05</v>
      </c>
      <c r="D156" s="11"/>
      <c r="E156" s="11"/>
      <c r="F156" s="11"/>
      <c r="G156" s="11"/>
      <c r="H156" s="11"/>
      <c r="I156" s="11"/>
      <c r="J156" s="11"/>
      <c r="K156" s="11"/>
      <c r="L156" s="11"/>
      <c r="M156" s="11"/>
      <c r="N156" s="11"/>
      <c r="O156" s="11" t="s">
        <v>422</v>
      </c>
    </row>
    <row r="157" customFormat="false" ht="14.25" hidden="false" customHeight="true" outlineLevel="0" collapsed="false">
      <c r="B157" s="27" t="s">
        <v>426</v>
      </c>
      <c r="C157" s="33" t="n">
        <v>0.1</v>
      </c>
      <c r="D157" s="11"/>
      <c r="E157" s="11"/>
      <c r="F157" s="11"/>
      <c r="G157" s="11"/>
      <c r="H157" s="11"/>
      <c r="I157" s="11"/>
      <c r="J157" s="11"/>
      <c r="K157" s="11"/>
      <c r="L157" s="11"/>
      <c r="M157" s="11"/>
      <c r="N157" s="11"/>
      <c r="O157" s="11" t="s">
        <v>422</v>
      </c>
    </row>
    <row r="158" customFormat="false" ht="14.25" hidden="false" customHeight="true" outlineLevel="0" collapsed="false">
      <c r="B158" s="27" t="s">
        <v>427</v>
      </c>
      <c r="C158" s="33" t="n">
        <v>0.15</v>
      </c>
      <c r="D158" s="11"/>
      <c r="E158" s="11"/>
      <c r="F158" s="11"/>
      <c r="G158" s="11"/>
      <c r="H158" s="11"/>
      <c r="I158" s="11"/>
      <c r="J158" s="11"/>
      <c r="K158" s="11"/>
      <c r="L158" s="11"/>
      <c r="M158" s="11"/>
      <c r="N158" s="11"/>
      <c r="O158" s="11" t="s">
        <v>422</v>
      </c>
    </row>
    <row r="159" customFormat="false" ht="14.25" hidden="false" customHeight="true" outlineLevel="0" collapsed="false">
      <c r="B159" s="27" t="s">
        <v>428</v>
      </c>
      <c r="C159" s="33" t="n">
        <v>0.2</v>
      </c>
      <c r="D159" s="11"/>
      <c r="E159" s="11"/>
      <c r="F159" s="11"/>
      <c r="G159" s="11"/>
      <c r="H159" s="11"/>
      <c r="I159" s="11"/>
      <c r="J159" s="11"/>
      <c r="K159" s="11"/>
      <c r="L159" s="11"/>
      <c r="M159" s="11"/>
      <c r="N159" s="11"/>
      <c r="O159" s="11" t="s">
        <v>422</v>
      </c>
    </row>
    <row r="160" customFormat="false" ht="14.25" hidden="false" customHeight="true" outlineLevel="0" collapsed="false">
      <c r="B160" s="27" t="s">
        <v>429</v>
      </c>
      <c r="C160" s="33" t="n">
        <v>0.048</v>
      </c>
      <c r="D160" s="11"/>
      <c r="E160" s="11"/>
      <c r="F160" s="11"/>
      <c r="G160" s="11"/>
      <c r="H160" s="11"/>
      <c r="I160" s="11"/>
      <c r="J160" s="11"/>
      <c r="K160" s="11"/>
      <c r="L160" s="11"/>
      <c r="M160" s="11"/>
      <c r="N160" s="11"/>
      <c r="O160" s="11" t="s">
        <v>422</v>
      </c>
    </row>
    <row r="161" customFormat="false" ht="14.25" hidden="false" customHeight="true" outlineLevel="0" collapsed="false">
      <c r="B161" s="27" t="s">
        <v>430</v>
      </c>
      <c r="C161" s="33" t="n">
        <v>0.053</v>
      </c>
      <c r="D161" s="11"/>
      <c r="E161" s="11"/>
      <c r="F161" s="11"/>
      <c r="G161" s="11"/>
      <c r="H161" s="11"/>
      <c r="I161" s="11"/>
      <c r="J161" s="11"/>
      <c r="K161" s="11"/>
      <c r="L161" s="11"/>
      <c r="M161" s="11"/>
      <c r="N161" s="11"/>
      <c r="O161" s="11" t="s">
        <v>422</v>
      </c>
    </row>
    <row r="162" customFormat="false" ht="14.25" hidden="false" customHeight="true" outlineLevel="0" collapsed="false">
      <c r="B162" s="27" t="s">
        <v>431</v>
      </c>
      <c r="C162" s="33" t="n">
        <v>0.058</v>
      </c>
      <c r="D162" s="11"/>
      <c r="E162" s="11"/>
      <c r="F162" s="11"/>
      <c r="G162" s="11"/>
      <c r="H162" s="11"/>
      <c r="I162" s="11"/>
      <c r="J162" s="11"/>
      <c r="K162" s="11"/>
      <c r="L162" s="11"/>
      <c r="M162" s="11"/>
      <c r="N162" s="11"/>
      <c r="O162" s="11" t="s">
        <v>422</v>
      </c>
    </row>
    <row r="163" customFormat="false" ht="14.25" hidden="false" customHeight="true" outlineLevel="0" collapsed="false">
      <c r="B163" s="27" t="s">
        <v>432</v>
      </c>
      <c r="C163" s="33" t="n">
        <v>0.06</v>
      </c>
      <c r="D163" s="11"/>
      <c r="E163" s="11"/>
      <c r="F163" s="11"/>
      <c r="G163" s="11"/>
      <c r="H163" s="11"/>
      <c r="I163" s="11"/>
      <c r="J163" s="11"/>
      <c r="K163" s="11"/>
      <c r="L163" s="11"/>
      <c r="M163" s="11"/>
      <c r="N163" s="11"/>
      <c r="O163" s="11" t="s">
        <v>422</v>
      </c>
    </row>
    <row r="164" customFormat="false" ht="14.25" hidden="false" customHeight="true" outlineLevel="0" collapsed="false">
      <c r="B164" s="27" t="s">
        <v>433</v>
      </c>
      <c r="C164" s="33" t="n">
        <v>0.065</v>
      </c>
      <c r="D164" s="11"/>
      <c r="E164" s="11"/>
      <c r="F164" s="11"/>
      <c r="G164" s="11"/>
      <c r="H164" s="11"/>
      <c r="I164" s="11"/>
      <c r="J164" s="11"/>
      <c r="K164" s="11"/>
      <c r="L164" s="11"/>
      <c r="M164" s="11"/>
      <c r="N164" s="11"/>
      <c r="O164" s="11" t="s">
        <v>422</v>
      </c>
    </row>
    <row r="165" customFormat="false" ht="14.25" hidden="false" customHeight="true" outlineLevel="0" collapsed="false">
      <c r="B165" s="27" t="s">
        <v>434</v>
      </c>
      <c r="C165" s="33" t="n">
        <v>0.07</v>
      </c>
      <c r="D165" s="11"/>
      <c r="E165" s="11"/>
      <c r="F165" s="11"/>
      <c r="G165" s="11"/>
      <c r="H165" s="11"/>
      <c r="I165" s="11"/>
      <c r="J165" s="11"/>
      <c r="K165" s="11"/>
      <c r="L165" s="11"/>
      <c r="M165" s="11"/>
      <c r="N165" s="11"/>
      <c r="O165" s="11" t="s">
        <v>422</v>
      </c>
    </row>
    <row r="166" customFormat="false" ht="14.25" hidden="false" customHeight="true" outlineLevel="0" collapsed="false">
      <c r="B166" s="27" t="s">
        <v>435</v>
      </c>
      <c r="C166" s="33" t="n">
        <v>0.075</v>
      </c>
      <c r="D166" s="11"/>
      <c r="E166" s="11"/>
      <c r="F166" s="11"/>
      <c r="G166" s="11"/>
      <c r="H166" s="11"/>
      <c r="I166" s="11"/>
      <c r="J166" s="11"/>
      <c r="K166" s="11"/>
      <c r="L166" s="11"/>
      <c r="M166" s="11"/>
      <c r="N166" s="11"/>
      <c r="O166" s="11" t="s">
        <v>422</v>
      </c>
    </row>
    <row r="167" customFormat="false" ht="14.25" hidden="false" customHeight="true" outlineLevel="0" collapsed="false">
      <c r="A167" s="22" t="s">
        <v>11</v>
      </c>
      <c r="B167" s="10" t="s">
        <v>436</v>
      </c>
      <c r="C167" s="11"/>
      <c r="D167" s="11"/>
      <c r="E167" s="11"/>
      <c r="F167" s="11"/>
      <c r="G167" s="11"/>
      <c r="H167" s="11"/>
      <c r="I167" s="11"/>
      <c r="J167" s="11"/>
      <c r="K167" s="11"/>
      <c r="L167" s="11"/>
      <c r="M167" s="11"/>
      <c r="N167" s="11"/>
      <c r="O167" s="11"/>
    </row>
    <row r="168" customFormat="false" ht="14.25" hidden="false" customHeight="true" outlineLevel="0" collapsed="false">
      <c r="B168" s="11" t="s">
        <v>437</v>
      </c>
      <c r="C168" s="31" t="n">
        <v>9616.5</v>
      </c>
      <c r="D168" s="11"/>
      <c r="E168" s="11"/>
      <c r="F168" s="11"/>
      <c r="G168" s="11"/>
      <c r="H168" s="11"/>
      <c r="I168" s="11"/>
      <c r="J168" s="11"/>
      <c r="K168" s="11"/>
      <c r="L168" s="11"/>
      <c r="M168" s="11"/>
      <c r="N168" s="11"/>
      <c r="O168" s="11" t="s">
        <v>438</v>
      </c>
    </row>
    <row r="169" customFormat="false" ht="14.25" hidden="false" customHeight="true" outlineLevel="0" collapsed="false">
      <c r="B169" s="11" t="s">
        <v>439</v>
      </c>
      <c r="C169" s="31" t="n">
        <v>2672.8</v>
      </c>
      <c r="D169" s="11"/>
      <c r="E169" s="11"/>
      <c r="F169" s="11"/>
      <c r="G169" s="11"/>
      <c r="H169" s="11"/>
      <c r="I169" s="11"/>
      <c r="J169" s="11"/>
      <c r="K169" s="11"/>
      <c r="L169" s="11"/>
      <c r="M169" s="11"/>
      <c r="N169" s="11"/>
      <c r="O169" s="11" t="s">
        <v>440</v>
      </c>
    </row>
    <row r="170" customFormat="false" ht="14.25" hidden="false" customHeight="true" outlineLevel="0" collapsed="false">
      <c r="B170" s="11" t="s">
        <v>441</v>
      </c>
      <c r="C170" s="33" t="n">
        <v>0.0463</v>
      </c>
      <c r="D170" s="11"/>
      <c r="E170" s="11"/>
      <c r="F170" s="11"/>
      <c r="G170" s="11"/>
      <c r="H170" s="11"/>
      <c r="I170" s="11"/>
      <c r="J170" s="11"/>
      <c r="K170" s="11"/>
      <c r="L170" s="11"/>
      <c r="M170" s="11"/>
      <c r="N170" s="11"/>
      <c r="O170" s="11" t="s">
        <v>442</v>
      </c>
    </row>
    <row r="171" customFormat="false" ht="14.25" hidden="false" customHeight="true" outlineLevel="0" collapsed="false">
      <c r="B171" s="11" t="s">
        <v>443</v>
      </c>
      <c r="C171" s="33" t="n">
        <v>0.0525</v>
      </c>
      <c r="D171" s="11"/>
      <c r="E171" s="11"/>
      <c r="F171" s="11"/>
      <c r="G171" s="11"/>
      <c r="H171" s="11"/>
      <c r="I171" s="11"/>
      <c r="J171" s="11"/>
      <c r="K171" s="11"/>
      <c r="L171" s="11"/>
      <c r="M171" s="11"/>
      <c r="N171" s="11"/>
      <c r="O171" s="11" t="s">
        <v>444</v>
      </c>
    </row>
    <row r="172" customFormat="false" ht="14.25" hidden="false" customHeight="true" outlineLevel="0" collapsed="false">
      <c r="B172" s="11" t="s">
        <v>445</v>
      </c>
      <c r="C172" s="32" t="n">
        <f aca="false">C169</f>
        <v>2672.8</v>
      </c>
      <c r="D172" s="11"/>
      <c r="E172" s="11"/>
      <c r="F172" s="11"/>
      <c r="G172" s="11"/>
      <c r="H172" s="11"/>
      <c r="I172" s="11"/>
      <c r="J172" s="11"/>
      <c r="K172" s="11"/>
      <c r="L172" s="11"/>
      <c r="M172" s="11"/>
      <c r="N172" s="11"/>
      <c r="O172" s="11" t="s">
        <v>446</v>
      </c>
    </row>
    <row r="173" customFormat="false" ht="14.25" hidden="false" customHeight="true" outlineLevel="0" collapsed="false">
      <c r="B173" s="11" t="s">
        <v>447</v>
      </c>
      <c r="C173" s="31" t="n">
        <v>1754.4</v>
      </c>
      <c r="D173" s="11"/>
      <c r="E173" s="11"/>
      <c r="F173" s="11"/>
      <c r="G173" s="11"/>
      <c r="H173" s="11"/>
      <c r="I173" s="11"/>
      <c r="J173" s="11"/>
      <c r="K173" s="11"/>
      <c r="L173" s="11"/>
      <c r="M173" s="11"/>
      <c r="N173" s="11"/>
      <c r="O173" s="11" t="s">
        <v>448</v>
      </c>
    </row>
    <row r="174" customFormat="false" ht="14.25" hidden="false" customHeight="true" outlineLevel="0" collapsed="false">
      <c r="B174" s="11" t="s">
        <v>449</v>
      </c>
      <c r="C174" s="31" t="n">
        <v>50</v>
      </c>
      <c r="D174" s="11"/>
      <c r="E174" s="11"/>
      <c r="F174" s="11"/>
      <c r="G174" s="11"/>
      <c r="H174" s="11"/>
      <c r="I174" s="11"/>
      <c r="J174" s="11"/>
      <c r="K174" s="11"/>
      <c r="L174" s="11"/>
      <c r="M174" s="11"/>
      <c r="N174" s="11"/>
      <c r="O174" s="11" t="s">
        <v>450</v>
      </c>
    </row>
    <row r="175" customFormat="false" ht="14.25" hidden="false" customHeight="true" outlineLevel="0" collapsed="false">
      <c r="B175" s="11" t="s">
        <v>451</v>
      </c>
      <c r="C175" s="33" t="n">
        <f aca="false">1-Drivers!$C$251</f>
        <v>0.66465</v>
      </c>
      <c r="D175" s="11" t="s">
        <v>452</v>
      </c>
      <c r="E175" s="11"/>
      <c r="F175" s="11"/>
      <c r="G175" s="11"/>
      <c r="H175" s="11"/>
      <c r="I175" s="11"/>
      <c r="J175" s="11"/>
      <c r="K175" s="11"/>
      <c r="L175" s="11"/>
      <c r="M175" s="11"/>
      <c r="N175" s="11"/>
      <c r="O175" s="11" t="s">
        <v>453</v>
      </c>
    </row>
    <row r="176" customFormat="false" ht="14.25" hidden="false" customHeight="true" outlineLevel="0" collapsed="false">
      <c r="B176" s="11" t="s">
        <v>454</v>
      </c>
      <c r="C176" s="34" t="n">
        <f aca="false">CHOOSE(Drivers!$C$736,Drivers!$D$754,Drivers!$E$754,Drivers!$F$754)</f>
        <v>0.25</v>
      </c>
      <c r="D176" s="11" t="s">
        <v>455</v>
      </c>
      <c r="E176" s="11"/>
      <c r="F176" s="11"/>
      <c r="G176" s="11"/>
      <c r="H176" s="11"/>
      <c r="I176" s="11"/>
      <c r="J176" s="11"/>
      <c r="K176" s="11"/>
      <c r="L176" s="11"/>
      <c r="M176" s="11"/>
      <c r="N176" s="11"/>
      <c r="O176" s="11" t="s">
        <v>456</v>
      </c>
    </row>
    <row r="177" customFormat="false" ht="14.25" hidden="false" customHeight="true" outlineLevel="0" collapsed="false">
      <c r="B177" s="11"/>
      <c r="C177" s="11"/>
      <c r="D177" s="11"/>
      <c r="E177" s="11"/>
      <c r="F177" s="11"/>
      <c r="G177" s="11"/>
      <c r="H177" s="11"/>
      <c r="I177" s="11"/>
      <c r="J177" s="11"/>
      <c r="K177" s="11"/>
      <c r="L177" s="11"/>
      <c r="M177" s="11"/>
      <c r="N177" s="11"/>
      <c r="O177" s="11"/>
    </row>
    <row r="178" customFormat="false" ht="14.25" hidden="false" customHeight="true" outlineLevel="0" collapsed="false">
      <c r="A178" s="22" t="s">
        <v>11</v>
      </c>
      <c r="B178" s="10" t="s">
        <v>457</v>
      </c>
      <c r="C178" s="11"/>
      <c r="D178" s="11"/>
      <c r="E178" s="11"/>
      <c r="F178" s="11"/>
      <c r="G178" s="11"/>
      <c r="H178" s="11"/>
      <c r="I178" s="11"/>
      <c r="J178" s="11"/>
      <c r="K178" s="11"/>
      <c r="L178" s="11"/>
      <c r="M178" s="11"/>
      <c r="N178" s="11"/>
      <c r="O178" s="11"/>
    </row>
    <row r="179" customFormat="false" ht="14.25" hidden="false" customHeight="true" outlineLevel="0" collapsed="false">
      <c r="B179" s="11" t="s">
        <v>458</v>
      </c>
      <c r="C179" s="31" t="n">
        <v>162.78</v>
      </c>
      <c r="D179" s="11" t="s">
        <v>459</v>
      </c>
      <c r="E179" s="11"/>
      <c r="F179" s="11"/>
      <c r="G179" s="11"/>
      <c r="H179" s="11"/>
      <c r="I179" s="11"/>
      <c r="J179" s="11"/>
      <c r="K179" s="11"/>
      <c r="L179" s="11"/>
      <c r="M179" s="11"/>
      <c r="N179" s="11"/>
      <c r="O179" s="11" t="s">
        <v>460</v>
      </c>
    </row>
    <row r="180" customFormat="false" ht="14.25" hidden="false" customHeight="true" outlineLevel="0" collapsed="false">
      <c r="B180" s="11" t="s">
        <v>461</v>
      </c>
      <c r="C180" s="11" t="s">
        <v>462</v>
      </c>
      <c r="D180" s="11" t="s">
        <v>463</v>
      </c>
      <c r="E180" s="11"/>
      <c r="F180" s="11"/>
      <c r="G180" s="11"/>
      <c r="H180" s="11"/>
      <c r="I180" s="11"/>
      <c r="J180" s="11"/>
      <c r="K180" s="11"/>
      <c r="L180" s="11"/>
      <c r="M180" s="11"/>
      <c r="N180" s="11"/>
      <c r="O180" s="11" t="s">
        <v>464</v>
      </c>
    </row>
    <row r="181" customFormat="false" ht="14.25" hidden="false" customHeight="true" outlineLevel="0" collapsed="false">
      <c r="B181" s="11" t="s">
        <v>465</v>
      </c>
      <c r="C181" s="33" t="n">
        <v>0.01517</v>
      </c>
      <c r="D181" s="11"/>
      <c r="E181" s="11"/>
      <c r="F181" s="11"/>
      <c r="G181" s="11"/>
      <c r="H181" s="11"/>
      <c r="I181" s="11"/>
      <c r="J181" s="11"/>
      <c r="K181" s="11"/>
      <c r="L181" s="11"/>
      <c r="M181" s="11"/>
      <c r="N181" s="11"/>
      <c r="O181" s="11" t="s">
        <v>466</v>
      </c>
    </row>
    <row r="182" customFormat="false" ht="14.25" hidden="false" customHeight="true" outlineLevel="0" collapsed="false">
      <c r="B182" s="11"/>
      <c r="C182" s="11"/>
      <c r="D182" s="11"/>
      <c r="E182" s="11"/>
      <c r="F182" s="11"/>
      <c r="G182" s="11"/>
      <c r="H182" s="11"/>
      <c r="I182" s="11"/>
      <c r="J182" s="11"/>
      <c r="K182" s="11"/>
      <c r="L182" s="11"/>
      <c r="M182" s="11"/>
      <c r="N182" s="11"/>
      <c r="O182" s="11"/>
    </row>
    <row r="183" customFormat="false" ht="14.25" hidden="false" customHeight="true" outlineLevel="0" collapsed="false">
      <c r="B183" s="35" t="s">
        <v>467</v>
      </c>
      <c r="C183" s="36" t="n">
        <v>7.566236</v>
      </c>
      <c r="D183" s="11"/>
      <c r="E183" s="11"/>
      <c r="F183" s="11"/>
      <c r="G183" s="11"/>
      <c r="H183" s="11"/>
      <c r="I183" s="11"/>
      <c r="J183" s="11"/>
      <c r="K183" s="11"/>
      <c r="L183" s="11"/>
      <c r="M183" s="11"/>
      <c r="N183" s="11"/>
      <c r="O183" s="11" t="s">
        <v>468</v>
      </c>
    </row>
    <row r="184" customFormat="false" ht="14.25" hidden="false" customHeight="true" outlineLevel="0" collapsed="false">
      <c r="B184" s="35" t="s">
        <v>469</v>
      </c>
      <c r="C184" s="36" t="n">
        <v>8.775444</v>
      </c>
      <c r="D184" s="11"/>
      <c r="E184" s="11"/>
      <c r="F184" s="11"/>
      <c r="G184" s="11"/>
      <c r="H184" s="11"/>
      <c r="I184" s="11"/>
      <c r="J184" s="11"/>
      <c r="K184" s="11"/>
      <c r="L184" s="11"/>
      <c r="M184" s="11"/>
      <c r="N184" s="11"/>
      <c r="O184" s="11" t="s">
        <v>470</v>
      </c>
    </row>
    <row r="185" customFormat="false" ht="14.25" hidden="false" customHeight="true" outlineLevel="0" collapsed="false">
      <c r="B185" s="35" t="s">
        <v>471</v>
      </c>
      <c r="C185" s="36" t="n">
        <v>12.58427</v>
      </c>
      <c r="D185" s="11"/>
      <c r="E185" s="11"/>
      <c r="F185" s="11"/>
      <c r="G185" s="11"/>
      <c r="H185" s="11"/>
      <c r="I185" s="11"/>
      <c r="J185" s="11"/>
      <c r="K185" s="11"/>
      <c r="L185" s="11"/>
      <c r="M185" s="11"/>
      <c r="N185" s="11"/>
      <c r="O185" s="11" t="s">
        <v>472</v>
      </c>
    </row>
    <row r="186" customFormat="false" ht="14.25" hidden="false" customHeight="true" outlineLevel="0" collapsed="false">
      <c r="B186" s="35" t="s">
        <v>473</v>
      </c>
      <c r="C186" s="36" t="n">
        <v>13.786813</v>
      </c>
      <c r="D186" s="11"/>
      <c r="E186" s="11"/>
      <c r="F186" s="11"/>
      <c r="G186" s="11"/>
      <c r="H186" s="11"/>
      <c r="I186" s="11"/>
      <c r="J186" s="11"/>
      <c r="K186" s="11"/>
      <c r="L186" s="11"/>
      <c r="M186" s="11"/>
      <c r="N186" s="11"/>
      <c r="O186" s="11" t="s">
        <v>474</v>
      </c>
    </row>
    <row r="187" customFormat="false" ht="14.25" hidden="false" customHeight="true" outlineLevel="0" collapsed="false">
      <c r="B187" s="11"/>
      <c r="C187" s="11"/>
      <c r="D187" s="11"/>
      <c r="E187" s="11"/>
      <c r="F187" s="11"/>
      <c r="G187" s="11"/>
      <c r="H187" s="11"/>
      <c r="I187" s="11"/>
      <c r="J187" s="11"/>
      <c r="K187" s="11"/>
      <c r="L187" s="11"/>
      <c r="M187" s="11"/>
      <c r="N187" s="11"/>
      <c r="O187" s="11"/>
    </row>
    <row r="188" customFormat="false" ht="14.25" hidden="false" customHeight="true" outlineLevel="0" collapsed="false">
      <c r="B188" s="35" t="s">
        <v>475</v>
      </c>
      <c r="C188" s="36" t="n">
        <v>1.20936</v>
      </c>
      <c r="D188" s="11"/>
      <c r="E188" s="11"/>
      <c r="F188" s="11"/>
      <c r="G188" s="11"/>
      <c r="H188" s="11"/>
      <c r="I188" s="11"/>
      <c r="J188" s="11"/>
      <c r="K188" s="11"/>
      <c r="L188" s="11"/>
      <c r="M188" s="11"/>
      <c r="N188" s="11"/>
      <c r="O188" s="11" t="s">
        <v>476</v>
      </c>
    </row>
    <row r="189" customFormat="false" ht="14.25" hidden="false" customHeight="true" outlineLevel="0" collapsed="false">
      <c r="B189" s="35" t="s">
        <v>477</v>
      </c>
      <c r="C189" s="36" t="n">
        <v>1.74843</v>
      </c>
      <c r="D189" s="11"/>
      <c r="E189" s="11"/>
      <c r="F189" s="11"/>
      <c r="G189" s="11"/>
      <c r="H189" s="11"/>
      <c r="I189" s="11"/>
      <c r="J189" s="11"/>
      <c r="K189" s="11"/>
      <c r="L189" s="11"/>
      <c r="M189" s="11"/>
      <c r="N189" s="11"/>
      <c r="O189" s="11" t="s">
        <v>478</v>
      </c>
    </row>
    <row r="190" customFormat="false" ht="14.25" hidden="false" customHeight="true" outlineLevel="0" collapsed="false">
      <c r="B190" s="35" t="s">
        <v>479</v>
      </c>
      <c r="C190" s="36" t="n">
        <v>1.952236</v>
      </c>
      <c r="D190" s="11"/>
      <c r="E190" s="11"/>
      <c r="F190" s="11"/>
      <c r="G190" s="11"/>
      <c r="H190" s="11"/>
      <c r="I190" s="11"/>
      <c r="J190" s="11"/>
      <c r="K190" s="11"/>
      <c r="L190" s="11"/>
      <c r="M190" s="11"/>
      <c r="N190" s="11"/>
      <c r="O190" s="11" t="s">
        <v>480</v>
      </c>
    </row>
    <row r="191" customFormat="false" ht="14.25" hidden="false" customHeight="true" outlineLevel="0" collapsed="false">
      <c r="B191" s="35" t="s">
        <v>481</v>
      </c>
      <c r="C191" s="33" t="n">
        <v>0.822444</v>
      </c>
      <c r="D191" s="11"/>
      <c r="E191" s="11"/>
      <c r="F191" s="11"/>
      <c r="G191" s="11"/>
      <c r="H191" s="11"/>
      <c r="I191" s="11"/>
      <c r="J191" s="11"/>
      <c r="K191" s="11"/>
      <c r="L191" s="11"/>
      <c r="M191" s="11"/>
      <c r="N191" s="11"/>
      <c r="O191" s="11" t="s">
        <v>482</v>
      </c>
    </row>
    <row r="192" customFormat="false" ht="14.25" hidden="false" customHeight="true" outlineLevel="0" collapsed="false">
      <c r="B192" s="11"/>
      <c r="C192" s="11"/>
      <c r="D192" s="11"/>
      <c r="E192" s="11"/>
      <c r="F192" s="11"/>
      <c r="G192" s="11"/>
      <c r="H192" s="11"/>
      <c r="I192" s="11"/>
      <c r="J192" s="11"/>
      <c r="K192" s="11"/>
      <c r="L192" s="11"/>
      <c r="M192" s="11"/>
      <c r="N192" s="11"/>
      <c r="O192" s="11"/>
    </row>
    <row r="193" customFormat="false" ht="14.25" hidden="false" customHeight="true" outlineLevel="0" collapsed="false">
      <c r="B193" s="11" t="s">
        <v>483</v>
      </c>
      <c r="C193" s="36" t="n">
        <v>10.228</v>
      </c>
      <c r="D193" s="11"/>
      <c r="E193" s="11"/>
      <c r="F193" s="11"/>
      <c r="G193" s="11"/>
      <c r="H193" s="11"/>
      <c r="I193" s="11"/>
      <c r="J193" s="11"/>
      <c r="K193" s="11"/>
      <c r="L193" s="11"/>
      <c r="M193" s="11"/>
      <c r="N193" s="11"/>
      <c r="O193" s="11" t="s">
        <v>484</v>
      </c>
    </row>
    <row r="194" customFormat="false" ht="14.25" hidden="false" customHeight="true" outlineLevel="0" collapsed="false">
      <c r="B194" s="11" t="s">
        <v>485</v>
      </c>
      <c r="C194" s="36" t="n">
        <v>11.2706</v>
      </c>
      <c r="D194" s="11"/>
      <c r="E194" s="11"/>
      <c r="F194" s="11"/>
      <c r="G194" s="11"/>
      <c r="H194" s="11"/>
      <c r="I194" s="11"/>
      <c r="J194" s="11"/>
      <c r="K194" s="11"/>
      <c r="L194" s="11"/>
      <c r="M194" s="11"/>
      <c r="N194" s="11"/>
      <c r="O194" s="11" t="s">
        <v>486</v>
      </c>
    </row>
    <row r="195" customFormat="false" ht="14.25" hidden="false" customHeight="true" outlineLevel="0" collapsed="false">
      <c r="B195" s="11"/>
      <c r="C195" s="11"/>
      <c r="D195" s="11"/>
      <c r="E195" s="11"/>
      <c r="F195" s="11"/>
      <c r="G195" s="11"/>
      <c r="H195" s="11"/>
      <c r="I195" s="11"/>
      <c r="J195" s="11"/>
      <c r="K195" s="11"/>
      <c r="L195" s="11"/>
      <c r="M195" s="11"/>
      <c r="N195" s="11"/>
      <c r="O195" s="11"/>
    </row>
    <row r="196" customFormat="false" ht="14.25" hidden="false" customHeight="true" outlineLevel="0" collapsed="false">
      <c r="B196" s="11" t="s">
        <v>487</v>
      </c>
      <c r="C196" s="33" t="n">
        <v>0.25</v>
      </c>
      <c r="D196" s="11"/>
      <c r="E196" s="11"/>
      <c r="F196" s="11"/>
      <c r="G196" s="11"/>
      <c r="H196" s="11"/>
      <c r="I196" s="11"/>
      <c r="J196" s="11"/>
      <c r="K196" s="11"/>
      <c r="L196" s="11"/>
      <c r="M196" s="11"/>
      <c r="N196" s="11"/>
      <c r="O196" s="11" t="s">
        <v>488</v>
      </c>
    </row>
    <row r="197" customFormat="false" ht="14.25" hidden="false" customHeight="true" outlineLevel="0" collapsed="false">
      <c r="B197" s="11" t="s">
        <v>489</v>
      </c>
      <c r="C197" s="33" t="n">
        <v>0.5</v>
      </c>
      <c r="D197" s="11"/>
      <c r="E197" s="11"/>
      <c r="F197" s="11"/>
      <c r="G197" s="11"/>
      <c r="H197" s="11"/>
      <c r="I197" s="11"/>
      <c r="J197" s="11"/>
      <c r="K197" s="11"/>
      <c r="L197" s="11"/>
      <c r="M197" s="11"/>
      <c r="N197" s="11"/>
      <c r="O197" s="11" t="s">
        <v>490</v>
      </c>
    </row>
    <row r="198" customFormat="false" ht="14.25" hidden="false" customHeight="true" outlineLevel="0" collapsed="false">
      <c r="B198" s="11" t="s">
        <v>491</v>
      </c>
      <c r="C198" s="33" t="n">
        <v>0.25</v>
      </c>
      <c r="D198" s="11"/>
      <c r="E198" s="11"/>
      <c r="F198" s="11"/>
      <c r="G198" s="11"/>
      <c r="H198" s="11"/>
      <c r="I198" s="11"/>
      <c r="J198" s="11"/>
      <c r="K198" s="11"/>
      <c r="L198" s="11"/>
      <c r="M198" s="11"/>
      <c r="N198" s="11"/>
      <c r="O198" s="11" t="s">
        <v>488</v>
      </c>
    </row>
    <row r="199" customFormat="false" ht="14.25" hidden="false" customHeight="true" outlineLevel="0" collapsed="false">
      <c r="B199" s="11"/>
      <c r="C199" s="11"/>
      <c r="D199" s="11"/>
      <c r="E199" s="11"/>
      <c r="F199" s="11"/>
      <c r="G199" s="11"/>
      <c r="H199" s="11"/>
      <c r="I199" s="11"/>
      <c r="J199" s="11"/>
      <c r="K199" s="11"/>
      <c r="L199" s="11"/>
      <c r="M199" s="11"/>
      <c r="N199" s="11"/>
      <c r="O199" s="11"/>
    </row>
    <row r="200" customFormat="false" ht="14.25" hidden="false" customHeight="true" outlineLevel="0" collapsed="false">
      <c r="A200" s="22" t="s">
        <v>11</v>
      </c>
      <c r="B200" s="10" t="s">
        <v>492</v>
      </c>
      <c r="C200" s="11"/>
      <c r="D200" s="11"/>
      <c r="E200" s="11"/>
      <c r="F200" s="11"/>
      <c r="G200" s="11"/>
      <c r="H200" s="11"/>
      <c r="I200" s="11"/>
      <c r="J200" s="11"/>
      <c r="K200" s="11"/>
      <c r="L200" s="11"/>
      <c r="M200" s="11"/>
      <c r="N200" s="11"/>
      <c r="O200" s="11"/>
    </row>
    <row r="201" customFormat="false" ht="14.25" hidden="false" customHeight="true" outlineLevel="0" collapsed="false">
      <c r="B201" s="11" t="s">
        <v>493</v>
      </c>
      <c r="C201" s="31" t="n">
        <v>3154</v>
      </c>
      <c r="D201" s="11" t="s">
        <v>494</v>
      </c>
      <c r="E201" s="11"/>
      <c r="F201" s="11"/>
      <c r="G201" s="11"/>
      <c r="H201" s="11"/>
      <c r="I201" s="11"/>
      <c r="J201" s="11"/>
      <c r="K201" s="11"/>
      <c r="L201" s="11"/>
      <c r="M201" s="11"/>
      <c r="N201" s="11"/>
      <c r="O201" s="11" t="s">
        <v>495</v>
      </c>
    </row>
    <row r="202" customFormat="false" ht="14.25" hidden="false" customHeight="true" outlineLevel="0" collapsed="false">
      <c r="B202" s="11" t="s">
        <v>496</v>
      </c>
      <c r="C202" s="31" t="n">
        <v>2127</v>
      </c>
      <c r="D202" s="11" t="s">
        <v>497</v>
      </c>
      <c r="E202" s="11"/>
      <c r="F202" s="11"/>
      <c r="G202" s="11"/>
      <c r="H202" s="11"/>
      <c r="I202" s="11"/>
      <c r="J202" s="11"/>
      <c r="K202" s="11"/>
      <c r="L202" s="11"/>
      <c r="M202" s="11"/>
      <c r="N202" s="11"/>
      <c r="O202" s="11" t="s">
        <v>498</v>
      </c>
    </row>
    <row r="203" customFormat="false" ht="14.25" hidden="false" customHeight="true" outlineLevel="0" collapsed="false">
      <c r="B203" s="11" t="s">
        <v>499</v>
      </c>
      <c r="C203" s="31" t="n">
        <v>3413</v>
      </c>
      <c r="D203" s="11" t="s">
        <v>497</v>
      </c>
      <c r="E203" s="11"/>
      <c r="F203" s="11"/>
      <c r="G203" s="11"/>
      <c r="H203" s="11"/>
      <c r="I203" s="11"/>
      <c r="J203" s="11"/>
      <c r="K203" s="11"/>
      <c r="L203" s="11"/>
      <c r="M203" s="11"/>
      <c r="N203" s="11"/>
      <c r="O203" s="11" t="s">
        <v>500</v>
      </c>
    </row>
    <row r="204" customFormat="false" ht="14.25" hidden="false" customHeight="true" outlineLevel="0" collapsed="false">
      <c r="B204" s="11" t="s">
        <v>501</v>
      </c>
      <c r="C204" s="31" t="n">
        <v>1286</v>
      </c>
      <c r="D204" s="11" t="s">
        <v>497</v>
      </c>
      <c r="E204" s="11"/>
      <c r="F204" s="11"/>
      <c r="G204" s="11"/>
      <c r="H204" s="11"/>
      <c r="I204" s="11"/>
      <c r="J204" s="11"/>
      <c r="K204" s="11"/>
      <c r="L204" s="11"/>
      <c r="M204" s="11"/>
      <c r="N204" s="11"/>
      <c r="O204" s="11" t="s">
        <v>502</v>
      </c>
    </row>
    <row r="205" customFormat="false" ht="14.25" hidden="false" customHeight="true" outlineLevel="0" collapsed="false">
      <c r="B205" s="11" t="s">
        <v>503</v>
      </c>
      <c r="C205" s="31" t="n">
        <v>1433</v>
      </c>
      <c r="D205" s="11" t="s">
        <v>497</v>
      </c>
      <c r="E205" s="11"/>
      <c r="F205" s="11"/>
      <c r="G205" s="11"/>
      <c r="H205" s="11"/>
      <c r="I205" s="11"/>
      <c r="J205" s="11"/>
      <c r="K205" s="11"/>
      <c r="L205" s="11"/>
      <c r="M205" s="11"/>
      <c r="N205" s="11"/>
      <c r="O205" s="11" t="s">
        <v>504</v>
      </c>
    </row>
    <row r="206" customFormat="false" ht="14.25" hidden="false" customHeight="true" outlineLevel="0" collapsed="false">
      <c r="B206" s="11" t="s">
        <v>505</v>
      </c>
      <c r="C206" s="31" t="n">
        <v>2305</v>
      </c>
      <c r="D206" s="11" t="s">
        <v>497</v>
      </c>
      <c r="E206" s="11"/>
      <c r="F206" s="11"/>
      <c r="G206" s="11"/>
      <c r="H206" s="11"/>
      <c r="I206" s="11"/>
      <c r="J206" s="11"/>
      <c r="K206" s="11"/>
      <c r="L206" s="11"/>
      <c r="M206" s="11"/>
      <c r="N206" s="11"/>
      <c r="O206" s="11" t="s">
        <v>506</v>
      </c>
    </row>
    <row r="207" customFormat="false" ht="14.25" hidden="false" customHeight="true" outlineLevel="0" collapsed="false">
      <c r="B207" s="11" t="s">
        <v>507</v>
      </c>
      <c r="C207" s="31" t="n">
        <v>112.1</v>
      </c>
      <c r="D207" s="11" t="s">
        <v>508</v>
      </c>
      <c r="E207" s="11"/>
      <c r="F207" s="11"/>
      <c r="G207" s="11"/>
      <c r="H207" s="11"/>
      <c r="I207" s="11"/>
      <c r="J207" s="11"/>
      <c r="K207" s="11"/>
      <c r="L207" s="11"/>
      <c r="M207" s="11"/>
      <c r="N207" s="11"/>
      <c r="O207" s="11" t="s">
        <v>509</v>
      </c>
    </row>
    <row r="208" customFormat="false" ht="14.25" hidden="false" customHeight="true" outlineLevel="0" collapsed="false">
      <c r="B208" s="11" t="s">
        <v>510</v>
      </c>
      <c r="C208" s="31" t="n">
        <v>119.9</v>
      </c>
      <c r="D208" s="11" t="s">
        <v>511</v>
      </c>
      <c r="E208" s="11"/>
      <c r="F208" s="11"/>
      <c r="G208" s="11"/>
      <c r="H208" s="11"/>
      <c r="I208" s="11"/>
      <c r="J208" s="11"/>
      <c r="K208" s="11"/>
      <c r="L208" s="11"/>
      <c r="M208" s="11"/>
      <c r="N208" s="11"/>
      <c r="O208" s="11" t="s">
        <v>512</v>
      </c>
    </row>
    <row r="209" customFormat="false" ht="14.25" hidden="false" customHeight="true" outlineLevel="0" collapsed="false">
      <c r="B209" s="11" t="s">
        <v>513</v>
      </c>
      <c r="C209" s="31" t="n">
        <v>117</v>
      </c>
      <c r="D209" s="11" t="s">
        <v>514</v>
      </c>
      <c r="E209" s="11"/>
      <c r="F209" s="11"/>
      <c r="G209" s="11"/>
      <c r="H209" s="11"/>
      <c r="I209" s="11"/>
      <c r="J209" s="11"/>
      <c r="K209" s="11"/>
      <c r="L209" s="11"/>
      <c r="M209" s="11"/>
      <c r="N209" s="11"/>
      <c r="O209" s="11" t="s">
        <v>515</v>
      </c>
    </row>
    <row r="210" customFormat="false" ht="14.25" hidden="false" customHeight="true" outlineLevel="0" collapsed="false">
      <c r="B210" s="11" t="s">
        <v>516</v>
      </c>
      <c r="C210" s="36" t="n">
        <v>8.4</v>
      </c>
      <c r="D210" s="11" t="s">
        <v>517</v>
      </c>
      <c r="E210" s="11"/>
      <c r="F210" s="11"/>
      <c r="G210" s="11"/>
      <c r="H210" s="11"/>
      <c r="I210" s="11"/>
      <c r="J210" s="11"/>
      <c r="K210" s="11"/>
      <c r="L210" s="11"/>
      <c r="M210" s="11"/>
      <c r="N210" s="11"/>
      <c r="O210" s="11" t="s">
        <v>518</v>
      </c>
    </row>
    <row r="211" customFormat="false" ht="14.25" hidden="false" customHeight="true" outlineLevel="0" collapsed="false">
      <c r="B211" s="11" t="s">
        <v>519</v>
      </c>
      <c r="C211" s="36" t="n">
        <v>12.9</v>
      </c>
      <c r="D211" s="11" t="s">
        <v>520</v>
      </c>
      <c r="E211" s="11"/>
      <c r="F211" s="11"/>
      <c r="G211" s="11"/>
      <c r="H211" s="11"/>
      <c r="I211" s="11"/>
      <c r="J211" s="11"/>
      <c r="K211" s="11"/>
      <c r="L211" s="11"/>
      <c r="M211" s="11"/>
      <c r="N211" s="11"/>
      <c r="O211" s="11" t="s">
        <v>521</v>
      </c>
    </row>
    <row r="212" customFormat="false" ht="14.25" hidden="false" customHeight="true" outlineLevel="0" collapsed="false">
      <c r="B212" s="11" t="s">
        <v>522</v>
      </c>
      <c r="C212" s="36" t="n">
        <v>16.6</v>
      </c>
      <c r="D212" s="11" t="s">
        <v>523</v>
      </c>
      <c r="E212" s="11"/>
      <c r="F212" s="11"/>
      <c r="G212" s="11"/>
      <c r="H212" s="11"/>
      <c r="I212" s="11"/>
      <c r="J212" s="11"/>
      <c r="K212" s="11"/>
      <c r="L212" s="11"/>
      <c r="M212" s="11"/>
      <c r="N212" s="11"/>
      <c r="O212" s="11" t="s">
        <v>524</v>
      </c>
    </row>
    <row r="213" customFormat="false" ht="14.25" hidden="false" customHeight="true" outlineLevel="0" collapsed="false">
      <c r="B213" s="11" t="s">
        <v>525</v>
      </c>
      <c r="C213" s="31" t="n">
        <v>0</v>
      </c>
      <c r="D213" s="11" t="s">
        <v>526</v>
      </c>
      <c r="E213" s="11"/>
      <c r="F213" s="11"/>
      <c r="G213" s="11"/>
      <c r="H213" s="11"/>
      <c r="I213" s="11"/>
      <c r="J213" s="11"/>
      <c r="K213" s="11"/>
      <c r="L213" s="11"/>
      <c r="M213" s="11"/>
      <c r="N213" s="11"/>
      <c r="O213" s="11" t="s">
        <v>527</v>
      </c>
    </row>
    <row r="214" customFormat="false" ht="14.25" hidden="false" customHeight="true" outlineLevel="0" collapsed="false">
      <c r="B214" s="11" t="s">
        <v>528</v>
      </c>
      <c r="C214" s="31" t="n">
        <v>0</v>
      </c>
      <c r="D214" s="11" t="s">
        <v>529</v>
      </c>
      <c r="E214" s="11"/>
      <c r="F214" s="11"/>
      <c r="G214" s="11"/>
      <c r="H214" s="11"/>
      <c r="I214" s="11"/>
      <c r="J214" s="11"/>
      <c r="K214" s="11"/>
      <c r="L214" s="11"/>
      <c r="M214" s="11"/>
      <c r="N214" s="11"/>
      <c r="O214" s="11" t="s">
        <v>530</v>
      </c>
    </row>
    <row r="215" customFormat="false" ht="14.25" hidden="false" customHeight="true" outlineLevel="0" collapsed="false">
      <c r="B215" s="11" t="s">
        <v>531</v>
      </c>
      <c r="C215" s="36" t="n">
        <v>-3.6</v>
      </c>
      <c r="D215" s="11" t="s">
        <v>523</v>
      </c>
      <c r="E215" s="11"/>
      <c r="F215" s="11"/>
      <c r="G215" s="11"/>
      <c r="H215" s="11"/>
      <c r="I215" s="11"/>
      <c r="J215" s="11"/>
      <c r="K215" s="11"/>
      <c r="L215" s="11"/>
      <c r="M215" s="11"/>
      <c r="N215" s="11"/>
      <c r="O215" s="11" t="s">
        <v>532</v>
      </c>
    </row>
    <row r="216" customFormat="false" ht="14.25" hidden="false" customHeight="true" outlineLevel="0" collapsed="false">
      <c r="B216" s="11" t="s">
        <v>533</v>
      </c>
      <c r="C216" s="31" t="n">
        <v>420</v>
      </c>
      <c r="D216" s="11" t="s">
        <v>534</v>
      </c>
      <c r="E216" s="11"/>
      <c r="F216" s="11"/>
      <c r="G216" s="11"/>
      <c r="H216" s="11"/>
      <c r="I216" s="11"/>
      <c r="J216" s="11"/>
      <c r="K216" s="11"/>
      <c r="L216" s="11"/>
      <c r="M216" s="11"/>
      <c r="N216" s="11"/>
      <c r="O216" s="11" t="s">
        <v>535</v>
      </c>
    </row>
    <row r="217" customFormat="false" ht="14.25" hidden="false" customHeight="true" outlineLevel="0" collapsed="false">
      <c r="B217" s="11" t="s">
        <v>536</v>
      </c>
      <c r="C217" s="31" t="n">
        <v>32</v>
      </c>
      <c r="D217" s="11" t="s">
        <v>537</v>
      </c>
      <c r="E217" s="11"/>
      <c r="F217" s="11"/>
      <c r="G217" s="11"/>
      <c r="H217" s="11"/>
      <c r="I217" s="11"/>
      <c r="J217" s="11"/>
      <c r="K217" s="11"/>
      <c r="L217" s="11"/>
      <c r="M217" s="11"/>
      <c r="N217" s="11"/>
      <c r="O217" s="11" t="s">
        <v>538</v>
      </c>
    </row>
    <row r="218" customFormat="false" ht="14.25" hidden="false" customHeight="true" outlineLevel="0" collapsed="false">
      <c r="B218" s="11" t="s">
        <v>539</v>
      </c>
      <c r="C218" s="32" t="n">
        <f aca="false">C203</f>
        <v>3413</v>
      </c>
      <c r="D218" s="11" t="s">
        <v>540</v>
      </c>
      <c r="E218" s="11"/>
      <c r="F218" s="11"/>
      <c r="G218" s="11"/>
      <c r="H218" s="11"/>
      <c r="I218" s="11"/>
      <c r="J218" s="11"/>
      <c r="K218" s="11"/>
      <c r="L218" s="11"/>
      <c r="M218" s="11"/>
      <c r="N218" s="11"/>
      <c r="O218" s="11" t="s">
        <v>541</v>
      </c>
    </row>
    <row r="219" customFormat="false" ht="14.25" hidden="false" customHeight="true" outlineLevel="0" collapsed="false">
      <c r="B219" s="11" t="s">
        <v>542</v>
      </c>
      <c r="C219" s="32" t="n">
        <f aca="false">C203</f>
        <v>3413</v>
      </c>
      <c r="D219" s="11" t="s">
        <v>543</v>
      </c>
      <c r="E219" s="11"/>
      <c r="F219" s="11"/>
      <c r="G219" s="11"/>
      <c r="H219" s="11"/>
      <c r="I219" s="11"/>
      <c r="J219" s="11"/>
      <c r="K219" s="11"/>
      <c r="L219" s="11"/>
      <c r="M219" s="11"/>
      <c r="N219" s="11"/>
      <c r="O219" s="11" t="s">
        <v>541</v>
      </c>
    </row>
    <row r="220" customFormat="false" ht="14.25" hidden="false" customHeight="true" outlineLevel="0" collapsed="false">
      <c r="B220" s="11" t="s">
        <v>544</v>
      </c>
      <c r="C220" s="32" t="n">
        <f aca="false">C203</f>
        <v>3413</v>
      </c>
      <c r="D220" s="11" t="s">
        <v>543</v>
      </c>
      <c r="E220" s="11"/>
      <c r="F220" s="11"/>
      <c r="G220" s="11"/>
      <c r="H220" s="11"/>
      <c r="I220" s="11"/>
      <c r="J220" s="11"/>
      <c r="K220" s="11"/>
      <c r="L220" s="11"/>
      <c r="M220" s="11"/>
      <c r="N220" s="11"/>
      <c r="O220" s="11" t="s">
        <v>541</v>
      </c>
    </row>
    <row r="221" customFormat="false" ht="14.25" hidden="false" customHeight="true" outlineLevel="0" collapsed="false">
      <c r="B221" s="11" t="s">
        <v>545</v>
      </c>
      <c r="C221" s="32" t="n">
        <f aca="false">C203</f>
        <v>3413</v>
      </c>
      <c r="D221" s="11" t="s">
        <v>543</v>
      </c>
      <c r="E221" s="11"/>
      <c r="F221" s="11"/>
      <c r="G221" s="11"/>
      <c r="H221" s="11"/>
      <c r="I221" s="11"/>
      <c r="J221" s="11"/>
      <c r="K221" s="11"/>
      <c r="L221" s="11"/>
      <c r="M221" s="11"/>
      <c r="N221" s="11"/>
      <c r="O221" s="11" t="s">
        <v>541</v>
      </c>
    </row>
    <row r="222" customFormat="false" ht="14.25" hidden="false" customHeight="true" outlineLevel="0" collapsed="false">
      <c r="B222" s="11" t="s">
        <v>546</v>
      </c>
      <c r="C222" s="32" t="n">
        <f aca="false">C203</f>
        <v>3413</v>
      </c>
      <c r="D222" s="11" t="s">
        <v>543</v>
      </c>
      <c r="E222" s="11"/>
      <c r="F222" s="11"/>
      <c r="G222" s="11"/>
      <c r="H222" s="11"/>
      <c r="I222" s="11"/>
      <c r="J222" s="11"/>
      <c r="K222" s="11"/>
      <c r="L222" s="11"/>
      <c r="M222" s="11"/>
      <c r="N222" s="11"/>
      <c r="O222" s="11" t="s">
        <v>541</v>
      </c>
    </row>
    <row r="223" customFormat="false" ht="14.25" hidden="false" customHeight="true" outlineLevel="0" collapsed="false">
      <c r="B223" s="11" t="s">
        <v>547</v>
      </c>
      <c r="C223" s="32" t="n">
        <f aca="false">C206</f>
        <v>2305</v>
      </c>
      <c r="D223" s="11" t="s">
        <v>548</v>
      </c>
      <c r="E223" s="11"/>
      <c r="F223" s="11"/>
      <c r="G223" s="11"/>
      <c r="H223" s="11"/>
      <c r="I223" s="11"/>
      <c r="J223" s="11"/>
      <c r="K223" s="11"/>
      <c r="L223" s="11"/>
      <c r="M223" s="11"/>
      <c r="N223" s="11"/>
      <c r="O223" s="11" t="s">
        <v>549</v>
      </c>
    </row>
    <row r="224" customFormat="false" ht="14.25" hidden="false" customHeight="true" outlineLevel="0" collapsed="false">
      <c r="B224" s="11" t="s">
        <v>550</v>
      </c>
      <c r="C224" s="32" t="n">
        <f aca="false">C206</f>
        <v>2305</v>
      </c>
      <c r="D224" s="11" t="s">
        <v>543</v>
      </c>
      <c r="E224" s="11"/>
      <c r="F224" s="11"/>
      <c r="G224" s="11"/>
      <c r="H224" s="11"/>
      <c r="I224" s="11"/>
      <c r="J224" s="11"/>
      <c r="K224" s="11"/>
      <c r="L224" s="11"/>
      <c r="M224" s="11"/>
      <c r="N224" s="11"/>
      <c r="O224" s="11" t="s">
        <v>549</v>
      </c>
    </row>
    <row r="225" customFormat="false" ht="14.25" hidden="false" customHeight="true" outlineLevel="0" collapsed="false">
      <c r="B225" s="11" t="s">
        <v>551</v>
      </c>
      <c r="C225" s="32" t="n">
        <f aca="false">C206</f>
        <v>2305</v>
      </c>
      <c r="D225" s="11" t="s">
        <v>543</v>
      </c>
      <c r="E225" s="11"/>
      <c r="F225" s="11"/>
      <c r="G225" s="11"/>
      <c r="H225" s="11"/>
      <c r="I225" s="11"/>
      <c r="J225" s="11"/>
      <c r="K225" s="11"/>
      <c r="L225" s="11"/>
      <c r="M225" s="11"/>
      <c r="N225" s="11"/>
      <c r="O225" s="11" t="s">
        <v>549</v>
      </c>
    </row>
    <row r="226" customFormat="false" ht="14.25" hidden="false" customHeight="true" outlineLevel="0" collapsed="false">
      <c r="B226" s="11" t="s">
        <v>552</v>
      </c>
      <c r="C226" s="32" t="n">
        <f aca="false">C206</f>
        <v>2305</v>
      </c>
      <c r="D226" s="11" t="s">
        <v>543</v>
      </c>
      <c r="E226" s="11"/>
      <c r="F226" s="11"/>
      <c r="G226" s="11"/>
      <c r="H226" s="11"/>
      <c r="I226" s="11"/>
      <c r="J226" s="11"/>
      <c r="K226" s="11"/>
      <c r="L226" s="11"/>
      <c r="M226" s="11"/>
      <c r="N226" s="11"/>
      <c r="O226" s="11" t="s">
        <v>549</v>
      </c>
    </row>
    <row r="227" customFormat="false" ht="14.25" hidden="false" customHeight="true" outlineLevel="0" collapsed="false">
      <c r="B227" s="11" t="s">
        <v>553</v>
      </c>
      <c r="C227" s="32" t="n">
        <f aca="false">C206</f>
        <v>2305</v>
      </c>
      <c r="D227" s="11" t="s">
        <v>543</v>
      </c>
      <c r="E227" s="11"/>
      <c r="F227" s="11"/>
      <c r="G227" s="11"/>
      <c r="H227" s="11"/>
      <c r="I227" s="11"/>
      <c r="J227" s="11"/>
      <c r="K227" s="11"/>
      <c r="L227" s="11"/>
      <c r="M227" s="11"/>
      <c r="N227" s="11"/>
      <c r="O227" s="11" t="s">
        <v>549</v>
      </c>
    </row>
    <row r="228" customFormat="false" ht="14.25" hidden="false" customHeight="true" outlineLevel="0" collapsed="false">
      <c r="B228" s="11" t="s">
        <v>554</v>
      </c>
      <c r="C228" s="31" t="n">
        <v>0</v>
      </c>
      <c r="D228" s="11" t="s">
        <v>555</v>
      </c>
      <c r="E228" s="11"/>
      <c r="F228" s="11"/>
      <c r="G228" s="11"/>
      <c r="H228" s="11"/>
      <c r="I228" s="11"/>
      <c r="J228" s="11"/>
      <c r="K228" s="11"/>
      <c r="L228" s="11"/>
      <c r="M228" s="11"/>
      <c r="N228" s="11"/>
      <c r="O228" s="11" t="s">
        <v>556</v>
      </c>
    </row>
    <row r="229" customFormat="false" ht="14.25" hidden="false" customHeight="true" outlineLevel="0" collapsed="false">
      <c r="B229" s="11" t="s">
        <v>557</v>
      </c>
      <c r="C229" s="36" t="n">
        <v>6.9</v>
      </c>
      <c r="D229" s="11" t="s">
        <v>558</v>
      </c>
      <c r="E229" s="11"/>
      <c r="F229" s="11"/>
      <c r="G229" s="11"/>
      <c r="H229" s="11"/>
      <c r="I229" s="11"/>
      <c r="J229" s="11"/>
      <c r="K229" s="11"/>
      <c r="L229" s="11"/>
      <c r="M229" s="11"/>
      <c r="N229" s="11"/>
      <c r="O229" s="11" t="s">
        <v>559</v>
      </c>
    </row>
    <row r="230" customFormat="false" ht="14.25" hidden="false" customHeight="true" outlineLevel="0" collapsed="false">
      <c r="B230" s="11" t="s">
        <v>560</v>
      </c>
      <c r="C230" s="36" t="n">
        <v>6.9</v>
      </c>
      <c r="D230" s="11" t="s">
        <v>561</v>
      </c>
      <c r="E230" s="11"/>
      <c r="F230" s="11"/>
      <c r="G230" s="11"/>
      <c r="H230" s="11"/>
      <c r="I230" s="11"/>
      <c r="J230" s="11"/>
      <c r="K230" s="11"/>
      <c r="L230" s="11"/>
      <c r="M230" s="11"/>
      <c r="N230" s="11"/>
      <c r="O230" s="11" t="s">
        <v>559</v>
      </c>
    </row>
    <row r="231" customFormat="false" ht="14.25" hidden="false" customHeight="true" outlineLevel="0" collapsed="false">
      <c r="B231" s="11" t="s">
        <v>562</v>
      </c>
      <c r="C231" s="36" t="n">
        <v>6.9</v>
      </c>
      <c r="D231" s="11" t="s">
        <v>561</v>
      </c>
      <c r="E231" s="11"/>
      <c r="F231" s="11"/>
      <c r="G231" s="11"/>
      <c r="H231" s="11"/>
      <c r="I231" s="11"/>
      <c r="J231" s="11"/>
      <c r="K231" s="11"/>
      <c r="L231" s="11"/>
      <c r="M231" s="11"/>
      <c r="N231" s="11"/>
      <c r="O231" s="11" t="s">
        <v>563</v>
      </c>
    </row>
    <row r="232" customFormat="false" ht="14.25" hidden="false" customHeight="true" outlineLevel="0" collapsed="false">
      <c r="B232" s="11" t="s">
        <v>564</v>
      </c>
      <c r="C232" s="36" t="n">
        <v>6.9</v>
      </c>
      <c r="D232" s="11" t="s">
        <v>561</v>
      </c>
      <c r="E232" s="11"/>
      <c r="F232" s="11"/>
      <c r="G232" s="11"/>
      <c r="H232" s="11"/>
      <c r="I232" s="11"/>
      <c r="J232" s="11"/>
      <c r="K232" s="11"/>
      <c r="L232" s="11"/>
      <c r="M232" s="11"/>
      <c r="N232" s="11"/>
      <c r="O232" s="11" t="s">
        <v>563</v>
      </c>
    </row>
    <row r="233" customFormat="false" ht="14.25" hidden="false" customHeight="true" outlineLevel="0" collapsed="false">
      <c r="B233" s="11" t="s">
        <v>565</v>
      </c>
      <c r="C233" s="36" t="n">
        <v>6.9</v>
      </c>
      <c r="D233" s="11" t="s">
        <v>561</v>
      </c>
      <c r="E233" s="11"/>
      <c r="F233" s="11"/>
      <c r="G233" s="11"/>
      <c r="H233" s="11"/>
      <c r="I233" s="11"/>
      <c r="J233" s="11"/>
      <c r="K233" s="11"/>
      <c r="L233" s="11"/>
      <c r="M233" s="11"/>
      <c r="N233" s="11"/>
      <c r="O233" s="11" t="s">
        <v>563</v>
      </c>
    </row>
    <row r="234" customFormat="false" ht="14.25" hidden="false" customHeight="true" outlineLevel="0" collapsed="false">
      <c r="B234" s="11"/>
      <c r="C234" s="11"/>
      <c r="D234" s="11"/>
      <c r="E234" s="11"/>
      <c r="F234" s="11"/>
      <c r="G234" s="11"/>
      <c r="H234" s="11"/>
      <c r="I234" s="11"/>
      <c r="J234" s="11"/>
      <c r="K234" s="11"/>
      <c r="L234" s="11"/>
      <c r="M234" s="11"/>
      <c r="N234" s="11"/>
      <c r="O234" s="11"/>
    </row>
    <row r="235" customFormat="false" ht="14.25" hidden="false" customHeight="true" outlineLevel="0" collapsed="false">
      <c r="A235" s="22" t="s">
        <v>11</v>
      </c>
      <c r="B235" s="10" t="s">
        <v>566</v>
      </c>
      <c r="C235" s="11"/>
      <c r="D235" s="11"/>
      <c r="E235" s="11"/>
      <c r="F235" s="11"/>
      <c r="G235" s="11"/>
      <c r="H235" s="11"/>
      <c r="I235" s="11"/>
      <c r="J235" s="11"/>
      <c r="K235" s="11"/>
      <c r="L235" s="11"/>
      <c r="M235" s="11"/>
      <c r="N235" s="11"/>
      <c r="O235" s="11"/>
    </row>
    <row r="236" customFormat="false" ht="14.25" hidden="false" customHeight="true" outlineLevel="0" collapsed="false">
      <c r="B236" s="11" t="s">
        <v>567</v>
      </c>
      <c r="C236" s="31" t="n">
        <v>98535</v>
      </c>
      <c r="D236" s="11" t="s">
        <v>568</v>
      </c>
      <c r="E236" s="11"/>
      <c r="F236" s="11"/>
      <c r="G236" s="11"/>
      <c r="H236" s="11"/>
      <c r="I236" s="11"/>
      <c r="J236" s="11"/>
      <c r="K236" s="11"/>
      <c r="L236" s="11"/>
      <c r="M236" s="11"/>
      <c r="N236" s="11"/>
      <c r="O236" s="11" t="s">
        <v>569</v>
      </c>
    </row>
    <row r="237" customFormat="false" ht="14.25" hidden="false" customHeight="true" outlineLevel="0" collapsed="false">
      <c r="B237" s="11" t="s">
        <v>570</v>
      </c>
      <c r="C237" s="33" t="n">
        <v>0.05</v>
      </c>
      <c r="D237" s="11" t="s">
        <v>571</v>
      </c>
      <c r="E237" s="11"/>
      <c r="F237" s="11"/>
      <c r="G237" s="11"/>
      <c r="H237" s="11"/>
      <c r="I237" s="11"/>
      <c r="J237" s="11"/>
      <c r="K237" s="11"/>
      <c r="L237" s="11"/>
      <c r="M237" s="11"/>
      <c r="N237" s="11"/>
      <c r="O237" s="11" t="s">
        <v>569</v>
      </c>
    </row>
    <row r="238" customFormat="false" ht="14.25" hidden="false" customHeight="true" outlineLevel="0" collapsed="false">
      <c r="B238" s="11" t="s">
        <v>572</v>
      </c>
      <c r="C238" s="31" t="n">
        <v>14208</v>
      </c>
      <c r="D238" s="11" t="s">
        <v>573</v>
      </c>
      <c r="E238" s="11"/>
      <c r="F238" s="11"/>
      <c r="G238" s="11"/>
      <c r="H238" s="11"/>
      <c r="I238" s="11"/>
      <c r="J238" s="11"/>
      <c r="K238" s="11"/>
      <c r="L238" s="11"/>
      <c r="M238" s="11"/>
      <c r="N238" s="11"/>
      <c r="O238" s="11" t="s">
        <v>574</v>
      </c>
    </row>
    <row r="239" customFormat="false" ht="14.25" hidden="false" customHeight="true" outlineLevel="0" collapsed="false">
      <c r="B239" s="11" t="s">
        <v>575</v>
      </c>
      <c r="C239" s="32" t="n">
        <f aca="false">C236*C237</f>
        <v>4926.75</v>
      </c>
      <c r="D239" s="11"/>
      <c r="E239" s="11"/>
      <c r="F239" s="11"/>
      <c r="G239" s="11"/>
      <c r="H239" s="11"/>
      <c r="I239" s="11"/>
      <c r="J239" s="11"/>
      <c r="K239" s="11"/>
      <c r="L239" s="11"/>
      <c r="M239" s="11"/>
      <c r="N239" s="11"/>
      <c r="O239" s="11" t="s">
        <v>576</v>
      </c>
    </row>
    <row r="240" customFormat="false" ht="14.25" hidden="false" customHeight="true" outlineLevel="0" collapsed="false">
      <c r="B240" s="11" t="s">
        <v>577</v>
      </c>
      <c r="C240" s="32" t="n">
        <f aca="false">C236*C237</f>
        <v>4926.75</v>
      </c>
      <c r="D240" s="11"/>
      <c r="E240" s="11"/>
      <c r="F240" s="11"/>
      <c r="G240" s="11"/>
      <c r="H240" s="11"/>
      <c r="I240" s="11"/>
      <c r="J240" s="11"/>
      <c r="K240" s="11"/>
      <c r="L240" s="11"/>
      <c r="M240" s="11"/>
      <c r="N240" s="11"/>
      <c r="O240" s="11" t="s">
        <v>576</v>
      </c>
    </row>
    <row r="241" customFormat="false" ht="14.25" hidden="false" customHeight="true" outlineLevel="0" collapsed="false">
      <c r="B241" s="11" t="s">
        <v>578</v>
      </c>
      <c r="C241" s="32" t="n">
        <f aca="false">C236*C237</f>
        <v>4926.75</v>
      </c>
      <c r="D241" s="11"/>
      <c r="E241" s="11"/>
      <c r="F241" s="11"/>
      <c r="G241" s="11"/>
      <c r="H241" s="11"/>
      <c r="I241" s="11"/>
      <c r="J241" s="11"/>
      <c r="K241" s="11"/>
      <c r="L241" s="11"/>
      <c r="M241" s="11"/>
      <c r="N241" s="11"/>
      <c r="O241" s="11" t="s">
        <v>576</v>
      </c>
    </row>
    <row r="242" customFormat="false" ht="14.25" hidden="false" customHeight="true" outlineLevel="0" collapsed="false">
      <c r="B242" s="11" t="s">
        <v>579</v>
      </c>
      <c r="C242" s="32" t="n">
        <f aca="false">C236*C237</f>
        <v>4926.75</v>
      </c>
      <c r="D242" s="11"/>
      <c r="E242" s="11"/>
      <c r="F242" s="11"/>
      <c r="G242" s="11"/>
      <c r="H242" s="11"/>
      <c r="I242" s="11"/>
      <c r="J242" s="11"/>
      <c r="K242" s="11"/>
      <c r="L242" s="11"/>
      <c r="M242" s="11"/>
      <c r="N242" s="11"/>
      <c r="O242" s="11" t="s">
        <v>576</v>
      </c>
    </row>
    <row r="243" customFormat="false" ht="14.25" hidden="false" customHeight="true" outlineLevel="0" collapsed="false">
      <c r="B243" s="11" t="s">
        <v>580</v>
      </c>
      <c r="C243" s="32" t="n">
        <f aca="false">C240*C238/1000000</f>
        <v>69.999264</v>
      </c>
      <c r="D243" s="11" t="s">
        <v>581</v>
      </c>
      <c r="E243" s="11"/>
      <c r="F243" s="11"/>
      <c r="G243" s="11"/>
      <c r="H243" s="11"/>
      <c r="I243" s="11"/>
      <c r="J243" s="11"/>
      <c r="K243" s="11"/>
      <c r="L243" s="11"/>
      <c r="M243" s="11"/>
      <c r="N243" s="11"/>
      <c r="O243" s="11" t="s">
        <v>582</v>
      </c>
    </row>
    <row r="244" customFormat="false" ht="14.25" hidden="false" customHeight="true" outlineLevel="0" collapsed="false">
      <c r="B244" s="11" t="s">
        <v>583</v>
      </c>
      <c r="C244" s="32" t="n">
        <f aca="false">C241*C238/1000000</f>
        <v>69.999264</v>
      </c>
      <c r="D244" s="11" t="s">
        <v>584</v>
      </c>
      <c r="E244" s="11"/>
      <c r="F244" s="11"/>
      <c r="G244" s="11"/>
      <c r="H244" s="11"/>
      <c r="I244" s="11"/>
      <c r="J244" s="11"/>
      <c r="K244" s="11"/>
      <c r="L244" s="11"/>
      <c r="M244" s="11"/>
      <c r="N244" s="11"/>
      <c r="O244" s="11" t="s">
        <v>585</v>
      </c>
    </row>
    <row r="245" customFormat="false" ht="14.25" hidden="false" customHeight="true" outlineLevel="0" collapsed="false">
      <c r="B245" s="11" t="s">
        <v>586</v>
      </c>
      <c r="C245" s="32" t="n">
        <f aca="false">C242*C238/1000000</f>
        <v>69.999264</v>
      </c>
      <c r="D245" s="11" t="s">
        <v>584</v>
      </c>
      <c r="E245" s="11"/>
      <c r="F245" s="11"/>
      <c r="G245" s="11"/>
      <c r="H245" s="11"/>
      <c r="I245" s="11"/>
      <c r="J245" s="11"/>
      <c r="K245" s="11"/>
      <c r="L245" s="11"/>
      <c r="M245" s="11"/>
      <c r="N245" s="11"/>
      <c r="O245" s="11" t="s">
        <v>587</v>
      </c>
    </row>
    <row r="246" customFormat="false" ht="14.25" hidden="false" customHeight="true" outlineLevel="0" collapsed="false">
      <c r="B246" s="11"/>
      <c r="C246" s="11"/>
      <c r="D246" s="11"/>
      <c r="E246" s="11"/>
      <c r="F246" s="11"/>
      <c r="G246" s="11"/>
      <c r="H246" s="11"/>
      <c r="I246" s="11"/>
      <c r="J246" s="11"/>
      <c r="K246" s="11"/>
      <c r="L246" s="11"/>
      <c r="M246" s="11"/>
      <c r="N246" s="11"/>
      <c r="O246" s="11"/>
    </row>
    <row r="247" customFormat="false" ht="14.25" hidden="false" customHeight="true" outlineLevel="0" collapsed="false">
      <c r="A247" s="22" t="s">
        <v>11</v>
      </c>
      <c r="B247" s="10" t="s">
        <v>588</v>
      </c>
      <c r="C247" s="11"/>
      <c r="D247" s="11"/>
      <c r="E247" s="11"/>
      <c r="F247" s="11"/>
      <c r="G247" s="11"/>
      <c r="H247" s="11"/>
      <c r="I247" s="11"/>
      <c r="J247" s="11"/>
      <c r="K247" s="11"/>
      <c r="L247" s="11"/>
      <c r="M247" s="11"/>
      <c r="N247" s="11"/>
      <c r="O247" s="11"/>
    </row>
    <row r="248" customFormat="false" ht="14.25" hidden="false" customHeight="true" outlineLevel="0" collapsed="false">
      <c r="B248" s="11" t="s">
        <v>589</v>
      </c>
      <c r="C248" s="33" t="n">
        <v>0.3</v>
      </c>
      <c r="D248" s="11" t="s">
        <v>590</v>
      </c>
      <c r="E248" s="11"/>
      <c r="F248" s="11"/>
      <c r="G248" s="11"/>
      <c r="H248" s="11"/>
      <c r="I248" s="11"/>
      <c r="J248" s="11"/>
      <c r="K248" s="11"/>
      <c r="L248" s="11"/>
      <c r="M248" s="11"/>
      <c r="N248" s="11"/>
      <c r="O248" s="11" t="s">
        <v>591</v>
      </c>
    </row>
    <row r="249" customFormat="false" ht="14.25" hidden="false" customHeight="true" outlineLevel="0" collapsed="false">
      <c r="B249" s="11" t="s">
        <v>592</v>
      </c>
      <c r="C249" s="33" t="n">
        <v>0.33535</v>
      </c>
      <c r="D249" s="11" t="s">
        <v>593</v>
      </c>
      <c r="E249" s="11"/>
      <c r="F249" s="11"/>
      <c r="G249" s="11"/>
      <c r="H249" s="11"/>
      <c r="I249" s="11"/>
      <c r="J249" s="11"/>
      <c r="K249" s="11"/>
      <c r="L249" s="11"/>
      <c r="M249" s="11"/>
      <c r="N249" s="11"/>
      <c r="O249" s="11" t="s">
        <v>591</v>
      </c>
    </row>
    <row r="250" customFormat="false" ht="14.25" hidden="false" customHeight="true" outlineLevel="0" collapsed="false">
      <c r="B250" s="11" t="s">
        <v>594</v>
      </c>
      <c r="C250" s="33" t="n">
        <v>0.07</v>
      </c>
      <c r="D250" s="11" t="s">
        <v>595</v>
      </c>
      <c r="E250" s="11"/>
      <c r="F250" s="11"/>
      <c r="G250" s="11"/>
      <c r="H250" s="11"/>
      <c r="I250" s="11"/>
      <c r="J250" s="11"/>
      <c r="K250" s="11"/>
      <c r="L250" s="11"/>
      <c r="M250" s="11"/>
      <c r="N250" s="11"/>
      <c r="O250" s="11" t="s">
        <v>591</v>
      </c>
    </row>
    <row r="251" customFormat="false" ht="14.25" hidden="false" customHeight="true" outlineLevel="0" collapsed="false">
      <c r="B251" s="11" t="s">
        <v>596</v>
      </c>
      <c r="C251" s="34" t="n">
        <f aca="false">C249</f>
        <v>0.33535</v>
      </c>
      <c r="D251" s="11" t="s">
        <v>597</v>
      </c>
      <c r="E251" s="11"/>
      <c r="F251" s="11"/>
      <c r="G251" s="11"/>
      <c r="H251" s="11"/>
      <c r="I251" s="11"/>
      <c r="J251" s="11"/>
      <c r="K251" s="11"/>
      <c r="L251" s="11"/>
      <c r="M251" s="11"/>
      <c r="N251" s="11"/>
      <c r="O251" s="11" t="s">
        <v>598</v>
      </c>
    </row>
    <row r="252" customFormat="false" ht="14.25" hidden="false" customHeight="true" outlineLevel="0" collapsed="false">
      <c r="B252" s="11" t="s">
        <v>599</v>
      </c>
      <c r="C252" s="34" t="n">
        <f aca="false">C251+C250</f>
        <v>0.40535</v>
      </c>
      <c r="D252" s="11" t="s">
        <v>600</v>
      </c>
      <c r="E252" s="11"/>
      <c r="F252" s="11"/>
      <c r="G252" s="11"/>
      <c r="H252" s="11"/>
      <c r="I252" s="11"/>
      <c r="J252" s="11"/>
      <c r="K252" s="11"/>
      <c r="L252" s="11"/>
      <c r="M252" s="11"/>
      <c r="N252" s="11"/>
      <c r="O252" s="11" t="s">
        <v>601</v>
      </c>
    </row>
    <row r="253" customFormat="false" ht="14.25" hidden="false" customHeight="true" outlineLevel="0" collapsed="false">
      <c r="B253" s="11" t="s">
        <v>602</v>
      </c>
      <c r="C253" s="34" t="n">
        <f aca="false">C252+C250</f>
        <v>0.47535</v>
      </c>
      <c r="D253" s="11" t="s">
        <v>584</v>
      </c>
      <c r="E253" s="11"/>
      <c r="F253" s="11"/>
      <c r="G253" s="11"/>
      <c r="H253" s="11"/>
      <c r="I253" s="11"/>
      <c r="J253" s="11"/>
      <c r="K253" s="11"/>
      <c r="L253" s="11"/>
      <c r="M253" s="11"/>
      <c r="N253" s="11"/>
      <c r="O253" s="11" t="s">
        <v>603</v>
      </c>
    </row>
    <row r="254" customFormat="false" ht="14.25" hidden="false" customHeight="true" outlineLevel="0" collapsed="false">
      <c r="B254" s="11" t="s">
        <v>604</v>
      </c>
      <c r="C254" s="34" t="n">
        <f aca="false">C253+C250</f>
        <v>0.54535</v>
      </c>
      <c r="D254" s="11" t="s">
        <v>584</v>
      </c>
      <c r="E254" s="11"/>
      <c r="F254" s="11"/>
      <c r="G254" s="11"/>
      <c r="H254" s="11"/>
      <c r="I254" s="11"/>
      <c r="J254" s="11"/>
      <c r="K254" s="11"/>
      <c r="L254" s="11"/>
      <c r="M254" s="11"/>
      <c r="N254" s="11"/>
      <c r="O254" s="11" t="s">
        <v>605</v>
      </c>
    </row>
    <row r="255" customFormat="false" ht="14.25" hidden="false" customHeight="true" outlineLevel="0" collapsed="false">
      <c r="B255" s="11" t="s">
        <v>606</v>
      </c>
      <c r="C255" s="34" t="n">
        <f aca="false">C254+C250</f>
        <v>0.61535</v>
      </c>
      <c r="D255" s="11" t="s">
        <v>584</v>
      </c>
      <c r="E255" s="11"/>
      <c r="F255" s="11"/>
      <c r="G255" s="11"/>
      <c r="H255" s="11"/>
      <c r="I255" s="11"/>
      <c r="J255" s="11"/>
      <c r="K255" s="11"/>
      <c r="L255" s="11"/>
      <c r="M255" s="11"/>
      <c r="N255" s="11"/>
      <c r="O255" s="11" t="s">
        <v>607</v>
      </c>
    </row>
    <row r="256" customFormat="false" ht="14.25" hidden="false" customHeight="true" outlineLevel="0" collapsed="false">
      <c r="B256" s="11" t="s">
        <v>608</v>
      </c>
      <c r="C256" s="31" t="n">
        <v>1263.7</v>
      </c>
      <c r="D256" s="11" t="s">
        <v>609</v>
      </c>
      <c r="E256" s="11"/>
      <c r="F256" s="11"/>
      <c r="G256" s="11"/>
      <c r="H256" s="11"/>
      <c r="I256" s="11"/>
      <c r="J256" s="11"/>
      <c r="K256" s="11"/>
      <c r="L256" s="11"/>
      <c r="M256" s="11"/>
      <c r="N256" s="11"/>
      <c r="O256" s="11" t="s">
        <v>569</v>
      </c>
    </row>
    <row r="257" customFormat="false" ht="14.25" hidden="false" customHeight="true" outlineLevel="0" collapsed="false">
      <c r="B257" s="11" t="s">
        <v>610</v>
      </c>
      <c r="C257" s="37" t="n">
        <f aca="false">C263</f>
        <v>1.54672897196262</v>
      </c>
      <c r="D257" s="11" t="s">
        <v>611</v>
      </c>
      <c r="E257" s="11"/>
      <c r="F257" s="11"/>
      <c r="G257" s="11"/>
      <c r="H257" s="11"/>
      <c r="I257" s="11"/>
      <c r="J257" s="11"/>
      <c r="K257" s="11"/>
      <c r="L257" s="11"/>
      <c r="M257" s="11"/>
      <c r="N257" s="11"/>
      <c r="O257" s="11" t="s">
        <v>591</v>
      </c>
    </row>
    <row r="258" customFormat="false" ht="14.25" hidden="false" customHeight="true" outlineLevel="0" collapsed="false">
      <c r="B258" s="11" t="s">
        <v>612</v>
      </c>
      <c r="C258" s="31" t="n">
        <v>66.2</v>
      </c>
      <c r="D258" s="11" t="s">
        <v>613</v>
      </c>
      <c r="E258" s="11"/>
      <c r="F258" s="11"/>
      <c r="G258" s="11"/>
      <c r="H258" s="11"/>
      <c r="I258" s="11"/>
      <c r="J258" s="11"/>
      <c r="K258" s="11"/>
      <c r="L258" s="11"/>
      <c r="M258" s="11"/>
      <c r="N258" s="11"/>
      <c r="O258" s="11" t="s">
        <v>591</v>
      </c>
    </row>
    <row r="259" customFormat="false" ht="14.25" hidden="false" customHeight="true" outlineLevel="0" collapsed="false">
      <c r="B259" s="11" t="s">
        <v>614</v>
      </c>
      <c r="C259" s="32" t="n">
        <f aca="false">C268*C263</f>
        <v>131.089108910891</v>
      </c>
      <c r="D259" s="11" t="s">
        <v>615</v>
      </c>
      <c r="E259" s="11"/>
      <c r="F259" s="11"/>
      <c r="G259" s="11"/>
      <c r="H259" s="11"/>
      <c r="I259" s="11"/>
      <c r="J259" s="11"/>
      <c r="K259" s="11"/>
      <c r="L259" s="11"/>
      <c r="M259" s="11"/>
      <c r="N259" s="11"/>
      <c r="O259" s="11" t="s">
        <v>616</v>
      </c>
    </row>
    <row r="260" customFormat="false" ht="14.25" hidden="false" customHeight="true" outlineLevel="0" collapsed="false">
      <c r="B260" s="11" t="s">
        <v>617</v>
      </c>
      <c r="C260" s="31" t="n">
        <v>44</v>
      </c>
      <c r="D260" s="11" t="s">
        <v>618</v>
      </c>
      <c r="E260" s="11"/>
      <c r="F260" s="11"/>
      <c r="G260" s="11"/>
      <c r="H260" s="11"/>
      <c r="I260" s="11"/>
      <c r="J260" s="11"/>
      <c r="K260" s="11"/>
      <c r="L260" s="11"/>
      <c r="M260" s="11"/>
      <c r="N260" s="11"/>
      <c r="O260" s="11" t="s">
        <v>619</v>
      </c>
    </row>
    <row r="261" customFormat="false" ht="14.25" hidden="false" customHeight="true" outlineLevel="0" collapsed="false">
      <c r="B261" s="11" t="s">
        <v>620</v>
      </c>
      <c r="C261" s="31" t="n">
        <v>11</v>
      </c>
      <c r="D261" s="11" t="s">
        <v>621</v>
      </c>
      <c r="E261" s="11"/>
      <c r="F261" s="11"/>
      <c r="G261" s="11"/>
      <c r="H261" s="11"/>
      <c r="I261" s="11"/>
      <c r="J261" s="11"/>
      <c r="K261" s="11"/>
      <c r="L261" s="11"/>
      <c r="M261" s="11"/>
      <c r="N261" s="11"/>
      <c r="O261" s="11" t="s">
        <v>619</v>
      </c>
    </row>
    <row r="262" customFormat="false" ht="14.25" hidden="false" customHeight="true" outlineLevel="0" collapsed="false">
      <c r="B262" s="11" t="s">
        <v>622</v>
      </c>
      <c r="C262" s="31" t="n">
        <v>42.8</v>
      </c>
      <c r="D262" s="11" t="s">
        <v>623</v>
      </c>
      <c r="E262" s="11"/>
      <c r="F262" s="11"/>
      <c r="G262" s="11"/>
      <c r="H262" s="11"/>
      <c r="I262" s="11"/>
      <c r="J262" s="11"/>
      <c r="K262" s="11"/>
      <c r="L262" s="11"/>
      <c r="M262" s="11"/>
      <c r="N262" s="11"/>
      <c r="O262" s="11" t="s">
        <v>624</v>
      </c>
    </row>
    <row r="263" customFormat="false" ht="14.25" hidden="false" customHeight="true" outlineLevel="0" collapsed="false">
      <c r="B263" s="11" t="s">
        <v>625</v>
      </c>
      <c r="C263" s="37" t="n">
        <f aca="false">C258/C262</f>
        <v>1.54672897196262</v>
      </c>
      <c r="D263" s="11" t="s">
        <v>626</v>
      </c>
      <c r="E263" s="11"/>
      <c r="F263" s="11"/>
      <c r="G263" s="11"/>
      <c r="H263" s="11"/>
      <c r="I263" s="11"/>
      <c r="J263" s="11"/>
      <c r="K263" s="11"/>
      <c r="L263" s="11"/>
      <c r="M263" s="11"/>
      <c r="N263" s="11"/>
      <c r="O263" s="11" t="s">
        <v>627</v>
      </c>
    </row>
    <row r="264" customFormat="false" ht="14.25" hidden="false" customHeight="true" outlineLevel="0" collapsed="false">
      <c r="B264" s="11" t="s">
        <v>628</v>
      </c>
      <c r="C264" s="32" t="n">
        <f aca="false">C256</f>
        <v>1263.7</v>
      </c>
      <c r="D264" s="11" t="s">
        <v>629</v>
      </c>
      <c r="E264" s="11"/>
      <c r="F264" s="11"/>
      <c r="G264" s="11"/>
      <c r="H264" s="11"/>
      <c r="I264" s="11"/>
      <c r="J264" s="11"/>
      <c r="K264" s="11"/>
      <c r="L264" s="11"/>
      <c r="M264" s="11"/>
      <c r="N264" s="11"/>
      <c r="O264" s="11" t="s">
        <v>630</v>
      </c>
    </row>
    <row r="265" customFormat="false" ht="14.25" hidden="false" customHeight="true" outlineLevel="0" collapsed="false">
      <c r="B265" s="11" t="s">
        <v>631</v>
      </c>
      <c r="C265" s="34" t="n">
        <f aca="false">C249-C248</f>
        <v>0.03535</v>
      </c>
      <c r="D265" s="11" t="s">
        <v>632</v>
      </c>
      <c r="E265" s="11"/>
      <c r="F265" s="11"/>
      <c r="G265" s="11"/>
      <c r="H265" s="11"/>
      <c r="I265" s="11"/>
      <c r="J265" s="11"/>
      <c r="K265" s="11"/>
      <c r="L265" s="11"/>
      <c r="M265" s="11"/>
      <c r="N265" s="11"/>
      <c r="O265" s="11" t="s">
        <v>633</v>
      </c>
    </row>
    <row r="266" customFormat="false" ht="14.25" hidden="false" customHeight="true" outlineLevel="0" collapsed="false">
      <c r="B266" s="11" t="s">
        <v>634</v>
      </c>
      <c r="C266" s="34" t="n">
        <f aca="false">C250</f>
        <v>0.07</v>
      </c>
      <c r="D266" s="11" t="s">
        <v>635</v>
      </c>
      <c r="E266" s="11"/>
      <c r="F266" s="11"/>
      <c r="G266" s="11"/>
      <c r="H266" s="11"/>
      <c r="I266" s="11"/>
      <c r="J266" s="11"/>
      <c r="K266" s="11"/>
      <c r="L266" s="11"/>
      <c r="M266" s="11"/>
      <c r="N266" s="11"/>
      <c r="O266" s="11" t="s">
        <v>636</v>
      </c>
    </row>
    <row r="267" customFormat="false" ht="14.25" hidden="false" customHeight="true" outlineLevel="0" collapsed="false">
      <c r="B267" s="11" t="s">
        <v>637</v>
      </c>
      <c r="C267" s="32" t="n">
        <f aca="false">C262</f>
        <v>42.8</v>
      </c>
      <c r="D267" s="11" t="s">
        <v>638</v>
      </c>
      <c r="E267" s="11"/>
      <c r="F267" s="11"/>
      <c r="G267" s="11"/>
      <c r="H267" s="11"/>
      <c r="I267" s="11"/>
      <c r="J267" s="11"/>
      <c r="K267" s="11"/>
      <c r="L267" s="11"/>
      <c r="M267" s="11"/>
      <c r="N267" s="11"/>
      <c r="O267" s="11" t="s">
        <v>639</v>
      </c>
    </row>
    <row r="268" customFormat="false" ht="14.25" hidden="false" customHeight="true" outlineLevel="0" collapsed="false">
      <c r="B268" s="11" t="s">
        <v>640</v>
      </c>
      <c r="C268" s="32" t="n">
        <f aca="false">C262/(C249-C248)*C266</f>
        <v>84.7524752475248</v>
      </c>
      <c r="D268" s="11" t="s">
        <v>641</v>
      </c>
      <c r="E268" s="11"/>
      <c r="F268" s="11"/>
      <c r="G268" s="11"/>
      <c r="H268" s="11"/>
      <c r="I268" s="11"/>
      <c r="J268" s="11"/>
      <c r="K268" s="11"/>
      <c r="L268" s="11"/>
      <c r="M268" s="11"/>
      <c r="N268" s="11"/>
      <c r="O268" s="11" t="s">
        <v>642</v>
      </c>
    </row>
    <row r="269" customFormat="false" ht="14.25" hidden="false" customHeight="true" outlineLevel="0" collapsed="false">
      <c r="B269" s="11" t="s">
        <v>643</v>
      </c>
      <c r="C269" s="32" t="n">
        <f aca="false">C258-C267</f>
        <v>23.4</v>
      </c>
      <c r="D269" s="11" t="s">
        <v>644</v>
      </c>
      <c r="E269" s="11"/>
      <c r="F269" s="11"/>
      <c r="G269" s="11"/>
      <c r="H269" s="11"/>
      <c r="I269" s="11"/>
      <c r="J269" s="11"/>
      <c r="K269" s="11"/>
      <c r="L269" s="11"/>
      <c r="M269" s="11"/>
      <c r="N269" s="11"/>
      <c r="O269" s="11" t="s">
        <v>645</v>
      </c>
    </row>
    <row r="270" customFormat="false" ht="14.25" hidden="false" customHeight="true" outlineLevel="0" collapsed="false">
      <c r="B270" s="11" t="s">
        <v>646</v>
      </c>
      <c r="C270" s="32" t="n">
        <f aca="false">C259-C268</f>
        <v>46.3366336633664</v>
      </c>
      <c r="D270" s="11" t="s">
        <v>647</v>
      </c>
      <c r="E270" s="11"/>
      <c r="F270" s="11"/>
      <c r="G270" s="11"/>
      <c r="H270" s="11"/>
      <c r="I270" s="11"/>
      <c r="J270" s="11"/>
      <c r="K270" s="11"/>
      <c r="L270" s="11"/>
      <c r="M270" s="11"/>
      <c r="N270" s="11"/>
      <c r="O270" s="11" t="s">
        <v>648</v>
      </c>
    </row>
    <row r="271" customFormat="false" ht="14.25" hidden="false" customHeight="true" outlineLevel="0" collapsed="false">
      <c r="B271" s="11"/>
      <c r="C271" s="11"/>
      <c r="D271" s="11"/>
      <c r="E271" s="11"/>
      <c r="F271" s="11"/>
      <c r="G271" s="11"/>
      <c r="H271" s="11"/>
      <c r="I271" s="11"/>
      <c r="J271" s="11"/>
      <c r="K271" s="11"/>
      <c r="L271" s="11"/>
      <c r="M271" s="11"/>
      <c r="N271" s="11"/>
      <c r="O271" s="11"/>
    </row>
    <row r="272" customFormat="false" ht="14.25" hidden="false" customHeight="true" outlineLevel="0" collapsed="false">
      <c r="A272" s="22" t="s">
        <v>11</v>
      </c>
      <c r="B272" s="10" t="s">
        <v>649</v>
      </c>
      <c r="C272" s="11"/>
      <c r="D272" s="11"/>
      <c r="E272" s="11"/>
      <c r="F272" s="11"/>
      <c r="G272" s="11"/>
      <c r="H272" s="11"/>
      <c r="I272" s="11"/>
      <c r="J272" s="11"/>
      <c r="K272" s="11"/>
      <c r="L272" s="11"/>
      <c r="M272" s="11"/>
      <c r="N272" s="11"/>
      <c r="O272" s="11"/>
    </row>
    <row r="273" customFormat="false" ht="14.25" hidden="false" customHeight="true" outlineLevel="0" collapsed="false">
      <c r="B273" s="11" t="s">
        <v>650</v>
      </c>
      <c r="C273" s="34" t="n">
        <f aca="false">C76</f>
        <v>0.24</v>
      </c>
      <c r="D273" s="11" t="s">
        <v>651</v>
      </c>
      <c r="E273" s="11"/>
      <c r="F273" s="11"/>
      <c r="G273" s="11"/>
      <c r="H273" s="11"/>
      <c r="I273" s="11"/>
      <c r="J273" s="11"/>
      <c r="K273" s="11"/>
      <c r="L273" s="11"/>
      <c r="M273" s="11"/>
      <c r="N273" s="11"/>
      <c r="O273" s="11" t="s">
        <v>652</v>
      </c>
    </row>
    <row r="274" customFormat="false" ht="14.25" hidden="false" customHeight="true" outlineLevel="0" collapsed="false">
      <c r="B274" s="11" t="s">
        <v>653</v>
      </c>
      <c r="C274" s="34" t="n">
        <f aca="false">C76</f>
        <v>0.24</v>
      </c>
      <c r="D274" s="11" t="s">
        <v>654</v>
      </c>
      <c r="E274" s="11"/>
      <c r="F274" s="11"/>
      <c r="G274" s="11"/>
      <c r="H274" s="11"/>
      <c r="I274" s="11"/>
      <c r="J274" s="11"/>
      <c r="K274" s="11"/>
      <c r="L274" s="11"/>
      <c r="M274" s="11"/>
      <c r="N274" s="11"/>
      <c r="O274" s="11" t="s">
        <v>652</v>
      </c>
    </row>
    <row r="275" customFormat="false" ht="14.25" hidden="false" customHeight="true" outlineLevel="0" collapsed="false">
      <c r="B275" s="11" t="s">
        <v>655</v>
      </c>
      <c r="C275" s="34" t="n">
        <f aca="false">C76</f>
        <v>0.24</v>
      </c>
      <c r="D275" s="11" t="s">
        <v>654</v>
      </c>
      <c r="E275" s="11"/>
      <c r="F275" s="11"/>
      <c r="G275" s="11"/>
      <c r="H275" s="11"/>
      <c r="I275" s="11"/>
      <c r="J275" s="11"/>
      <c r="K275" s="11"/>
      <c r="L275" s="11"/>
      <c r="M275" s="11"/>
      <c r="N275" s="11"/>
      <c r="O275" s="11" t="s">
        <v>652</v>
      </c>
    </row>
    <row r="276" customFormat="false" ht="14.25" hidden="false" customHeight="true" outlineLevel="0" collapsed="false">
      <c r="B276" s="11" t="s">
        <v>656</v>
      </c>
      <c r="C276" s="32" t="n">
        <f aca="false">Drivers!$C$78-Drivers!$C$726</f>
        <v>34.6724330961823</v>
      </c>
      <c r="D276" s="11" t="s">
        <v>657</v>
      </c>
      <c r="E276" s="11"/>
      <c r="F276" s="11"/>
      <c r="G276" s="11"/>
      <c r="H276" s="11"/>
      <c r="I276" s="11"/>
      <c r="J276" s="11"/>
      <c r="K276" s="11"/>
      <c r="L276" s="11"/>
      <c r="M276" s="11"/>
      <c r="N276" s="11"/>
      <c r="O276" s="11" t="s">
        <v>658</v>
      </c>
    </row>
    <row r="277" customFormat="false" ht="14.25" hidden="false" customHeight="true" outlineLevel="0" collapsed="false">
      <c r="B277" s="11" t="s">
        <v>659</v>
      </c>
      <c r="C277" s="32" t="n">
        <f aca="false">Drivers!$C$276-Drivers!$C$727</f>
        <v>34.1370834047592</v>
      </c>
      <c r="D277" s="11" t="s">
        <v>654</v>
      </c>
      <c r="E277" s="11"/>
      <c r="F277" s="11"/>
      <c r="G277" s="11"/>
      <c r="H277" s="11"/>
      <c r="I277" s="11"/>
      <c r="J277" s="11"/>
      <c r="K277" s="11"/>
      <c r="L277" s="11"/>
      <c r="M277" s="11"/>
      <c r="N277" s="11"/>
      <c r="O277" s="11" t="s">
        <v>660</v>
      </c>
    </row>
    <row r="278" customFormat="false" ht="14.25" hidden="false" customHeight="true" outlineLevel="0" collapsed="false">
      <c r="B278" s="11" t="s">
        <v>661</v>
      </c>
      <c r="C278" s="32" t="n">
        <f aca="false">Drivers!$C$277-Drivers!$C$728</f>
        <v>33.6198373260895</v>
      </c>
      <c r="D278" s="11" t="s">
        <v>654</v>
      </c>
      <c r="E278" s="11"/>
      <c r="F278" s="11"/>
      <c r="G278" s="11"/>
      <c r="H278" s="11"/>
      <c r="I278" s="11"/>
      <c r="J278" s="11"/>
      <c r="K278" s="11"/>
      <c r="L278" s="11"/>
      <c r="M278" s="11"/>
      <c r="N278" s="11"/>
      <c r="O278" s="11" t="s">
        <v>662</v>
      </c>
    </row>
    <row r="279" customFormat="false" ht="14.25" hidden="false" customHeight="true" outlineLevel="0" collapsed="false">
      <c r="B279" s="11" t="s">
        <v>663</v>
      </c>
      <c r="C279" s="37" t="n">
        <f aca="false">C80</f>
        <v>2.74</v>
      </c>
      <c r="D279" s="11" t="s">
        <v>664</v>
      </c>
      <c r="E279" s="11"/>
      <c r="F279" s="11"/>
      <c r="G279" s="11"/>
      <c r="H279" s="11"/>
      <c r="I279" s="11"/>
      <c r="J279" s="11"/>
      <c r="K279" s="11"/>
      <c r="L279" s="11"/>
      <c r="M279" s="11"/>
      <c r="N279" s="11"/>
      <c r="O279" s="11" t="s">
        <v>665</v>
      </c>
    </row>
    <row r="280" customFormat="false" ht="14.25" hidden="false" customHeight="true" outlineLevel="0" collapsed="false">
      <c r="B280" s="11" t="s">
        <v>666</v>
      </c>
      <c r="C280" s="37" t="n">
        <f aca="false">C80</f>
        <v>2.74</v>
      </c>
      <c r="D280" s="11" t="s">
        <v>654</v>
      </c>
      <c r="E280" s="11"/>
      <c r="F280" s="11"/>
      <c r="G280" s="11"/>
      <c r="H280" s="11"/>
      <c r="I280" s="11"/>
      <c r="J280" s="11"/>
      <c r="K280" s="11"/>
      <c r="L280" s="11"/>
      <c r="M280" s="11"/>
      <c r="N280" s="11"/>
      <c r="O280" s="11" t="s">
        <v>665</v>
      </c>
    </row>
    <row r="281" customFormat="false" ht="14.25" hidden="false" customHeight="true" outlineLevel="0" collapsed="false">
      <c r="B281" s="11" t="s">
        <v>667</v>
      </c>
      <c r="C281" s="37" t="n">
        <f aca="false">C80</f>
        <v>2.74</v>
      </c>
      <c r="D281" s="11" t="s">
        <v>654</v>
      </c>
      <c r="E281" s="11"/>
      <c r="F281" s="11"/>
      <c r="G281" s="11"/>
      <c r="H281" s="11"/>
      <c r="I281" s="11"/>
      <c r="J281" s="11"/>
      <c r="K281" s="11"/>
      <c r="L281" s="11"/>
      <c r="M281" s="11"/>
      <c r="N281" s="11"/>
      <c r="O281" s="11" t="s">
        <v>665</v>
      </c>
    </row>
    <row r="282" customFormat="false" ht="14.25" hidden="false" customHeight="true" outlineLevel="0" collapsed="false">
      <c r="B282" s="11" t="s">
        <v>668</v>
      </c>
      <c r="C282" s="32" t="n">
        <f aca="false">C82</f>
        <v>100</v>
      </c>
      <c r="D282" s="11" t="s">
        <v>669</v>
      </c>
      <c r="E282" s="11"/>
      <c r="F282" s="11"/>
      <c r="G282" s="11"/>
      <c r="H282" s="11"/>
      <c r="I282" s="11"/>
      <c r="J282" s="11"/>
      <c r="K282" s="11"/>
      <c r="L282" s="11"/>
      <c r="M282" s="11"/>
      <c r="N282" s="11"/>
      <c r="O282" s="11" t="s">
        <v>670</v>
      </c>
    </row>
    <row r="283" customFormat="false" ht="14.25" hidden="false" customHeight="true" outlineLevel="0" collapsed="false">
      <c r="B283" s="11" t="s">
        <v>671</v>
      </c>
      <c r="C283" s="32" t="n">
        <f aca="false">C82</f>
        <v>100</v>
      </c>
      <c r="D283" s="11" t="s">
        <v>654</v>
      </c>
      <c r="E283" s="11"/>
      <c r="F283" s="11"/>
      <c r="G283" s="11"/>
      <c r="H283" s="11"/>
      <c r="I283" s="11"/>
      <c r="J283" s="11"/>
      <c r="K283" s="11"/>
      <c r="L283" s="11"/>
      <c r="M283" s="11"/>
      <c r="N283" s="11"/>
      <c r="O283" s="11" t="s">
        <v>670</v>
      </c>
    </row>
    <row r="284" customFormat="false" ht="14.25" hidden="false" customHeight="true" outlineLevel="0" collapsed="false">
      <c r="B284" s="11" t="s">
        <v>672</v>
      </c>
      <c r="C284" s="32" t="n">
        <f aca="false">C82</f>
        <v>100</v>
      </c>
      <c r="D284" s="11" t="s">
        <v>654</v>
      </c>
      <c r="E284" s="11"/>
      <c r="F284" s="11"/>
      <c r="G284" s="11"/>
      <c r="H284" s="11"/>
      <c r="I284" s="11"/>
      <c r="J284" s="11"/>
      <c r="K284" s="11"/>
      <c r="L284" s="11"/>
      <c r="M284" s="11"/>
      <c r="N284" s="11"/>
      <c r="O284" s="11" t="s">
        <v>670</v>
      </c>
    </row>
    <row r="285" customFormat="false" ht="14.25" hidden="false" customHeight="true" outlineLevel="0" collapsed="false">
      <c r="B285" s="11" t="s">
        <v>673</v>
      </c>
      <c r="C285" s="32" t="n">
        <f aca="false">C85</f>
        <v>100</v>
      </c>
      <c r="D285" s="11" t="s">
        <v>674</v>
      </c>
      <c r="E285" s="11"/>
      <c r="F285" s="11"/>
      <c r="G285" s="11"/>
      <c r="H285" s="11"/>
      <c r="I285" s="11"/>
      <c r="J285" s="11"/>
      <c r="K285" s="11"/>
      <c r="L285" s="11"/>
      <c r="M285" s="11"/>
      <c r="N285" s="11"/>
      <c r="O285" s="11" t="s">
        <v>675</v>
      </c>
    </row>
    <row r="286" customFormat="false" ht="14.25" hidden="false" customHeight="true" outlineLevel="0" collapsed="false">
      <c r="B286" s="11" t="s">
        <v>676</v>
      </c>
      <c r="C286" s="32" t="n">
        <f aca="false">C85</f>
        <v>100</v>
      </c>
      <c r="D286" s="11" t="s">
        <v>654</v>
      </c>
      <c r="E286" s="11"/>
      <c r="F286" s="11"/>
      <c r="G286" s="11"/>
      <c r="H286" s="11"/>
      <c r="I286" s="11"/>
      <c r="J286" s="11"/>
      <c r="K286" s="11"/>
      <c r="L286" s="11"/>
      <c r="M286" s="11"/>
      <c r="N286" s="11"/>
      <c r="O286" s="11" t="s">
        <v>675</v>
      </c>
    </row>
    <row r="287" customFormat="false" ht="14.25" hidden="false" customHeight="true" outlineLevel="0" collapsed="false">
      <c r="B287" s="11" t="s">
        <v>677</v>
      </c>
      <c r="C287" s="32" t="n">
        <f aca="false">C85</f>
        <v>100</v>
      </c>
      <c r="D287" s="11" t="s">
        <v>654</v>
      </c>
      <c r="E287" s="11"/>
      <c r="F287" s="11"/>
      <c r="G287" s="11"/>
      <c r="H287" s="11"/>
      <c r="I287" s="11"/>
      <c r="J287" s="11"/>
      <c r="K287" s="11"/>
      <c r="L287" s="11"/>
      <c r="M287" s="11"/>
      <c r="N287" s="11"/>
      <c r="O287" s="11" t="s">
        <v>675</v>
      </c>
    </row>
    <row r="288" customFormat="false" ht="14.25" hidden="false" customHeight="true" outlineLevel="0" collapsed="false">
      <c r="B288" s="11" t="s">
        <v>678</v>
      </c>
      <c r="C288" s="32" t="n">
        <f aca="false">C87</f>
        <v>150</v>
      </c>
      <c r="D288" s="11" t="s">
        <v>679</v>
      </c>
      <c r="E288" s="11"/>
      <c r="F288" s="11"/>
      <c r="G288" s="11"/>
      <c r="H288" s="11"/>
      <c r="I288" s="11"/>
      <c r="J288" s="11"/>
      <c r="K288" s="11"/>
      <c r="L288" s="11"/>
      <c r="M288" s="11"/>
      <c r="N288" s="11"/>
      <c r="O288" s="11" t="s">
        <v>680</v>
      </c>
    </row>
    <row r="289" customFormat="false" ht="14.25" hidden="false" customHeight="true" outlineLevel="0" collapsed="false">
      <c r="B289" s="11" t="s">
        <v>681</v>
      </c>
      <c r="C289" s="32" t="n">
        <f aca="false">C87</f>
        <v>150</v>
      </c>
      <c r="D289" s="11" t="s">
        <v>654</v>
      </c>
      <c r="E289" s="11"/>
      <c r="F289" s="11"/>
      <c r="G289" s="11"/>
      <c r="H289" s="11"/>
      <c r="I289" s="11"/>
      <c r="J289" s="11"/>
      <c r="K289" s="11"/>
      <c r="L289" s="11"/>
      <c r="M289" s="11"/>
      <c r="N289" s="11"/>
      <c r="O289" s="11" t="s">
        <v>680</v>
      </c>
    </row>
    <row r="290" customFormat="false" ht="14.25" hidden="false" customHeight="true" outlineLevel="0" collapsed="false">
      <c r="B290" s="11" t="s">
        <v>682</v>
      </c>
      <c r="C290" s="32" t="n">
        <f aca="false">C87</f>
        <v>150</v>
      </c>
      <c r="D290" s="11" t="s">
        <v>654</v>
      </c>
      <c r="E290" s="11"/>
      <c r="F290" s="11"/>
      <c r="G290" s="11"/>
      <c r="H290" s="11"/>
      <c r="I290" s="11"/>
      <c r="J290" s="11"/>
      <c r="K290" s="11"/>
      <c r="L290" s="11"/>
      <c r="M290" s="11"/>
      <c r="N290" s="11"/>
      <c r="O290" s="11" t="s">
        <v>680</v>
      </c>
    </row>
    <row r="291" customFormat="false" ht="14.25" hidden="false" customHeight="true" outlineLevel="0" collapsed="false">
      <c r="B291" s="11" t="s">
        <v>683</v>
      </c>
      <c r="C291" s="32" t="n">
        <f aca="false">C88</f>
        <v>400</v>
      </c>
      <c r="D291" s="11" t="s">
        <v>684</v>
      </c>
      <c r="E291" s="11"/>
      <c r="F291" s="11"/>
      <c r="G291" s="11"/>
      <c r="H291" s="11"/>
      <c r="I291" s="11"/>
      <c r="J291" s="11"/>
      <c r="K291" s="11"/>
      <c r="L291" s="11"/>
      <c r="M291" s="11"/>
      <c r="N291" s="11"/>
      <c r="O291" s="11" t="s">
        <v>685</v>
      </c>
    </row>
    <row r="292" customFormat="false" ht="14.25" hidden="false" customHeight="true" outlineLevel="0" collapsed="false">
      <c r="B292" s="11" t="s">
        <v>686</v>
      </c>
      <c r="C292" s="32" t="n">
        <f aca="false">C88</f>
        <v>400</v>
      </c>
      <c r="D292" s="11" t="s">
        <v>687</v>
      </c>
      <c r="E292" s="11"/>
      <c r="F292" s="11"/>
      <c r="G292" s="11"/>
      <c r="H292" s="11"/>
      <c r="I292" s="11"/>
      <c r="J292" s="11"/>
      <c r="K292" s="11"/>
      <c r="L292" s="11"/>
      <c r="M292" s="11"/>
      <c r="N292" s="11"/>
      <c r="O292" s="11" t="s">
        <v>685</v>
      </c>
    </row>
    <row r="293" customFormat="false" ht="14.25" hidden="false" customHeight="true" outlineLevel="0" collapsed="false">
      <c r="B293" s="11" t="s">
        <v>688</v>
      </c>
      <c r="C293" s="32" t="n">
        <f aca="false">C88</f>
        <v>400</v>
      </c>
      <c r="D293" s="11" t="s">
        <v>687</v>
      </c>
      <c r="E293" s="11"/>
      <c r="F293" s="11"/>
      <c r="G293" s="11"/>
      <c r="H293" s="11"/>
      <c r="I293" s="11"/>
      <c r="J293" s="11"/>
      <c r="K293" s="11"/>
      <c r="L293" s="11"/>
      <c r="M293" s="11"/>
      <c r="N293" s="11"/>
      <c r="O293" s="11" t="s">
        <v>685</v>
      </c>
    </row>
    <row r="294" customFormat="false" ht="14.25" hidden="false" customHeight="true" outlineLevel="0" collapsed="false">
      <c r="B294" s="11" t="s">
        <v>689</v>
      </c>
      <c r="C294" s="32" t="n">
        <f aca="false">C114</f>
        <v>150</v>
      </c>
      <c r="D294" s="11" t="s">
        <v>690</v>
      </c>
      <c r="E294" s="11"/>
      <c r="F294" s="11"/>
      <c r="G294" s="11"/>
      <c r="H294" s="11"/>
      <c r="I294" s="11"/>
      <c r="J294" s="11"/>
      <c r="K294" s="11"/>
      <c r="L294" s="11"/>
      <c r="M294" s="11"/>
      <c r="N294" s="11"/>
      <c r="O294" s="11" t="s">
        <v>691</v>
      </c>
    </row>
    <row r="295" customFormat="false" ht="14.25" hidden="false" customHeight="true" outlineLevel="0" collapsed="false">
      <c r="B295" s="11" t="s">
        <v>692</v>
      </c>
      <c r="C295" s="32" t="n">
        <f aca="false">C114</f>
        <v>150</v>
      </c>
      <c r="D295" s="11" t="s">
        <v>654</v>
      </c>
      <c r="E295" s="11"/>
      <c r="F295" s="11"/>
      <c r="G295" s="11"/>
      <c r="H295" s="11"/>
      <c r="I295" s="11"/>
      <c r="J295" s="11"/>
      <c r="K295" s="11"/>
      <c r="L295" s="11"/>
      <c r="M295" s="11"/>
      <c r="N295" s="11"/>
      <c r="O295" s="11" t="s">
        <v>691</v>
      </c>
    </row>
    <row r="296" customFormat="false" ht="14.25" hidden="false" customHeight="true" outlineLevel="0" collapsed="false">
      <c r="B296" s="11" t="s">
        <v>693</v>
      </c>
      <c r="C296" s="32" t="n">
        <f aca="false">C114</f>
        <v>150</v>
      </c>
      <c r="D296" s="11" t="s">
        <v>654</v>
      </c>
      <c r="E296" s="11"/>
      <c r="F296" s="11"/>
      <c r="G296" s="11"/>
      <c r="H296" s="11"/>
      <c r="I296" s="11"/>
      <c r="J296" s="11"/>
      <c r="K296" s="11"/>
      <c r="L296" s="11"/>
      <c r="M296" s="11"/>
      <c r="N296" s="11"/>
      <c r="O296" s="11" t="s">
        <v>691</v>
      </c>
    </row>
    <row r="297" customFormat="false" ht="14.25" hidden="false" customHeight="true" outlineLevel="0" collapsed="false">
      <c r="B297" s="11" t="s">
        <v>694</v>
      </c>
      <c r="C297" s="32" t="n">
        <f aca="false">C116</f>
        <v>130</v>
      </c>
      <c r="D297" s="11" t="s">
        <v>695</v>
      </c>
      <c r="E297" s="11"/>
      <c r="F297" s="11"/>
      <c r="G297" s="11"/>
      <c r="H297" s="11"/>
      <c r="I297" s="11"/>
      <c r="J297" s="11"/>
      <c r="K297" s="11"/>
      <c r="L297" s="11"/>
      <c r="M297" s="11"/>
      <c r="N297" s="11"/>
      <c r="O297" s="11" t="s">
        <v>696</v>
      </c>
    </row>
    <row r="298" customFormat="false" ht="14.25" hidden="false" customHeight="true" outlineLevel="0" collapsed="false">
      <c r="B298" s="11" t="s">
        <v>697</v>
      </c>
      <c r="C298" s="32" t="n">
        <f aca="false">C116</f>
        <v>130</v>
      </c>
      <c r="D298" s="11" t="s">
        <v>654</v>
      </c>
      <c r="E298" s="11"/>
      <c r="F298" s="11"/>
      <c r="G298" s="11"/>
      <c r="H298" s="11"/>
      <c r="I298" s="11"/>
      <c r="J298" s="11"/>
      <c r="K298" s="11"/>
      <c r="L298" s="11"/>
      <c r="M298" s="11"/>
      <c r="N298" s="11"/>
      <c r="O298" s="11" t="s">
        <v>696</v>
      </c>
    </row>
    <row r="299" customFormat="false" ht="14.25" hidden="false" customHeight="true" outlineLevel="0" collapsed="false">
      <c r="B299" s="11" t="s">
        <v>698</v>
      </c>
      <c r="C299" s="32" t="n">
        <f aca="false">C116</f>
        <v>130</v>
      </c>
      <c r="D299" s="11" t="s">
        <v>654</v>
      </c>
      <c r="E299" s="11"/>
      <c r="F299" s="11"/>
      <c r="G299" s="11"/>
      <c r="H299" s="11"/>
      <c r="I299" s="11"/>
      <c r="J299" s="11"/>
      <c r="K299" s="11"/>
      <c r="L299" s="11"/>
      <c r="M299" s="11"/>
      <c r="N299" s="11"/>
      <c r="O299" s="11" t="s">
        <v>696</v>
      </c>
    </row>
    <row r="300" customFormat="false" ht="14.25" hidden="false" customHeight="true" outlineLevel="0" collapsed="false">
      <c r="B300" s="11" t="s">
        <v>699</v>
      </c>
      <c r="C300" s="32" t="n">
        <f aca="false">C122</f>
        <v>1400</v>
      </c>
      <c r="D300" s="11" t="s">
        <v>700</v>
      </c>
      <c r="E300" s="11"/>
      <c r="F300" s="11"/>
      <c r="G300" s="11"/>
      <c r="H300" s="11"/>
      <c r="I300" s="11"/>
      <c r="J300" s="11"/>
      <c r="K300" s="11"/>
      <c r="L300" s="11"/>
      <c r="M300" s="11"/>
      <c r="N300" s="11"/>
      <c r="O300" s="11" t="s">
        <v>701</v>
      </c>
    </row>
    <row r="301" customFormat="false" ht="14.25" hidden="false" customHeight="true" outlineLevel="0" collapsed="false">
      <c r="B301" s="11" t="s">
        <v>702</v>
      </c>
      <c r="C301" s="32" t="n">
        <f aca="false">C122</f>
        <v>1400</v>
      </c>
      <c r="D301" s="11" t="s">
        <v>654</v>
      </c>
      <c r="E301" s="11"/>
      <c r="F301" s="11"/>
      <c r="G301" s="11"/>
      <c r="H301" s="11"/>
      <c r="I301" s="11"/>
      <c r="J301" s="11"/>
      <c r="K301" s="11"/>
      <c r="L301" s="11"/>
      <c r="M301" s="11"/>
      <c r="N301" s="11"/>
      <c r="O301" s="11" t="s">
        <v>701</v>
      </c>
    </row>
    <row r="302" customFormat="false" ht="14.25" hidden="false" customHeight="true" outlineLevel="0" collapsed="false">
      <c r="B302" s="11" t="s">
        <v>703</v>
      </c>
      <c r="C302" s="32" t="n">
        <f aca="false">C122</f>
        <v>1400</v>
      </c>
      <c r="D302" s="11" t="s">
        <v>654</v>
      </c>
      <c r="E302" s="11"/>
      <c r="F302" s="11"/>
      <c r="G302" s="11"/>
      <c r="H302" s="11"/>
      <c r="I302" s="11"/>
      <c r="J302" s="11"/>
      <c r="K302" s="11"/>
      <c r="L302" s="11"/>
      <c r="M302" s="11"/>
      <c r="N302" s="11"/>
      <c r="O302" s="11" t="s">
        <v>701</v>
      </c>
    </row>
    <row r="303" customFormat="false" ht="14.25" hidden="false" customHeight="true" outlineLevel="0" collapsed="false">
      <c r="B303" s="11" t="s">
        <v>704</v>
      </c>
      <c r="C303" s="32" t="n">
        <f aca="false">C125</f>
        <v>720</v>
      </c>
      <c r="D303" s="11" t="s">
        <v>705</v>
      </c>
      <c r="E303" s="11"/>
      <c r="F303" s="11"/>
      <c r="G303" s="11"/>
      <c r="H303" s="11"/>
      <c r="I303" s="11"/>
      <c r="J303" s="11"/>
      <c r="K303" s="11"/>
      <c r="L303" s="11"/>
      <c r="M303" s="11"/>
      <c r="N303" s="11"/>
      <c r="O303" s="11" t="s">
        <v>706</v>
      </c>
    </row>
    <row r="304" customFormat="false" ht="14.25" hidden="false" customHeight="true" outlineLevel="0" collapsed="false">
      <c r="B304" s="11" t="s">
        <v>707</v>
      </c>
      <c r="C304" s="32" t="n">
        <f aca="false">C125</f>
        <v>720</v>
      </c>
      <c r="D304" s="11" t="s">
        <v>654</v>
      </c>
      <c r="E304" s="11"/>
      <c r="F304" s="11"/>
      <c r="G304" s="11"/>
      <c r="H304" s="11"/>
      <c r="I304" s="11"/>
      <c r="J304" s="11"/>
      <c r="K304" s="11"/>
      <c r="L304" s="11"/>
      <c r="M304" s="11"/>
      <c r="N304" s="11"/>
      <c r="O304" s="11" t="s">
        <v>706</v>
      </c>
    </row>
    <row r="305" customFormat="false" ht="14.25" hidden="false" customHeight="true" outlineLevel="0" collapsed="false">
      <c r="B305" s="11" t="s">
        <v>708</v>
      </c>
      <c r="C305" s="32" t="n">
        <f aca="false">C125</f>
        <v>720</v>
      </c>
      <c r="D305" s="11" t="s">
        <v>654</v>
      </c>
      <c r="E305" s="11"/>
      <c r="F305" s="11"/>
      <c r="G305" s="11"/>
      <c r="H305" s="11"/>
      <c r="I305" s="11"/>
      <c r="J305" s="11"/>
      <c r="K305" s="11"/>
      <c r="L305" s="11"/>
      <c r="M305" s="11"/>
      <c r="N305" s="11"/>
      <c r="O305" s="11" t="s">
        <v>706</v>
      </c>
    </row>
    <row r="306" customFormat="false" ht="14.25" hidden="false" customHeight="true" outlineLevel="0" collapsed="false">
      <c r="B306" s="11" t="s">
        <v>709</v>
      </c>
      <c r="C306" s="34" t="n">
        <f aca="false">C138</f>
        <v>0.05</v>
      </c>
      <c r="D306" s="11" t="s">
        <v>710</v>
      </c>
      <c r="E306" s="11"/>
      <c r="F306" s="11"/>
      <c r="G306" s="11"/>
      <c r="H306" s="11"/>
      <c r="I306" s="11"/>
      <c r="J306" s="11"/>
      <c r="K306" s="11"/>
      <c r="L306" s="11"/>
      <c r="M306" s="11"/>
      <c r="N306" s="11"/>
      <c r="O306" s="11" t="s">
        <v>711</v>
      </c>
    </row>
    <row r="307" customFormat="false" ht="14.25" hidden="false" customHeight="true" outlineLevel="0" collapsed="false">
      <c r="B307" s="11" t="s">
        <v>712</v>
      </c>
      <c r="C307" s="34" t="n">
        <f aca="false">C138</f>
        <v>0.05</v>
      </c>
      <c r="D307" s="11" t="s">
        <v>687</v>
      </c>
      <c r="E307" s="11"/>
      <c r="F307" s="11"/>
      <c r="G307" s="11"/>
      <c r="H307" s="11"/>
      <c r="I307" s="11"/>
      <c r="J307" s="11"/>
      <c r="K307" s="11"/>
      <c r="L307" s="11"/>
      <c r="M307" s="11"/>
      <c r="N307" s="11"/>
      <c r="O307" s="11" t="s">
        <v>711</v>
      </c>
    </row>
    <row r="308" customFormat="false" ht="14.25" hidden="false" customHeight="true" outlineLevel="0" collapsed="false">
      <c r="B308" s="11" t="s">
        <v>713</v>
      </c>
      <c r="C308" s="34" t="n">
        <f aca="false">C138</f>
        <v>0.05</v>
      </c>
      <c r="D308" s="11" t="s">
        <v>687</v>
      </c>
      <c r="E308" s="11"/>
      <c r="F308" s="11"/>
      <c r="G308" s="11"/>
      <c r="H308" s="11"/>
      <c r="I308" s="11"/>
      <c r="J308" s="11"/>
      <c r="K308" s="11"/>
      <c r="L308" s="11"/>
      <c r="M308" s="11"/>
      <c r="N308" s="11"/>
      <c r="O308" s="11" t="s">
        <v>711</v>
      </c>
    </row>
    <row r="309" customFormat="false" ht="14.25" hidden="false" customHeight="true" outlineLevel="0" collapsed="false">
      <c r="B309" s="11" t="s">
        <v>714</v>
      </c>
      <c r="C309" s="34" t="n">
        <f aca="false">C140</f>
        <v>0.1</v>
      </c>
      <c r="D309" s="11" t="s">
        <v>715</v>
      </c>
      <c r="E309" s="11"/>
      <c r="F309" s="11"/>
      <c r="G309" s="11"/>
      <c r="H309" s="11"/>
      <c r="I309" s="11"/>
      <c r="J309" s="11"/>
      <c r="K309" s="11"/>
      <c r="L309" s="11"/>
      <c r="M309" s="11"/>
      <c r="N309" s="11"/>
      <c r="O309" s="11" t="s">
        <v>716</v>
      </c>
    </row>
    <row r="310" customFormat="false" ht="14.25" hidden="false" customHeight="true" outlineLevel="0" collapsed="false">
      <c r="B310" s="11" t="s">
        <v>717</v>
      </c>
      <c r="C310" s="34" t="n">
        <f aca="false">C140</f>
        <v>0.1</v>
      </c>
      <c r="D310" s="11" t="s">
        <v>687</v>
      </c>
      <c r="E310" s="11"/>
      <c r="F310" s="11"/>
      <c r="G310" s="11"/>
      <c r="H310" s="11"/>
      <c r="I310" s="11"/>
      <c r="J310" s="11"/>
      <c r="K310" s="11"/>
      <c r="L310" s="11"/>
      <c r="M310" s="11"/>
      <c r="N310" s="11"/>
      <c r="O310" s="11" t="s">
        <v>716</v>
      </c>
    </row>
    <row r="311" customFormat="false" ht="14.25" hidden="false" customHeight="true" outlineLevel="0" collapsed="false">
      <c r="B311" s="11" t="s">
        <v>718</v>
      </c>
      <c r="C311" s="34" t="n">
        <f aca="false">C140</f>
        <v>0.1</v>
      </c>
      <c r="D311" s="11" t="s">
        <v>687</v>
      </c>
      <c r="E311" s="11"/>
      <c r="F311" s="11"/>
      <c r="G311" s="11"/>
      <c r="H311" s="11"/>
      <c r="I311" s="11"/>
      <c r="J311" s="11"/>
      <c r="K311" s="11"/>
      <c r="L311" s="11"/>
      <c r="M311" s="11"/>
      <c r="N311" s="11"/>
      <c r="O311" s="11" t="s">
        <v>716</v>
      </c>
    </row>
    <row r="312" customFormat="false" ht="14.25" hidden="false" customHeight="true" outlineLevel="0" collapsed="false">
      <c r="B312" s="11" t="s">
        <v>719</v>
      </c>
      <c r="C312" s="32" t="n">
        <f aca="false">C143</f>
        <v>10</v>
      </c>
      <c r="D312" s="11" t="s">
        <v>720</v>
      </c>
      <c r="E312" s="11"/>
      <c r="F312" s="11"/>
      <c r="G312" s="11"/>
      <c r="H312" s="11"/>
      <c r="I312" s="11"/>
      <c r="J312" s="11"/>
      <c r="K312" s="11"/>
      <c r="L312" s="11"/>
      <c r="M312" s="11"/>
      <c r="N312" s="11"/>
      <c r="O312" s="11" t="s">
        <v>721</v>
      </c>
    </row>
    <row r="313" customFormat="false" ht="14.25" hidden="false" customHeight="true" outlineLevel="0" collapsed="false">
      <c r="B313" s="11" t="s">
        <v>722</v>
      </c>
      <c r="C313" s="32" t="n">
        <f aca="false">C143</f>
        <v>10</v>
      </c>
      <c r="D313" s="11" t="s">
        <v>654</v>
      </c>
      <c r="E313" s="11"/>
      <c r="F313" s="11"/>
      <c r="G313" s="11"/>
      <c r="H313" s="11"/>
      <c r="I313" s="11"/>
      <c r="J313" s="11"/>
      <c r="K313" s="11"/>
      <c r="L313" s="11"/>
      <c r="M313" s="11"/>
      <c r="N313" s="11"/>
      <c r="O313" s="11" t="s">
        <v>721</v>
      </c>
    </row>
    <row r="314" customFormat="false" ht="14.25" hidden="false" customHeight="true" outlineLevel="0" collapsed="false">
      <c r="B314" s="11" t="s">
        <v>723</v>
      </c>
      <c r="C314" s="32" t="n">
        <f aca="false">C143</f>
        <v>10</v>
      </c>
      <c r="D314" s="11" t="s">
        <v>654</v>
      </c>
      <c r="E314" s="11"/>
      <c r="F314" s="11"/>
      <c r="G314" s="11"/>
      <c r="H314" s="11"/>
      <c r="I314" s="11"/>
      <c r="J314" s="11"/>
      <c r="K314" s="11"/>
      <c r="L314" s="11"/>
      <c r="M314" s="11"/>
      <c r="N314" s="11"/>
      <c r="O314" s="11" t="s">
        <v>721</v>
      </c>
    </row>
    <row r="315" customFormat="false" ht="14.25" hidden="false" customHeight="true" outlineLevel="0" collapsed="false">
      <c r="B315" s="11" t="s">
        <v>724</v>
      </c>
      <c r="C315" s="34" t="n">
        <f aca="false">C108</f>
        <v>0.0502</v>
      </c>
      <c r="D315" s="11" t="s">
        <v>725</v>
      </c>
      <c r="E315" s="11"/>
      <c r="F315" s="11"/>
      <c r="G315" s="11"/>
      <c r="H315" s="11"/>
      <c r="I315" s="11"/>
      <c r="J315" s="11"/>
      <c r="K315" s="11"/>
      <c r="L315" s="11"/>
      <c r="M315" s="11"/>
      <c r="N315" s="11"/>
      <c r="O315" s="11" t="s">
        <v>726</v>
      </c>
    </row>
    <row r="316" customFormat="false" ht="14.25" hidden="false" customHeight="true" outlineLevel="0" collapsed="false">
      <c r="B316" s="11" t="s">
        <v>727</v>
      </c>
      <c r="C316" s="34" t="n">
        <f aca="false">C170</f>
        <v>0.0463</v>
      </c>
      <c r="D316" s="11" t="s">
        <v>728</v>
      </c>
      <c r="E316" s="11"/>
      <c r="F316" s="11"/>
      <c r="G316" s="11"/>
      <c r="H316" s="11"/>
      <c r="I316" s="11"/>
      <c r="J316" s="11"/>
      <c r="K316" s="11"/>
      <c r="L316" s="11"/>
      <c r="M316" s="11"/>
      <c r="N316" s="11"/>
      <c r="O316" s="11" t="s">
        <v>729</v>
      </c>
    </row>
    <row r="317" customFormat="false" ht="14.25" hidden="false" customHeight="true" outlineLevel="0" collapsed="false">
      <c r="B317" s="11"/>
      <c r="C317" s="11"/>
      <c r="D317" s="11"/>
      <c r="E317" s="11"/>
      <c r="F317" s="11"/>
      <c r="G317" s="11"/>
      <c r="H317" s="11"/>
      <c r="I317" s="11"/>
      <c r="J317" s="11"/>
      <c r="K317" s="11"/>
      <c r="L317" s="11"/>
      <c r="M317" s="11"/>
      <c r="N317" s="11"/>
      <c r="O317" s="11"/>
    </row>
    <row r="318" customFormat="false" ht="14.25" hidden="false" customHeight="true" outlineLevel="0" collapsed="false">
      <c r="B318" s="11"/>
      <c r="C318" s="11"/>
      <c r="D318" s="11"/>
      <c r="E318" s="11"/>
      <c r="F318" s="11"/>
      <c r="G318" s="11"/>
      <c r="H318" s="11"/>
      <c r="I318" s="11"/>
      <c r="J318" s="11"/>
      <c r="K318" s="11"/>
      <c r="L318" s="11"/>
      <c r="M318" s="11"/>
      <c r="N318" s="11"/>
      <c r="O318" s="11"/>
    </row>
    <row r="319" customFormat="false" ht="14.25" hidden="false" customHeight="true" outlineLevel="0" collapsed="false">
      <c r="B319" s="11"/>
      <c r="C319" s="11"/>
      <c r="D319" s="11"/>
      <c r="E319" s="11"/>
      <c r="F319" s="11"/>
      <c r="G319" s="11"/>
      <c r="H319" s="11"/>
      <c r="I319" s="11"/>
      <c r="J319" s="11"/>
      <c r="K319" s="11"/>
      <c r="L319" s="11"/>
      <c r="M319" s="11"/>
      <c r="N319" s="11"/>
      <c r="O319" s="11"/>
    </row>
    <row r="320" customFormat="false" ht="14.25" hidden="false" customHeight="true" outlineLevel="0" collapsed="false">
      <c r="B320" s="11" t="s">
        <v>730</v>
      </c>
      <c r="C320" s="31" t="n">
        <v>160</v>
      </c>
      <c r="D320" s="11" t="s">
        <v>731</v>
      </c>
      <c r="E320" s="11"/>
      <c r="F320" s="11"/>
      <c r="G320" s="11"/>
      <c r="H320" s="11"/>
      <c r="I320" s="11"/>
      <c r="J320" s="11"/>
      <c r="K320" s="11"/>
      <c r="L320" s="11"/>
      <c r="M320" s="11"/>
      <c r="N320" s="11"/>
      <c r="O320" s="11" t="s">
        <v>732</v>
      </c>
    </row>
    <row r="321" customFormat="false" ht="14.25" hidden="false" customHeight="true" outlineLevel="0" collapsed="false">
      <c r="B321" s="11" t="s">
        <v>733</v>
      </c>
      <c r="C321" s="33" t="n">
        <v>0.03</v>
      </c>
      <c r="D321" s="11" t="s">
        <v>734</v>
      </c>
      <c r="E321" s="11"/>
      <c r="F321" s="11"/>
      <c r="G321" s="11"/>
      <c r="H321" s="11"/>
      <c r="I321" s="11"/>
      <c r="J321" s="11"/>
      <c r="K321" s="11"/>
      <c r="L321" s="11"/>
      <c r="M321" s="11"/>
      <c r="N321" s="11"/>
      <c r="O321" s="11" t="s">
        <v>735</v>
      </c>
    </row>
    <row r="322" customFormat="false" ht="14.25" hidden="false" customHeight="true" outlineLevel="0" collapsed="false">
      <c r="B322" s="11" t="s">
        <v>736</v>
      </c>
      <c r="C322" s="31" t="n">
        <v>5</v>
      </c>
      <c r="D322" s="11"/>
      <c r="E322" s="11"/>
      <c r="F322" s="11"/>
      <c r="G322" s="11"/>
      <c r="H322" s="11"/>
      <c r="I322" s="11"/>
      <c r="J322" s="11"/>
      <c r="K322" s="11"/>
      <c r="L322" s="11"/>
      <c r="M322" s="11"/>
      <c r="N322" s="11"/>
      <c r="O322" s="11" t="s">
        <v>737</v>
      </c>
    </row>
    <row r="323" customFormat="false" ht="14.25" hidden="false" customHeight="true" outlineLevel="0" collapsed="false">
      <c r="B323" s="11"/>
      <c r="C323" s="11"/>
      <c r="D323" s="11"/>
      <c r="E323" s="11"/>
      <c r="F323" s="11"/>
      <c r="G323" s="11"/>
      <c r="H323" s="11"/>
      <c r="I323" s="11"/>
      <c r="J323" s="11"/>
      <c r="K323" s="11"/>
      <c r="L323" s="11"/>
      <c r="M323" s="11"/>
      <c r="N323" s="11"/>
      <c r="O323" s="11"/>
    </row>
    <row r="324" customFormat="false" ht="14.25" hidden="false" customHeight="true" outlineLevel="0" collapsed="false">
      <c r="A324" s="22" t="s">
        <v>11</v>
      </c>
      <c r="B324" s="10" t="s">
        <v>738</v>
      </c>
      <c r="C324" s="11"/>
      <c r="D324" s="11"/>
      <c r="E324" s="11"/>
      <c r="F324" s="11"/>
      <c r="G324" s="11"/>
      <c r="H324" s="11"/>
      <c r="I324" s="11"/>
      <c r="J324" s="11"/>
      <c r="K324" s="11"/>
      <c r="L324" s="11"/>
      <c r="M324" s="11"/>
      <c r="N324" s="11"/>
      <c r="O324" s="11"/>
    </row>
    <row r="325" customFormat="false" ht="14.25" hidden="false" customHeight="true" outlineLevel="0" collapsed="false">
      <c r="B325" s="3" t="s">
        <v>739</v>
      </c>
      <c r="C325" s="11"/>
      <c r="D325" s="11"/>
      <c r="E325" s="11"/>
      <c r="F325" s="11"/>
      <c r="G325" s="11"/>
      <c r="H325" s="11"/>
      <c r="I325" s="11"/>
      <c r="J325" s="11"/>
      <c r="K325" s="11"/>
      <c r="L325" s="11"/>
      <c r="M325" s="11"/>
      <c r="N325" s="11"/>
      <c r="O325" s="11"/>
    </row>
    <row r="326" customFormat="false" ht="14.25" hidden="false" customHeight="true" outlineLevel="0" collapsed="false">
      <c r="B326" s="11" t="s">
        <v>740</v>
      </c>
      <c r="C326" s="31" t="n">
        <v>580.1</v>
      </c>
      <c r="D326" s="11" t="s">
        <v>741</v>
      </c>
      <c r="E326" s="11"/>
      <c r="F326" s="11"/>
      <c r="G326" s="11"/>
      <c r="H326" s="11"/>
      <c r="I326" s="11"/>
      <c r="J326" s="11"/>
      <c r="K326" s="11"/>
      <c r="L326" s="11"/>
      <c r="M326" s="11"/>
      <c r="N326" s="11"/>
      <c r="O326" s="11" t="s">
        <v>741</v>
      </c>
    </row>
    <row r="327" customFormat="false" ht="14.25" hidden="false" customHeight="true" outlineLevel="0" collapsed="false">
      <c r="B327" s="11" t="s">
        <v>742</v>
      </c>
      <c r="C327" s="31" t="n">
        <v>1163.8</v>
      </c>
      <c r="D327" s="11" t="s">
        <v>741</v>
      </c>
      <c r="E327" s="11"/>
      <c r="F327" s="11"/>
      <c r="G327" s="11"/>
      <c r="H327" s="11"/>
      <c r="I327" s="11"/>
      <c r="J327" s="11"/>
      <c r="K327" s="11"/>
      <c r="L327" s="11"/>
      <c r="M327" s="11"/>
      <c r="N327" s="11"/>
      <c r="O327" s="11" t="s">
        <v>741</v>
      </c>
    </row>
    <row r="328" customFormat="false" ht="14.25" hidden="false" customHeight="true" outlineLevel="0" collapsed="false">
      <c r="B328" s="11" t="s">
        <v>743</v>
      </c>
      <c r="C328" s="32" t="n">
        <f aca="false">C327-C326</f>
        <v>583.7</v>
      </c>
      <c r="D328" s="11" t="s">
        <v>744</v>
      </c>
      <c r="E328" s="11"/>
      <c r="F328" s="11"/>
      <c r="G328" s="11"/>
      <c r="H328" s="11"/>
      <c r="I328" s="11"/>
      <c r="J328" s="11"/>
      <c r="K328" s="11"/>
      <c r="L328" s="11"/>
      <c r="M328" s="11"/>
      <c r="N328" s="11"/>
      <c r="O328" s="11" t="s">
        <v>745</v>
      </c>
    </row>
    <row r="329" customFormat="false" ht="14.25" hidden="false" customHeight="true" outlineLevel="0" collapsed="false">
      <c r="B329" s="11" t="s">
        <v>746</v>
      </c>
      <c r="C329" s="31" t="n">
        <v>-151.8</v>
      </c>
      <c r="D329" s="11" t="s">
        <v>741</v>
      </c>
      <c r="E329" s="11"/>
      <c r="F329" s="11"/>
      <c r="G329" s="11"/>
      <c r="H329" s="11"/>
      <c r="I329" s="11"/>
      <c r="J329" s="11"/>
      <c r="K329" s="11"/>
      <c r="L329" s="11"/>
      <c r="M329" s="11"/>
      <c r="N329" s="11"/>
      <c r="O329" s="11" t="s">
        <v>741</v>
      </c>
    </row>
    <row r="330" customFormat="false" ht="14.25" hidden="false" customHeight="true" outlineLevel="0" collapsed="false">
      <c r="B330" s="11" t="s">
        <v>747</v>
      </c>
      <c r="C330" s="31" t="n">
        <v>-292.5</v>
      </c>
      <c r="D330" s="11" t="s">
        <v>741</v>
      </c>
      <c r="E330" s="11"/>
      <c r="F330" s="11"/>
      <c r="G330" s="11"/>
      <c r="H330" s="11"/>
      <c r="I330" s="11"/>
      <c r="J330" s="11"/>
      <c r="K330" s="11"/>
      <c r="L330" s="11"/>
      <c r="M330" s="11"/>
      <c r="N330" s="11"/>
      <c r="O330" s="11" t="s">
        <v>741</v>
      </c>
    </row>
    <row r="331" customFormat="false" ht="14.25" hidden="false" customHeight="true" outlineLevel="0" collapsed="false">
      <c r="B331" s="11" t="s">
        <v>748</v>
      </c>
      <c r="C331" s="32" t="n">
        <f aca="false">C330-C329</f>
        <v>-140.7</v>
      </c>
      <c r="D331" s="11" t="s">
        <v>744</v>
      </c>
      <c r="E331" s="11"/>
      <c r="F331" s="11"/>
      <c r="G331" s="11"/>
      <c r="H331" s="11"/>
      <c r="I331" s="11"/>
      <c r="J331" s="11"/>
      <c r="K331" s="11"/>
      <c r="L331" s="11"/>
      <c r="M331" s="11"/>
      <c r="N331" s="11"/>
      <c r="O331" s="11" t="s">
        <v>745</v>
      </c>
    </row>
    <row r="332" customFormat="false" ht="14.25" hidden="false" customHeight="true" outlineLevel="0" collapsed="false">
      <c r="B332" s="11" t="s">
        <v>749</v>
      </c>
      <c r="C332" s="31" t="n">
        <v>-166.5</v>
      </c>
      <c r="D332" s="11" t="s">
        <v>741</v>
      </c>
      <c r="E332" s="11"/>
      <c r="F332" s="11"/>
      <c r="G332" s="11"/>
      <c r="H332" s="11"/>
      <c r="I332" s="11"/>
      <c r="J332" s="11"/>
      <c r="K332" s="11"/>
      <c r="L332" s="11"/>
      <c r="M332" s="11"/>
      <c r="N332" s="11"/>
      <c r="O332" s="11" t="s">
        <v>741</v>
      </c>
    </row>
    <row r="333" customFormat="false" ht="14.25" hidden="false" customHeight="true" outlineLevel="0" collapsed="false">
      <c r="B333" s="11" t="s">
        <v>750</v>
      </c>
      <c r="C333" s="31" t="n">
        <v>-335.7</v>
      </c>
      <c r="D333" s="11" t="s">
        <v>741</v>
      </c>
      <c r="E333" s="11"/>
      <c r="F333" s="11"/>
      <c r="G333" s="11"/>
      <c r="H333" s="11"/>
      <c r="I333" s="11"/>
      <c r="J333" s="11"/>
      <c r="K333" s="11"/>
      <c r="L333" s="11"/>
      <c r="M333" s="11"/>
      <c r="N333" s="11"/>
      <c r="O333" s="11" t="s">
        <v>741</v>
      </c>
    </row>
    <row r="334" customFormat="false" ht="14.25" hidden="false" customHeight="true" outlineLevel="0" collapsed="false">
      <c r="B334" s="11" t="s">
        <v>751</v>
      </c>
      <c r="C334" s="32" t="n">
        <f aca="false">C333-C332</f>
        <v>-169.2</v>
      </c>
      <c r="D334" s="11" t="s">
        <v>744</v>
      </c>
      <c r="E334" s="11"/>
      <c r="F334" s="11"/>
      <c r="G334" s="11"/>
      <c r="H334" s="11"/>
      <c r="I334" s="11"/>
      <c r="J334" s="11"/>
      <c r="K334" s="11"/>
      <c r="L334" s="11"/>
      <c r="M334" s="11"/>
      <c r="N334" s="11"/>
      <c r="O334" s="11" t="s">
        <v>745</v>
      </c>
    </row>
    <row r="335" customFormat="false" ht="14.25" hidden="false" customHeight="true" outlineLevel="0" collapsed="false">
      <c r="B335" s="35" t="s">
        <v>752</v>
      </c>
      <c r="C335" s="31" t="n">
        <v>-69.2</v>
      </c>
      <c r="D335" s="11" t="s">
        <v>741</v>
      </c>
      <c r="E335" s="11"/>
      <c r="F335" s="11"/>
      <c r="G335" s="11"/>
      <c r="H335" s="11"/>
      <c r="I335" s="11"/>
      <c r="J335" s="11"/>
      <c r="K335" s="11"/>
      <c r="L335" s="11"/>
      <c r="M335" s="11"/>
      <c r="N335" s="11"/>
      <c r="O335" s="11" t="s">
        <v>741</v>
      </c>
    </row>
    <row r="336" customFormat="false" ht="14.25" hidden="false" customHeight="true" outlineLevel="0" collapsed="false">
      <c r="B336" s="35" t="s">
        <v>753</v>
      </c>
      <c r="C336" s="31" t="n">
        <v>-140.5</v>
      </c>
      <c r="D336" s="11" t="s">
        <v>741</v>
      </c>
      <c r="E336" s="11"/>
      <c r="F336" s="11"/>
      <c r="G336" s="11"/>
      <c r="H336" s="11"/>
      <c r="I336" s="11"/>
      <c r="J336" s="11"/>
      <c r="K336" s="11"/>
      <c r="L336" s="11"/>
      <c r="M336" s="11"/>
      <c r="N336" s="11"/>
      <c r="O336" s="11" t="s">
        <v>741</v>
      </c>
    </row>
    <row r="337" customFormat="false" ht="14.25" hidden="false" customHeight="true" outlineLevel="0" collapsed="false">
      <c r="B337" s="35" t="s">
        <v>754</v>
      </c>
      <c r="C337" s="32" t="n">
        <f aca="false">C336-C335</f>
        <v>-71.3</v>
      </c>
      <c r="D337" s="11" t="s">
        <v>744</v>
      </c>
      <c r="E337" s="11"/>
      <c r="F337" s="11"/>
      <c r="G337" s="11"/>
      <c r="H337" s="11"/>
      <c r="I337" s="11"/>
      <c r="J337" s="11"/>
      <c r="K337" s="11"/>
      <c r="L337" s="11"/>
      <c r="M337" s="11"/>
      <c r="N337" s="11"/>
      <c r="O337" s="11" t="s">
        <v>745</v>
      </c>
    </row>
    <row r="338" customFormat="false" ht="14.25" hidden="false" customHeight="true" outlineLevel="0" collapsed="false">
      <c r="B338" s="11" t="s">
        <v>755</v>
      </c>
      <c r="C338" s="31" t="n">
        <v>69.7</v>
      </c>
      <c r="D338" s="11" t="s">
        <v>741</v>
      </c>
      <c r="E338" s="11"/>
      <c r="F338" s="11"/>
      <c r="G338" s="11"/>
      <c r="H338" s="11"/>
      <c r="I338" s="11"/>
      <c r="J338" s="11"/>
      <c r="K338" s="11"/>
      <c r="L338" s="11"/>
      <c r="M338" s="11"/>
      <c r="N338" s="11"/>
      <c r="O338" s="11" t="s">
        <v>741</v>
      </c>
    </row>
    <row r="339" customFormat="false" ht="14.25" hidden="false" customHeight="true" outlineLevel="0" collapsed="false">
      <c r="B339" s="11" t="s">
        <v>756</v>
      </c>
      <c r="C339" s="31" t="n">
        <v>120.7</v>
      </c>
      <c r="D339" s="11" t="s">
        <v>741</v>
      </c>
      <c r="E339" s="11"/>
      <c r="F339" s="11"/>
      <c r="G339" s="11"/>
      <c r="H339" s="11"/>
      <c r="I339" s="11"/>
      <c r="J339" s="11"/>
      <c r="K339" s="11"/>
      <c r="L339" s="11"/>
      <c r="M339" s="11"/>
      <c r="N339" s="11"/>
      <c r="O339" s="11" t="s">
        <v>741</v>
      </c>
    </row>
    <row r="340" customFormat="false" ht="14.25" hidden="false" customHeight="true" outlineLevel="0" collapsed="false">
      <c r="B340" s="11" t="s">
        <v>757</v>
      </c>
      <c r="C340" s="32" t="n">
        <f aca="false">C339-C338</f>
        <v>51</v>
      </c>
      <c r="D340" s="11" t="s">
        <v>744</v>
      </c>
      <c r="E340" s="11"/>
      <c r="F340" s="11"/>
      <c r="G340" s="11"/>
      <c r="H340" s="11"/>
      <c r="I340" s="11"/>
      <c r="J340" s="11"/>
      <c r="K340" s="11"/>
      <c r="L340" s="11"/>
      <c r="M340" s="11"/>
      <c r="N340" s="11"/>
      <c r="O340" s="11" t="s">
        <v>745</v>
      </c>
    </row>
    <row r="341" customFormat="false" ht="14.25" hidden="false" customHeight="true" outlineLevel="0" collapsed="false">
      <c r="B341" s="11" t="s">
        <v>758</v>
      </c>
      <c r="C341" s="31" t="n">
        <v>-143</v>
      </c>
      <c r="D341" s="11" t="s">
        <v>741</v>
      </c>
      <c r="E341" s="11"/>
      <c r="F341" s="11"/>
      <c r="G341" s="11"/>
      <c r="H341" s="11"/>
      <c r="I341" s="11"/>
      <c r="J341" s="11"/>
      <c r="K341" s="11"/>
      <c r="L341" s="11"/>
      <c r="M341" s="11"/>
      <c r="N341" s="11"/>
      <c r="O341" s="11" t="s">
        <v>741</v>
      </c>
    </row>
    <row r="342" customFormat="false" ht="14.25" hidden="false" customHeight="true" outlineLevel="0" collapsed="false">
      <c r="B342" s="11" t="s">
        <v>759</v>
      </c>
      <c r="C342" s="31" t="n">
        <v>-294</v>
      </c>
      <c r="D342" s="11" t="s">
        <v>741</v>
      </c>
      <c r="E342" s="11"/>
      <c r="F342" s="11"/>
      <c r="G342" s="11"/>
      <c r="H342" s="11"/>
      <c r="I342" s="11"/>
      <c r="J342" s="11"/>
      <c r="K342" s="11"/>
      <c r="L342" s="11"/>
      <c r="M342" s="11"/>
      <c r="N342" s="11"/>
      <c r="O342" s="11" t="s">
        <v>741</v>
      </c>
    </row>
    <row r="343" customFormat="false" ht="14.25" hidden="false" customHeight="true" outlineLevel="0" collapsed="false">
      <c r="B343" s="11" t="s">
        <v>760</v>
      </c>
      <c r="C343" s="32" t="n">
        <f aca="false">C342-C341</f>
        <v>-151</v>
      </c>
      <c r="D343" s="11" t="s">
        <v>744</v>
      </c>
      <c r="E343" s="11"/>
      <c r="F343" s="11"/>
      <c r="G343" s="11"/>
      <c r="H343" s="11"/>
      <c r="I343" s="11"/>
      <c r="J343" s="11"/>
      <c r="K343" s="11"/>
      <c r="L343" s="11"/>
      <c r="M343" s="11"/>
      <c r="N343" s="11"/>
      <c r="O343" s="11" t="s">
        <v>745</v>
      </c>
    </row>
    <row r="344" customFormat="false" ht="14.25" hidden="false" customHeight="true" outlineLevel="0" collapsed="false">
      <c r="B344" s="11" t="s">
        <v>761</v>
      </c>
      <c r="C344" s="36" t="n">
        <v>12.7</v>
      </c>
      <c r="D344" s="11" t="s">
        <v>741</v>
      </c>
      <c r="E344" s="11"/>
      <c r="F344" s="11"/>
      <c r="G344" s="11"/>
      <c r="H344" s="11"/>
      <c r="I344" s="11"/>
      <c r="J344" s="11"/>
      <c r="K344" s="11"/>
      <c r="L344" s="11"/>
      <c r="M344" s="11"/>
      <c r="N344" s="11"/>
      <c r="O344" s="11" t="s">
        <v>741</v>
      </c>
    </row>
    <row r="345" customFormat="false" ht="14.25" hidden="false" customHeight="true" outlineLevel="0" collapsed="false">
      <c r="B345" s="11" t="s">
        <v>762</v>
      </c>
      <c r="C345" s="36" t="n">
        <v>18.9</v>
      </c>
      <c r="D345" s="11" t="s">
        <v>741</v>
      </c>
      <c r="E345" s="11"/>
      <c r="F345" s="11"/>
      <c r="G345" s="11"/>
      <c r="H345" s="11"/>
      <c r="I345" s="11"/>
      <c r="J345" s="11"/>
      <c r="K345" s="11"/>
      <c r="L345" s="11"/>
      <c r="M345" s="11"/>
      <c r="N345" s="11"/>
      <c r="O345" s="11" t="s">
        <v>741</v>
      </c>
    </row>
    <row r="346" customFormat="false" ht="14.25" hidden="false" customHeight="true" outlineLevel="0" collapsed="false">
      <c r="B346" s="11" t="s">
        <v>763</v>
      </c>
      <c r="C346" s="37" t="n">
        <f aca="false">C345-C344</f>
        <v>6.2</v>
      </c>
      <c r="D346" s="11" t="s">
        <v>744</v>
      </c>
      <c r="E346" s="11"/>
      <c r="F346" s="11"/>
      <c r="G346" s="11"/>
      <c r="H346" s="11"/>
      <c r="I346" s="11"/>
      <c r="J346" s="11"/>
      <c r="K346" s="11"/>
      <c r="L346" s="11"/>
      <c r="M346" s="11"/>
      <c r="N346" s="11"/>
      <c r="O346" s="11" t="s">
        <v>745</v>
      </c>
    </row>
    <row r="347" customFormat="false" ht="14.25" hidden="false" customHeight="true" outlineLevel="0" collapsed="false">
      <c r="B347" s="11" t="s">
        <v>764</v>
      </c>
      <c r="C347" s="31" t="n">
        <v>-26</v>
      </c>
      <c r="D347" s="11" t="s">
        <v>741</v>
      </c>
      <c r="E347" s="11"/>
      <c r="F347" s="11"/>
      <c r="G347" s="11"/>
      <c r="H347" s="11"/>
      <c r="I347" s="11"/>
      <c r="J347" s="11"/>
      <c r="K347" s="11"/>
      <c r="L347" s="11"/>
      <c r="M347" s="11"/>
      <c r="N347" s="11"/>
      <c r="O347" s="11" t="s">
        <v>741</v>
      </c>
    </row>
    <row r="348" customFormat="false" ht="14.25" hidden="false" customHeight="true" outlineLevel="0" collapsed="false">
      <c r="B348" s="11" t="s">
        <v>765</v>
      </c>
      <c r="C348" s="31" t="n">
        <v>-47.2</v>
      </c>
      <c r="D348" s="11" t="s">
        <v>741</v>
      </c>
      <c r="E348" s="11"/>
      <c r="F348" s="11"/>
      <c r="G348" s="11"/>
      <c r="H348" s="11"/>
      <c r="I348" s="11"/>
      <c r="J348" s="11"/>
      <c r="K348" s="11"/>
      <c r="L348" s="11"/>
      <c r="M348" s="11"/>
      <c r="N348" s="11"/>
      <c r="O348" s="11" t="s">
        <v>741</v>
      </c>
    </row>
    <row r="349" customFormat="false" ht="14.25" hidden="false" customHeight="true" outlineLevel="0" collapsed="false">
      <c r="B349" s="11" t="s">
        <v>766</v>
      </c>
      <c r="C349" s="32" t="n">
        <f aca="false">C348-C347</f>
        <v>-21.2</v>
      </c>
      <c r="D349" s="11" t="s">
        <v>744</v>
      </c>
      <c r="E349" s="11"/>
      <c r="F349" s="11"/>
      <c r="G349" s="11"/>
      <c r="H349" s="11"/>
      <c r="I349" s="11"/>
      <c r="J349" s="11"/>
      <c r="K349" s="11"/>
      <c r="L349" s="11"/>
      <c r="M349" s="11"/>
      <c r="N349" s="11"/>
      <c r="O349" s="11" t="s">
        <v>745</v>
      </c>
    </row>
    <row r="350" customFormat="false" ht="14.25" hidden="false" customHeight="true" outlineLevel="0" collapsed="false">
      <c r="B350" s="35" t="s">
        <v>767</v>
      </c>
      <c r="C350" s="31" t="n">
        <v>37.2</v>
      </c>
      <c r="D350" s="11" t="s">
        <v>741</v>
      </c>
      <c r="E350" s="11"/>
      <c r="F350" s="11"/>
      <c r="G350" s="11"/>
      <c r="H350" s="11"/>
      <c r="I350" s="11"/>
      <c r="J350" s="11"/>
      <c r="K350" s="11"/>
      <c r="L350" s="11"/>
      <c r="M350" s="11"/>
      <c r="N350" s="11"/>
      <c r="O350" s="11" t="s">
        <v>741</v>
      </c>
    </row>
    <row r="351" customFormat="false" ht="14.25" hidden="false" customHeight="true" outlineLevel="0" collapsed="false">
      <c r="B351" s="35" t="s">
        <v>768</v>
      </c>
      <c r="C351" s="31" t="n">
        <v>58</v>
      </c>
      <c r="D351" s="11" t="s">
        <v>741</v>
      </c>
      <c r="E351" s="11"/>
      <c r="F351" s="11"/>
      <c r="G351" s="11"/>
      <c r="H351" s="11"/>
      <c r="I351" s="11"/>
      <c r="J351" s="11"/>
      <c r="K351" s="11"/>
      <c r="L351" s="11"/>
      <c r="M351" s="11"/>
      <c r="N351" s="11"/>
      <c r="O351" s="11" t="s">
        <v>741</v>
      </c>
    </row>
    <row r="352" customFormat="false" ht="14.25" hidden="false" customHeight="true" outlineLevel="0" collapsed="false">
      <c r="B352" s="35" t="s">
        <v>769</v>
      </c>
      <c r="C352" s="32" t="n">
        <f aca="false">C351-C350</f>
        <v>20.8</v>
      </c>
      <c r="D352" s="11" t="s">
        <v>744</v>
      </c>
      <c r="E352" s="11"/>
      <c r="F352" s="11"/>
      <c r="G352" s="11"/>
      <c r="H352" s="11"/>
      <c r="I352" s="11"/>
      <c r="J352" s="11"/>
      <c r="K352" s="11"/>
      <c r="L352" s="11"/>
      <c r="M352" s="11"/>
      <c r="N352" s="11"/>
      <c r="O352" s="11" t="s">
        <v>745</v>
      </c>
    </row>
    <row r="353" customFormat="false" ht="14.25" hidden="false" customHeight="true" outlineLevel="0" collapsed="false">
      <c r="B353" s="35" t="s">
        <v>770</v>
      </c>
      <c r="C353" s="36" t="n">
        <v>-7.6</v>
      </c>
      <c r="D353" s="11" t="s">
        <v>741</v>
      </c>
      <c r="E353" s="11"/>
      <c r="F353" s="11"/>
      <c r="G353" s="11"/>
      <c r="H353" s="11"/>
      <c r="I353" s="11"/>
      <c r="J353" s="11"/>
      <c r="K353" s="11"/>
      <c r="L353" s="11"/>
      <c r="M353" s="11"/>
      <c r="N353" s="11"/>
      <c r="O353" s="11" t="s">
        <v>741</v>
      </c>
    </row>
    <row r="354" customFormat="false" ht="14.25" hidden="false" customHeight="true" outlineLevel="0" collapsed="false">
      <c r="B354" s="35" t="s">
        <v>771</v>
      </c>
      <c r="C354" s="36" t="n">
        <v>-1.2</v>
      </c>
      <c r="D354" s="11" t="s">
        <v>741</v>
      </c>
      <c r="E354" s="11"/>
      <c r="F354" s="11"/>
      <c r="G354" s="11"/>
      <c r="H354" s="11"/>
      <c r="I354" s="11"/>
      <c r="J354" s="11"/>
      <c r="K354" s="11"/>
      <c r="L354" s="11"/>
      <c r="M354" s="11"/>
      <c r="N354" s="11"/>
      <c r="O354" s="11" t="s">
        <v>741</v>
      </c>
    </row>
    <row r="355" customFormat="false" ht="14.25" hidden="false" customHeight="true" outlineLevel="0" collapsed="false">
      <c r="B355" s="35" t="s">
        <v>772</v>
      </c>
      <c r="C355" s="37" t="n">
        <f aca="false">C354-C353</f>
        <v>6.4</v>
      </c>
      <c r="D355" s="11" t="s">
        <v>744</v>
      </c>
      <c r="E355" s="11"/>
      <c r="F355" s="11"/>
      <c r="G355" s="11"/>
      <c r="H355" s="11"/>
      <c r="I355" s="11"/>
      <c r="J355" s="11"/>
      <c r="K355" s="11"/>
      <c r="L355" s="11"/>
      <c r="M355" s="11"/>
      <c r="N355" s="11"/>
      <c r="O355" s="11" t="s">
        <v>745</v>
      </c>
    </row>
    <row r="356" customFormat="false" ht="14.25" hidden="false" customHeight="true" outlineLevel="0" collapsed="false">
      <c r="B356" s="35" t="s">
        <v>773</v>
      </c>
      <c r="C356" s="36" t="n">
        <v>2.84</v>
      </c>
      <c r="D356" s="11" t="s">
        <v>741</v>
      </c>
      <c r="E356" s="11"/>
      <c r="F356" s="11"/>
      <c r="G356" s="11"/>
      <c r="H356" s="11"/>
      <c r="I356" s="11"/>
      <c r="J356" s="11"/>
      <c r="K356" s="11"/>
      <c r="L356" s="11"/>
      <c r="M356" s="11"/>
      <c r="N356" s="11"/>
      <c r="O356" s="11" t="s">
        <v>741</v>
      </c>
    </row>
    <row r="357" customFormat="false" ht="14.25" hidden="false" customHeight="true" outlineLevel="0" collapsed="false">
      <c r="B357" s="35" t="s">
        <v>774</v>
      </c>
      <c r="C357" s="36" t="n">
        <v>5.19</v>
      </c>
      <c r="D357" s="11" t="s">
        <v>741</v>
      </c>
      <c r="E357" s="11"/>
      <c r="F357" s="11"/>
      <c r="G357" s="11"/>
      <c r="H357" s="11"/>
      <c r="I357" s="11"/>
      <c r="J357" s="11"/>
      <c r="K357" s="11"/>
      <c r="L357" s="11"/>
      <c r="M357" s="11"/>
      <c r="N357" s="11"/>
      <c r="O357" s="11" t="s">
        <v>741</v>
      </c>
    </row>
    <row r="358" customFormat="false" ht="14.25" hidden="false" customHeight="true" outlineLevel="0" collapsed="false">
      <c r="B358" s="35" t="s">
        <v>775</v>
      </c>
      <c r="C358" s="37" t="n">
        <f aca="false">C357-C356</f>
        <v>2.35</v>
      </c>
      <c r="D358" s="11" t="s">
        <v>744</v>
      </c>
      <c r="E358" s="11"/>
      <c r="F358" s="11"/>
      <c r="G358" s="11"/>
      <c r="H358" s="11"/>
      <c r="I358" s="11"/>
      <c r="J358" s="11"/>
      <c r="K358" s="11"/>
      <c r="L358" s="11"/>
      <c r="M358" s="11"/>
      <c r="N358" s="11"/>
      <c r="O358" s="11" t="s">
        <v>745</v>
      </c>
    </row>
    <row r="359" customFormat="false" ht="14.25" hidden="false" customHeight="true" outlineLevel="0" collapsed="false">
      <c r="B359" s="3" t="s">
        <v>776</v>
      </c>
      <c r="C359" s="11"/>
      <c r="D359" s="11"/>
      <c r="E359" s="11"/>
      <c r="F359" s="11"/>
      <c r="G359" s="11"/>
      <c r="H359" s="11"/>
      <c r="I359" s="11"/>
      <c r="J359" s="11"/>
      <c r="K359" s="11"/>
      <c r="L359" s="11"/>
      <c r="M359" s="11"/>
      <c r="N359" s="11"/>
      <c r="O359" s="11"/>
    </row>
    <row r="360" customFormat="false" ht="14.25" hidden="false" customHeight="true" outlineLevel="0" collapsed="false">
      <c r="B360" s="11" t="s">
        <v>777</v>
      </c>
      <c r="C360" s="33" t="n">
        <v>0.5</v>
      </c>
      <c r="D360" s="11" t="s">
        <v>778</v>
      </c>
      <c r="E360" s="11"/>
      <c r="F360" s="11"/>
      <c r="G360" s="11"/>
      <c r="H360" s="11"/>
      <c r="I360" s="11"/>
      <c r="J360" s="11"/>
      <c r="K360" s="11"/>
      <c r="L360" s="11"/>
      <c r="M360" s="11"/>
      <c r="N360" s="11"/>
      <c r="O360" s="11" t="s">
        <v>778</v>
      </c>
    </row>
    <row r="361" customFormat="false" ht="14.25" hidden="false" customHeight="true" outlineLevel="0" collapsed="false">
      <c r="B361" s="11" t="s">
        <v>779</v>
      </c>
      <c r="C361" s="33" t="n">
        <v>0.55</v>
      </c>
      <c r="D361" s="11" t="s">
        <v>780</v>
      </c>
      <c r="E361" s="11"/>
      <c r="F361" s="11"/>
      <c r="G361" s="11"/>
      <c r="H361" s="11"/>
      <c r="I361" s="11"/>
      <c r="J361" s="11"/>
      <c r="K361" s="11"/>
      <c r="L361" s="11"/>
      <c r="M361" s="11"/>
      <c r="N361" s="11"/>
      <c r="O361" s="11" t="s">
        <v>780</v>
      </c>
    </row>
    <row r="362" customFormat="false" ht="14.25" hidden="false" customHeight="true" outlineLevel="0" collapsed="false">
      <c r="B362" s="11" t="s">
        <v>781</v>
      </c>
      <c r="C362" s="33" t="n">
        <v>0.5</v>
      </c>
      <c r="D362" s="11" t="s">
        <v>782</v>
      </c>
      <c r="E362" s="11"/>
      <c r="F362" s="11"/>
      <c r="G362" s="11"/>
      <c r="H362" s="11"/>
      <c r="I362" s="11"/>
      <c r="J362" s="11"/>
      <c r="K362" s="11"/>
      <c r="L362" s="11"/>
      <c r="M362" s="11"/>
      <c r="N362" s="11"/>
      <c r="O362" s="11" t="s">
        <v>782</v>
      </c>
    </row>
    <row r="363" customFormat="false" ht="14.25" hidden="false" customHeight="true" outlineLevel="0" collapsed="false">
      <c r="B363" s="3" t="s">
        <v>783</v>
      </c>
      <c r="C363" s="11"/>
      <c r="D363" s="11"/>
      <c r="E363" s="11"/>
      <c r="F363" s="11"/>
      <c r="G363" s="11"/>
      <c r="H363" s="11"/>
      <c r="I363" s="11"/>
      <c r="J363" s="11"/>
      <c r="K363" s="11"/>
      <c r="L363" s="11"/>
      <c r="M363" s="11"/>
      <c r="N363" s="11"/>
      <c r="O363" s="11"/>
    </row>
    <row r="364" customFormat="false" ht="14.25" hidden="false" customHeight="true" outlineLevel="0" collapsed="false">
      <c r="B364" s="11" t="s">
        <v>784</v>
      </c>
      <c r="C364" s="36" t="n">
        <v>2.458</v>
      </c>
      <c r="D364" s="11" t="s">
        <v>785</v>
      </c>
      <c r="E364" s="11"/>
      <c r="F364" s="11"/>
      <c r="G364" s="11"/>
      <c r="H364" s="11"/>
      <c r="I364" s="11"/>
      <c r="J364" s="11"/>
      <c r="K364" s="11"/>
      <c r="L364" s="11"/>
      <c r="M364" s="11"/>
      <c r="N364" s="11"/>
      <c r="O364" s="11" t="s">
        <v>786</v>
      </c>
    </row>
    <row r="365" customFormat="false" ht="14.25" hidden="false" customHeight="true" outlineLevel="0" collapsed="false">
      <c r="B365" s="11" t="s">
        <v>787</v>
      </c>
      <c r="C365" s="36" t="n">
        <v>2.458</v>
      </c>
      <c r="D365" s="11" t="s">
        <v>788</v>
      </c>
      <c r="E365" s="11"/>
      <c r="F365" s="11"/>
      <c r="G365" s="11"/>
      <c r="H365" s="11"/>
      <c r="I365" s="11"/>
      <c r="J365" s="11"/>
      <c r="K365" s="11"/>
      <c r="L365" s="11"/>
      <c r="M365" s="11"/>
      <c r="N365" s="11"/>
      <c r="O365" s="11" t="s">
        <v>789</v>
      </c>
    </row>
    <row r="366" customFormat="false" ht="14.25" hidden="false" customHeight="true" outlineLevel="0" collapsed="false">
      <c r="B366" s="11" t="s">
        <v>790</v>
      </c>
      <c r="C366" s="37" t="n">
        <f aca="false">(C364+C365)/2</f>
        <v>2.458</v>
      </c>
      <c r="D366" s="11" t="s">
        <v>791</v>
      </c>
      <c r="E366" s="11"/>
      <c r="F366" s="11"/>
      <c r="G366" s="11"/>
      <c r="H366" s="11"/>
      <c r="I366" s="11"/>
      <c r="J366" s="11"/>
      <c r="K366" s="11"/>
      <c r="L366" s="11"/>
      <c r="M366" s="11"/>
      <c r="N366" s="11"/>
      <c r="O366" s="11" t="s">
        <v>791</v>
      </c>
    </row>
    <row r="367" customFormat="false" ht="14.25" hidden="false" customHeight="true" outlineLevel="0" collapsed="false">
      <c r="B367" s="3" t="s">
        <v>792</v>
      </c>
      <c r="C367" s="11"/>
      <c r="D367" s="11"/>
      <c r="E367" s="11"/>
      <c r="F367" s="11"/>
      <c r="G367" s="11"/>
      <c r="H367" s="11"/>
      <c r="I367" s="11"/>
      <c r="J367" s="11"/>
      <c r="K367" s="11"/>
      <c r="L367" s="11"/>
      <c r="M367" s="11"/>
      <c r="N367" s="11"/>
      <c r="O367" s="11"/>
    </row>
    <row r="368" customFormat="false" ht="14.25" hidden="false" customHeight="true" outlineLevel="0" collapsed="false">
      <c r="B368" s="11" t="s">
        <v>793</v>
      </c>
      <c r="C368" s="31" t="n">
        <v>150</v>
      </c>
      <c r="D368" s="11" t="s">
        <v>794</v>
      </c>
      <c r="E368" s="11"/>
      <c r="F368" s="11"/>
      <c r="G368" s="11"/>
      <c r="H368" s="11"/>
      <c r="I368" s="11"/>
      <c r="J368" s="11"/>
      <c r="K368" s="11"/>
      <c r="L368" s="11"/>
      <c r="M368" s="11"/>
      <c r="N368" s="11"/>
      <c r="O368" s="11" t="s">
        <v>794</v>
      </c>
    </row>
    <row r="369" customFormat="false" ht="14.25" hidden="false" customHeight="true" outlineLevel="0" collapsed="false">
      <c r="B369" s="11" t="s">
        <v>795</v>
      </c>
      <c r="C369" s="31" t="n">
        <v>75</v>
      </c>
      <c r="D369" s="11" t="s">
        <v>796</v>
      </c>
      <c r="E369" s="11"/>
      <c r="F369" s="11"/>
      <c r="G369" s="11"/>
      <c r="H369" s="11"/>
      <c r="I369" s="11"/>
      <c r="J369" s="11"/>
      <c r="K369" s="11"/>
      <c r="L369" s="11"/>
      <c r="M369" s="11"/>
      <c r="N369" s="11"/>
      <c r="O369" s="11" t="s">
        <v>796</v>
      </c>
    </row>
    <row r="370" customFormat="false" ht="14.25" hidden="false" customHeight="true" outlineLevel="0" collapsed="false">
      <c r="B370" s="11" t="s">
        <v>797</v>
      </c>
      <c r="C370" s="33" t="n">
        <v>0.18</v>
      </c>
      <c r="D370" s="11" t="s">
        <v>798</v>
      </c>
      <c r="E370" s="11"/>
      <c r="F370" s="11"/>
      <c r="G370" s="11"/>
      <c r="H370" s="11"/>
      <c r="I370" s="11"/>
      <c r="J370" s="11"/>
      <c r="K370" s="11"/>
      <c r="L370" s="11"/>
      <c r="M370" s="11"/>
      <c r="N370" s="11"/>
      <c r="O370" s="11" t="s">
        <v>798</v>
      </c>
    </row>
    <row r="371" customFormat="false" ht="14.25" hidden="false" customHeight="true" outlineLevel="0" collapsed="false">
      <c r="B371" s="11" t="s">
        <v>799</v>
      </c>
      <c r="C371" s="33" t="n">
        <v>0.3</v>
      </c>
      <c r="D371" s="11" t="s">
        <v>800</v>
      </c>
      <c r="E371" s="11"/>
      <c r="F371" s="11"/>
      <c r="G371" s="11"/>
      <c r="H371" s="11"/>
      <c r="I371" s="11"/>
      <c r="J371" s="11"/>
      <c r="K371" s="11"/>
      <c r="L371" s="11"/>
      <c r="M371" s="11"/>
      <c r="N371" s="11"/>
      <c r="O371" s="11" t="s">
        <v>800</v>
      </c>
    </row>
    <row r="372" customFormat="false" ht="14.25" hidden="false" customHeight="true" outlineLevel="0" collapsed="false">
      <c r="B372" s="11" t="s">
        <v>801</v>
      </c>
      <c r="C372" s="31" t="n">
        <v>-590</v>
      </c>
      <c r="D372" s="11" t="s">
        <v>802</v>
      </c>
      <c r="E372" s="11"/>
      <c r="F372" s="11"/>
      <c r="G372" s="11"/>
      <c r="H372" s="11"/>
      <c r="I372" s="11"/>
      <c r="J372" s="11"/>
      <c r="K372" s="11"/>
      <c r="L372" s="11"/>
      <c r="M372" s="11"/>
      <c r="N372" s="11"/>
      <c r="O372" s="11" t="s">
        <v>802</v>
      </c>
    </row>
    <row r="373" customFormat="false" ht="14.25" hidden="false" customHeight="true" outlineLevel="0" collapsed="false">
      <c r="B373" s="11" t="s">
        <v>803</v>
      </c>
      <c r="C373" s="31" t="n">
        <v>160</v>
      </c>
      <c r="D373" s="11" t="s">
        <v>804</v>
      </c>
      <c r="E373" s="11"/>
      <c r="F373" s="11"/>
      <c r="G373" s="11"/>
      <c r="H373" s="11"/>
      <c r="I373" s="11"/>
      <c r="J373" s="11"/>
      <c r="K373" s="11"/>
      <c r="L373" s="11"/>
      <c r="M373" s="11"/>
      <c r="N373" s="11"/>
      <c r="O373" s="11" t="s">
        <v>804</v>
      </c>
    </row>
    <row r="374" customFormat="false" ht="14.25" hidden="false" customHeight="true" outlineLevel="0" collapsed="false">
      <c r="B374" s="11" t="s">
        <v>805</v>
      </c>
      <c r="C374" s="31" t="n">
        <v>35.5</v>
      </c>
      <c r="D374" s="11" t="s">
        <v>806</v>
      </c>
      <c r="E374" s="11"/>
      <c r="F374" s="11"/>
      <c r="G374" s="11"/>
      <c r="H374" s="11"/>
      <c r="I374" s="11"/>
      <c r="J374" s="11"/>
      <c r="K374" s="11"/>
      <c r="L374" s="11"/>
      <c r="M374" s="11"/>
      <c r="N374" s="11"/>
      <c r="O374" s="11" t="s">
        <v>806</v>
      </c>
    </row>
    <row r="375" customFormat="false" ht="14.25" hidden="false" customHeight="true" outlineLevel="0" collapsed="false">
      <c r="B375" s="11" t="s">
        <v>807</v>
      </c>
      <c r="C375" s="33" t="n">
        <v>0.24</v>
      </c>
      <c r="D375" s="11" t="s">
        <v>808</v>
      </c>
      <c r="E375" s="11"/>
      <c r="F375" s="11"/>
      <c r="G375" s="11"/>
      <c r="H375" s="11"/>
      <c r="I375" s="11"/>
      <c r="J375" s="11"/>
      <c r="K375" s="11"/>
      <c r="L375" s="11"/>
      <c r="M375" s="11"/>
      <c r="N375" s="11"/>
      <c r="O375" s="11" t="s">
        <v>808</v>
      </c>
    </row>
    <row r="376" customFormat="false" ht="14.25" hidden="false" customHeight="true" outlineLevel="0" collapsed="false">
      <c r="B376" s="11" t="s">
        <v>809</v>
      </c>
      <c r="C376" s="31" t="n">
        <v>12</v>
      </c>
      <c r="D376" s="11" t="s">
        <v>810</v>
      </c>
      <c r="E376" s="11"/>
      <c r="F376" s="11"/>
      <c r="G376" s="11"/>
      <c r="H376" s="11"/>
      <c r="I376" s="11"/>
      <c r="J376" s="11"/>
      <c r="K376" s="11"/>
      <c r="L376" s="11"/>
      <c r="M376" s="11"/>
      <c r="N376" s="11"/>
      <c r="O376" s="11" t="s">
        <v>810</v>
      </c>
    </row>
    <row r="377" customFormat="false" ht="14.25" hidden="false" customHeight="true" outlineLevel="0" collapsed="false">
      <c r="B377" s="3" t="s">
        <v>811</v>
      </c>
      <c r="C377" s="11"/>
      <c r="D377" s="11"/>
      <c r="E377" s="11"/>
      <c r="F377" s="11"/>
      <c r="G377" s="11"/>
      <c r="H377" s="11"/>
      <c r="I377" s="11"/>
      <c r="J377" s="11"/>
      <c r="K377" s="11"/>
      <c r="L377" s="11"/>
      <c r="M377" s="11"/>
      <c r="N377" s="11"/>
      <c r="O377" s="11"/>
    </row>
    <row r="378" customFormat="false" ht="14.25" hidden="false" customHeight="true" outlineLevel="0" collapsed="false">
      <c r="B378" s="11" t="s">
        <v>812</v>
      </c>
      <c r="C378" s="33" t="n">
        <v>0.15</v>
      </c>
      <c r="D378" s="11" t="s">
        <v>813</v>
      </c>
      <c r="E378" s="11"/>
      <c r="F378" s="11"/>
      <c r="G378" s="11"/>
      <c r="H378" s="11"/>
      <c r="I378" s="11"/>
      <c r="J378" s="11"/>
      <c r="K378" s="11"/>
      <c r="L378" s="11"/>
      <c r="M378" s="11"/>
      <c r="N378" s="11"/>
      <c r="O378" s="11" t="s">
        <v>813</v>
      </c>
    </row>
    <row r="379" customFormat="false" ht="14.25" hidden="false" customHeight="true" outlineLevel="0" collapsed="false">
      <c r="B379" s="11" t="s">
        <v>814</v>
      </c>
      <c r="C379" s="33" t="n">
        <v>-0.05</v>
      </c>
      <c r="D379" s="11" t="s">
        <v>815</v>
      </c>
      <c r="E379" s="11"/>
      <c r="F379" s="11"/>
      <c r="G379" s="11"/>
      <c r="H379" s="11"/>
      <c r="I379" s="11"/>
      <c r="J379" s="11"/>
      <c r="K379" s="11"/>
      <c r="L379" s="11"/>
      <c r="M379" s="11"/>
      <c r="N379" s="11"/>
      <c r="O379" s="11" t="s">
        <v>815</v>
      </c>
    </row>
    <row r="380" customFormat="false" ht="14.25" hidden="false" customHeight="true" outlineLevel="0" collapsed="false">
      <c r="B380" s="11" t="s">
        <v>816</v>
      </c>
      <c r="C380" s="38" t="n">
        <v>0.01</v>
      </c>
      <c r="D380" s="39" t="s">
        <v>817</v>
      </c>
      <c r="E380" s="11"/>
      <c r="F380" s="11"/>
      <c r="G380" s="11"/>
      <c r="H380" s="11"/>
      <c r="I380" s="11"/>
      <c r="J380" s="11"/>
      <c r="K380" s="11"/>
      <c r="L380" s="11"/>
      <c r="M380" s="11"/>
      <c r="N380" s="11"/>
      <c r="O380" s="39" t="s">
        <v>817</v>
      </c>
    </row>
    <row r="381" customFormat="false" ht="14.25" hidden="false" customHeight="true" outlineLevel="0" collapsed="false">
      <c r="B381" s="11" t="s">
        <v>818</v>
      </c>
      <c r="C381" s="33" t="n">
        <v>0.1</v>
      </c>
      <c r="D381" s="11" t="s">
        <v>819</v>
      </c>
      <c r="E381" s="11"/>
      <c r="F381" s="11"/>
      <c r="G381" s="11"/>
      <c r="H381" s="11"/>
      <c r="I381" s="11"/>
      <c r="J381" s="11"/>
      <c r="K381" s="11"/>
      <c r="L381" s="11"/>
      <c r="M381" s="11"/>
      <c r="N381" s="11"/>
      <c r="O381" s="11" t="s">
        <v>819</v>
      </c>
    </row>
    <row r="382" customFormat="false" ht="14.25" hidden="false" customHeight="true" outlineLevel="0" collapsed="false">
      <c r="B382" s="11"/>
      <c r="C382" s="11"/>
      <c r="D382" s="11"/>
      <c r="E382" s="11"/>
      <c r="F382" s="11"/>
      <c r="G382" s="11"/>
      <c r="H382" s="11"/>
      <c r="I382" s="11"/>
      <c r="J382" s="11"/>
      <c r="K382" s="11"/>
      <c r="L382" s="11"/>
      <c r="M382" s="11"/>
      <c r="N382" s="11"/>
      <c r="O382" s="11"/>
    </row>
    <row r="383" customFormat="false" ht="14.25" hidden="false" customHeight="true" outlineLevel="0" collapsed="false">
      <c r="A383" s="22" t="s">
        <v>11</v>
      </c>
      <c r="B383" s="10" t="s">
        <v>820</v>
      </c>
      <c r="C383" s="11"/>
      <c r="D383" s="11"/>
      <c r="E383" s="11"/>
      <c r="F383" s="11"/>
      <c r="G383" s="11"/>
      <c r="H383" s="11"/>
      <c r="I383" s="11"/>
      <c r="J383" s="11"/>
      <c r="K383" s="11"/>
      <c r="L383" s="11"/>
      <c r="M383" s="11"/>
      <c r="N383" s="11"/>
      <c r="O383" s="11"/>
    </row>
    <row r="384" customFormat="false" ht="14.25" hidden="false" customHeight="true" outlineLevel="0" collapsed="false">
      <c r="B384" s="11" t="s">
        <v>821</v>
      </c>
      <c r="C384" s="33" t="n">
        <v>0.0511</v>
      </c>
      <c r="D384" s="11"/>
      <c r="E384" s="11"/>
      <c r="F384" s="11"/>
      <c r="G384" s="11"/>
      <c r="H384" s="11"/>
      <c r="I384" s="11"/>
      <c r="J384" s="11"/>
      <c r="K384" s="11"/>
      <c r="L384" s="11"/>
      <c r="M384" s="11"/>
      <c r="N384" s="11"/>
      <c r="O384" s="11" t="s">
        <v>822</v>
      </c>
    </row>
    <row r="385" customFormat="false" ht="14.25" hidden="false" customHeight="true" outlineLevel="0" collapsed="false">
      <c r="B385" s="35" t="s">
        <v>823</v>
      </c>
      <c r="C385" s="33" t="n">
        <v>0.046</v>
      </c>
      <c r="D385" s="11"/>
      <c r="E385" s="11"/>
      <c r="F385" s="11"/>
      <c r="G385" s="11"/>
      <c r="H385" s="11"/>
      <c r="I385" s="11"/>
      <c r="J385" s="11"/>
      <c r="K385" s="11"/>
      <c r="L385" s="11"/>
      <c r="M385" s="11"/>
      <c r="N385" s="11"/>
      <c r="O385" s="11" t="s">
        <v>824</v>
      </c>
    </row>
    <row r="386" customFormat="false" ht="14.25" hidden="false" customHeight="true" outlineLevel="0" collapsed="false">
      <c r="B386" s="11" t="s">
        <v>825</v>
      </c>
      <c r="C386" s="34" t="n">
        <f aca="false">(C387-C420)/C419</f>
        <v>0.776119402985075</v>
      </c>
      <c r="D386" s="11"/>
      <c r="E386" s="11"/>
      <c r="F386" s="11"/>
      <c r="G386" s="11"/>
      <c r="H386" s="11"/>
      <c r="I386" s="11"/>
      <c r="J386" s="11"/>
      <c r="K386" s="11"/>
      <c r="L386" s="11"/>
      <c r="M386" s="11"/>
      <c r="N386" s="11"/>
      <c r="O386" s="11" t="s">
        <v>826</v>
      </c>
    </row>
    <row r="387" customFormat="false" ht="14.25" hidden="false" customHeight="true" outlineLevel="0" collapsed="false">
      <c r="B387" s="11" t="s">
        <v>827</v>
      </c>
      <c r="C387" s="33" t="n">
        <v>0.85</v>
      </c>
      <c r="D387" s="11"/>
      <c r="E387" s="11"/>
      <c r="F387" s="11"/>
      <c r="G387" s="11"/>
      <c r="H387" s="11"/>
      <c r="I387" s="11"/>
      <c r="J387" s="11"/>
      <c r="K387" s="11"/>
      <c r="L387" s="11"/>
      <c r="M387" s="11"/>
      <c r="N387" s="11"/>
      <c r="O387" s="11" t="s">
        <v>828</v>
      </c>
    </row>
    <row r="388" customFormat="false" ht="14.25" hidden="false" customHeight="true" outlineLevel="0" collapsed="false">
      <c r="B388" s="11" t="s">
        <v>829</v>
      </c>
      <c r="C388" s="34" t="n">
        <f aca="false">C387</f>
        <v>0.85</v>
      </c>
      <c r="D388" s="11"/>
      <c r="E388" s="11"/>
      <c r="F388" s="11"/>
      <c r="G388" s="11"/>
      <c r="H388" s="11"/>
      <c r="I388" s="11"/>
      <c r="J388" s="11"/>
      <c r="K388" s="11"/>
      <c r="L388" s="11"/>
      <c r="M388" s="11"/>
      <c r="N388" s="11"/>
      <c r="O388" s="11" t="s">
        <v>830</v>
      </c>
    </row>
    <row r="389" customFormat="false" ht="14.25" hidden="false" customHeight="true" outlineLevel="0" collapsed="false">
      <c r="B389" s="11" t="s">
        <v>831</v>
      </c>
      <c r="C389" s="33" t="n">
        <v>0.0595</v>
      </c>
      <c r="D389" s="11"/>
      <c r="E389" s="11"/>
      <c r="F389" s="11"/>
      <c r="G389" s="11"/>
      <c r="H389" s="11"/>
      <c r="I389" s="11"/>
      <c r="J389" s="11"/>
      <c r="K389" s="11"/>
      <c r="L389" s="11"/>
      <c r="M389" s="11"/>
      <c r="N389" s="11"/>
      <c r="O389" s="11" t="s">
        <v>832</v>
      </c>
    </row>
    <row r="390" customFormat="false" ht="14.25" hidden="false" customHeight="true" outlineLevel="0" collapsed="false">
      <c r="B390" s="11" t="s">
        <v>833</v>
      </c>
      <c r="C390" s="33" t="n">
        <v>0.24</v>
      </c>
      <c r="D390" s="11"/>
      <c r="E390" s="11"/>
      <c r="F390" s="11"/>
      <c r="G390" s="11"/>
      <c r="H390" s="11"/>
      <c r="I390" s="11"/>
      <c r="J390" s="11"/>
      <c r="K390" s="11"/>
      <c r="L390" s="11"/>
      <c r="M390" s="11"/>
      <c r="N390" s="11"/>
      <c r="O390" s="11" t="s">
        <v>834</v>
      </c>
    </row>
    <row r="391" customFormat="false" ht="14.25" hidden="false" customHeight="true" outlineLevel="0" collapsed="false">
      <c r="B391" s="11" t="s">
        <v>835</v>
      </c>
      <c r="C391" s="32" t="n">
        <f aca="false">C179*C77</f>
        <v>5827.524</v>
      </c>
      <c r="D391" s="11"/>
      <c r="E391" s="11"/>
      <c r="F391" s="11"/>
      <c r="G391" s="11"/>
      <c r="H391" s="11"/>
      <c r="I391" s="11"/>
      <c r="J391" s="11"/>
      <c r="K391" s="11"/>
      <c r="L391" s="11"/>
      <c r="M391" s="11"/>
      <c r="N391" s="11"/>
      <c r="O391" s="11" t="s">
        <v>836</v>
      </c>
    </row>
    <row r="392" customFormat="false" ht="14.25" hidden="false" customHeight="true" outlineLevel="0" collapsed="false">
      <c r="B392" s="11" t="s">
        <v>837</v>
      </c>
      <c r="C392" s="31" t="n">
        <v>12333.3</v>
      </c>
      <c r="D392" s="11"/>
      <c r="E392" s="11"/>
      <c r="F392" s="11"/>
      <c r="G392" s="11"/>
      <c r="H392" s="11"/>
      <c r="I392" s="11"/>
      <c r="J392" s="11"/>
      <c r="K392" s="11"/>
      <c r="L392" s="11"/>
      <c r="M392" s="11"/>
      <c r="N392" s="11"/>
      <c r="O392" s="11" t="s">
        <v>838</v>
      </c>
    </row>
    <row r="393" customFormat="false" ht="14.25" hidden="false" customHeight="true" outlineLevel="0" collapsed="false">
      <c r="B393" s="11" t="s">
        <v>839</v>
      </c>
      <c r="C393" s="31" t="n">
        <v>747.1</v>
      </c>
      <c r="D393" s="11"/>
      <c r="E393" s="11"/>
      <c r="F393" s="11"/>
      <c r="G393" s="11"/>
      <c r="H393" s="11"/>
      <c r="I393" s="11"/>
      <c r="J393" s="11"/>
      <c r="K393" s="11"/>
      <c r="L393" s="11"/>
      <c r="M393" s="11"/>
      <c r="N393" s="11"/>
      <c r="O393" s="11" t="s">
        <v>840</v>
      </c>
    </row>
    <row r="394" customFormat="false" ht="14.25" hidden="false" customHeight="true" outlineLevel="0" collapsed="false">
      <c r="B394" s="11" t="s">
        <v>841</v>
      </c>
      <c r="C394" s="31" t="n">
        <v>143.8</v>
      </c>
      <c r="D394" s="11"/>
      <c r="E394" s="11"/>
      <c r="F394" s="11"/>
      <c r="G394" s="11"/>
      <c r="H394" s="11"/>
      <c r="I394" s="11"/>
      <c r="J394" s="11"/>
      <c r="K394" s="11"/>
      <c r="L394" s="11"/>
      <c r="M394" s="11"/>
      <c r="N394" s="11"/>
      <c r="O394" s="11" t="s">
        <v>842</v>
      </c>
    </row>
    <row r="395" customFormat="false" ht="14.25" hidden="false" customHeight="true" outlineLevel="0" collapsed="false">
      <c r="B395" s="11" t="s">
        <v>843</v>
      </c>
      <c r="C395" s="31" t="n">
        <v>44</v>
      </c>
      <c r="D395" s="11"/>
      <c r="E395" s="11"/>
      <c r="F395" s="11"/>
      <c r="G395" s="11"/>
      <c r="H395" s="11"/>
      <c r="I395" s="11"/>
      <c r="J395" s="11"/>
      <c r="K395" s="11"/>
      <c r="L395" s="11"/>
      <c r="M395" s="11"/>
      <c r="N395" s="11"/>
      <c r="O395" s="11" t="s">
        <v>844</v>
      </c>
    </row>
    <row r="396" customFormat="false" ht="14.25" hidden="false" customHeight="true" outlineLevel="0" collapsed="false">
      <c r="B396" s="11" t="s">
        <v>845</v>
      </c>
      <c r="C396" s="31" t="n">
        <v>12289.3</v>
      </c>
      <c r="D396" s="11"/>
      <c r="E396" s="11"/>
      <c r="F396" s="11"/>
      <c r="G396" s="11"/>
      <c r="H396" s="11"/>
      <c r="I396" s="11"/>
      <c r="J396" s="11"/>
      <c r="K396" s="11"/>
      <c r="L396" s="11"/>
      <c r="M396" s="11"/>
      <c r="N396" s="11"/>
      <c r="O396" s="11" t="s">
        <v>846</v>
      </c>
    </row>
    <row r="397" customFormat="false" ht="14.25" hidden="false" customHeight="true" outlineLevel="0" collapsed="false">
      <c r="B397" s="11" t="s">
        <v>847</v>
      </c>
      <c r="C397" s="33" t="n">
        <v>0.035</v>
      </c>
      <c r="D397" s="11"/>
      <c r="E397" s="11"/>
      <c r="F397" s="11"/>
      <c r="G397" s="11"/>
      <c r="H397" s="11"/>
      <c r="I397" s="11"/>
      <c r="J397" s="11"/>
      <c r="K397" s="11"/>
      <c r="L397" s="11"/>
      <c r="M397" s="11"/>
      <c r="N397" s="11"/>
      <c r="O397" s="11" t="s">
        <v>848</v>
      </c>
    </row>
    <row r="398" customFormat="false" ht="14.25" hidden="false" customHeight="true" outlineLevel="0" collapsed="false">
      <c r="B398" s="11" t="s">
        <v>849</v>
      </c>
      <c r="C398" s="36" t="n">
        <v>10.11</v>
      </c>
      <c r="D398" s="11"/>
      <c r="E398" s="11"/>
      <c r="F398" s="11"/>
      <c r="G398" s="11"/>
      <c r="H398" s="11"/>
      <c r="I398" s="11"/>
      <c r="J398" s="11"/>
      <c r="K398" s="11"/>
      <c r="L398" s="11"/>
      <c r="M398" s="11"/>
      <c r="N398" s="11"/>
      <c r="O398" s="11" t="s">
        <v>850</v>
      </c>
    </row>
    <row r="399" customFormat="false" ht="14.25" hidden="false" customHeight="true" outlineLevel="0" collapsed="false">
      <c r="B399" s="11" t="s">
        <v>851</v>
      </c>
      <c r="C399" s="36" t="n">
        <v>10.5</v>
      </c>
      <c r="D399" s="11"/>
      <c r="E399" s="11"/>
      <c r="F399" s="11"/>
      <c r="G399" s="11"/>
      <c r="H399" s="11"/>
      <c r="I399" s="11"/>
      <c r="J399" s="11"/>
      <c r="K399" s="11"/>
      <c r="L399" s="11"/>
      <c r="M399" s="11"/>
      <c r="N399" s="11"/>
      <c r="O399" s="11" t="s">
        <v>852</v>
      </c>
    </row>
    <row r="400" customFormat="false" ht="14.25" hidden="false" customHeight="true" outlineLevel="0" collapsed="false">
      <c r="B400" s="11" t="s">
        <v>853</v>
      </c>
      <c r="C400" s="36" t="n">
        <v>10.11</v>
      </c>
      <c r="D400" s="11"/>
      <c r="E400" s="11"/>
      <c r="F400" s="11"/>
      <c r="G400" s="11"/>
      <c r="H400" s="11"/>
      <c r="I400" s="11"/>
      <c r="J400" s="11"/>
      <c r="K400" s="11"/>
      <c r="L400" s="11"/>
      <c r="M400" s="11"/>
      <c r="N400" s="11"/>
      <c r="O400" s="11" t="s">
        <v>854</v>
      </c>
    </row>
    <row r="401" customFormat="false" ht="14.25" hidden="false" customHeight="true" outlineLevel="0" collapsed="false">
      <c r="B401" s="11" t="s">
        <v>855</v>
      </c>
      <c r="C401" s="31" t="n">
        <v>805.5</v>
      </c>
      <c r="D401" s="11"/>
      <c r="E401" s="11"/>
      <c r="F401" s="11"/>
      <c r="G401" s="11"/>
      <c r="H401" s="11"/>
      <c r="I401" s="11"/>
      <c r="J401" s="11"/>
      <c r="K401" s="11"/>
      <c r="L401" s="11"/>
      <c r="M401" s="11"/>
      <c r="N401" s="11"/>
      <c r="O401" s="11" t="s">
        <v>856</v>
      </c>
    </row>
    <row r="402" customFormat="false" ht="14.25" hidden="false" customHeight="true" outlineLevel="0" collapsed="false">
      <c r="B402" s="11" t="s">
        <v>857</v>
      </c>
      <c r="C402" s="40" t="n">
        <f aca="false">Drivers!C263</f>
        <v>1.54672897196262</v>
      </c>
      <c r="D402" s="11"/>
      <c r="E402" s="11"/>
      <c r="F402" s="11"/>
      <c r="G402" s="11"/>
      <c r="H402" s="11"/>
      <c r="I402" s="11"/>
      <c r="J402" s="11"/>
      <c r="K402" s="11"/>
      <c r="L402" s="11"/>
      <c r="M402" s="11"/>
      <c r="N402" s="11"/>
      <c r="O402" s="11" t="s">
        <v>858</v>
      </c>
    </row>
    <row r="403" customFormat="false" ht="14.25" hidden="false" customHeight="true" outlineLevel="0" collapsed="false">
      <c r="B403" s="11" t="s">
        <v>859</v>
      </c>
      <c r="C403" s="36" t="n">
        <v>1.55</v>
      </c>
      <c r="D403" s="11"/>
      <c r="E403" s="11"/>
      <c r="F403" s="11"/>
      <c r="G403" s="11"/>
      <c r="H403" s="11"/>
      <c r="I403" s="11"/>
      <c r="J403" s="11"/>
      <c r="K403" s="11"/>
      <c r="L403" s="11"/>
      <c r="M403" s="11"/>
      <c r="N403" s="11"/>
      <c r="O403" s="11" t="s">
        <v>860</v>
      </c>
    </row>
    <row r="404" customFormat="false" ht="14.25" hidden="false" customHeight="true" outlineLevel="0" collapsed="false">
      <c r="B404" s="11" t="s">
        <v>861</v>
      </c>
      <c r="C404" s="31" t="n">
        <v>732.3</v>
      </c>
      <c r="D404" s="11"/>
      <c r="E404" s="11"/>
      <c r="F404" s="11"/>
      <c r="G404" s="11"/>
      <c r="H404" s="11"/>
      <c r="I404" s="11"/>
      <c r="J404" s="11"/>
      <c r="K404" s="11"/>
      <c r="L404" s="11"/>
      <c r="M404" s="11"/>
      <c r="N404" s="11"/>
      <c r="O404" s="11" t="s">
        <v>862</v>
      </c>
    </row>
    <row r="405" customFormat="false" ht="14.25" hidden="false" customHeight="true" outlineLevel="0" collapsed="false">
      <c r="B405" s="11" t="s">
        <v>863</v>
      </c>
      <c r="C405" s="31" t="n">
        <v>1</v>
      </c>
      <c r="D405" s="11"/>
      <c r="E405" s="11"/>
      <c r="F405" s="11"/>
      <c r="G405" s="11"/>
      <c r="H405" s="11"/>
      <c r="I405" s="11"/>
      <c r="J405" s="11"/>
      <c r="K405" s="11"/>
      <c r="L405" s="11"/>
      <c r="M405" s="11"/>
      <c r="N405" s="11"/>
      <c r="O405" s="11" t="s">
        <v>864</v>
      </c>
    </row>
    <row r="406" customFormat="false" ht="14.25" hidden="false" customHeight="true" outlineLevel="0" collapsed="false">
      <c r="B406" s="11" t="s">
        <v>865</v>
      </c>
      <c r="C406" s="36" t="n">
        <v>1.5</v>
      </c>
      <c r="D406" s="11"/>
      <c r="E406" s="11"/>
      <c r="F406" s="11"/>
      <c r="G406" s="11"/>
      <c r="H406" s="11"/>
      <c r="I406" s="11"/>
      <c r="J406" s="11"/>
      <c r="K406" s="11"/>
      <c r="L406" s="11"/>
      <c r="M406" s="11"/>
      <c r="N406" s="11"/>
      <c r="O406" s="11" t="s">
        <v>866</v>
      </c>
    </row>
    <row r="407" customFormat="false" ht="14.25" hidden="false" customHeight="true" outlineLevel="0" collapsed="false">
      <c r="B407" s="11" t="s">
        <v>867</v>
      </c>
      <c r="C407" s="31" t="n">
        <v>2026</v>
      </c>
      <c r="D407" s="11"/>
      <c r="E407" s="11"/>
      <c r="F407" s="11"/>
      <c r="G407" s="11"/>
      <c r="H407" s="11"/>
      <c r="I407" s="11"/>
      <c r="J407" s="11"/>
      <c r="K407" s="11"/>
      <c r="L407" s="11"/>
      <c r="M407" s="11"/>
      <c r="N407" s="11"/>
      <c r="O407" s="11" t="s">
        <v>868</v>
      </c>
    </row>
    <row r="408" customFormat="false" ht="14.25" hidden="false" customHeight="true" outlineLevel="0" collapsed="false">
      <c r="B408" s="11" t="s">
        <v>869</v>
      </c>
      <c r="C408" s="31" t="n">
        <v>0</v>
      </c>
      <c r="D408" s="11"/>
      <c r="E408" s="11"/>
      <c r="F408" s="11"/>
      <c r="G408" s="11"/>
      <c r="H408" s="11"/>
      <c r="I408" s="11"/>
      <c r="J408" s="11"/>
      <c r="K408" s="11"/>
      <c r="L408" s="11"/>
      <c r="M408" s="11"/>
      <c r="N408" s="11"/>
      <c r="O408" s="11" t="s">
        <v>870</v>
      </c>
    </row>
    <row r="409" customFormat="false" ht="14.25" hidden="false" customHeight="true" outlineLevel="0" collapsed="false">
      <c r="B409" s="11" t="s">
        <v>871</v>
      </c>
      <c r="C409" s="33" t="n">
        <v>0.06</v>
      </c>
      <c r="D409" s="11"/>
      <c r="E409" s="11"/>
      <c r="F409" s="11"/>
      <c r="G409" s="11"/>
      <c r="H409" s="11"/>
      <c r="I409" s="11"/>
      <c r="J409" s="11"/>
      <c r="K409" s="11"/>
      <c r="L409" s="11"/>
      <c r="M409" s="11"/>
      <c r="N409" s="11"/>
      <c r="O409" s="11" t="s">
        <v>872</v>
      </c>
    </row>
    <row r="410" customFormat="false" ht="14.25" hidden="false" customHeight="true" outlineLevel="0" collapsed="false">
      <c r="B410" s="11" t="s">
        <v>873</v>
      </c>
      <c r="C410" s="33" t="n">
        <v>0.045</v>
      </c>
      <c r="D410" s="11"/>
      <c r="E410" s="11"/>
      <c r="F410" s="11"/>
      <c r="G410" s="11"/>
      <c r="H410" s="11"/>
      <c r="I410" s="11"/>
      <c r="J410" s="11"/>
      <c r="K410" s="11"/>
      <c r="L410" s="11"/>
      <c r="M410" s="11"/>
      <c r="N410" s="11"/>
      <c r="O410" s="11" t="s">
        <v>874</v>
      </c>
    </row>
    <row r="411" customFormat="false" ht="14.25" hidden="false" customHeight="true" outlineLevel="0" collapsed="false">
      <c r="B411" s="11" t="s">
        <v>875</v>
      </c>
      <c r="C411" s="33" t="n">
        <v>0.05</v>
      </c>
      <c r="D411" s="11"/>
      <c r="E411" s="11"/>
      <c r="F411" s="11"/>
      <c r="G411" s="11"/>
      <c r="H411" s="11"/>
      <c r="I411" s="11"/>
      <c r="J411" s="11"/>
      <c r="K411" s="11"/>
      <c r="L411" s="11"/>
      <c r="M411" s="11"/>
      <c r="N411" s="11"/>
      <c r="O411" s="11" t="s">
        <v>876</v>
      </c>
    </row>
    <row r="412" customFormat="false" ht="14.25" hidden="false" customHeight="true" outlineLevel="0" collapsed="false">
      <c r="B412" s="11" t="s">
        <v>877</v>
      </c>
      <c r="C412" s="33" t="n">
        <v>0.053</v>
      </c>
      <c r="D412" s="11"/>
      <c r="E412" s="11"/>
      <c r="F412" s="11"/>
      <c r="G412" s="11"/>
      <c r="H412" s="11"/>
      <c r="I412" s="11"/>
      <c r="J412" s="11"/>
      <c r="K412" s="11"/>
      <c r="L412" s="11"/>
      <c r="M412" s="11"/>
      <c r="N412" s="11"/>
      <c r="O412" s="11" t="s">
        <v>878</v>
      </c>
    </row>
    <row r="413" customFormat="false" ht="14.25" hidden="false" customHeight="true" outlineLevel="0" collapsed="false">
      <c r="B413" s="11" t="s">
        <v>879</v>
      </c>
      <c r="C413" s="33" t="n">
        <v>0.055</v>
      </c>
      <c r="D413" s="11"/>
      <c r="E413" s="11"/>
      <c r="F413" s="11"/>
      <c r="G413" s="11"/>
      <c r="H413" s="11"/>
      <c r="I413" s="11"/>
      <c r="J413" s="11"/>
      <c r="K413" s="11"/>
      <c r="L413" s="11"/>
      <c r="M413" s="11"/>
      <c r="N413" s="11"/>
      <c r="O413" s="11" t="s">
        <v>880</v>
      </c>
    </row>
    <row r="414" customFormat="false" ht="14.25" hidden="false" customHeight="true" outlineLevel="0" collapsed="false">
      <c r="B414" s="11" t="s">
        <v>881</v>
      </c>
      <c r="C414" s="33" t="n">
        <v>0.0595</v>
      </c>
      <c r="D414" s="11"/>
      <c r="E414" s="11"/>
      <c r="F414" s="11"/>
      <c r="G414" s="11"/>
      <c r="H414" s="11"/>
      <c r="I414" s="11"/>
      <c r="J414" s="11"/>
      <c r="K414" s="11"/>
      <c r="L414" s="11"/>
      <c r="M414" s="11"/>
      <c r="N414" s="11"/>
      <c r="O414" s="11" t="s">
        <v>882</v>
      </c>
    </row>
    <row r="415" customFormat="false" ht="14.25" hidden="false" customHeight="true" outlineLevel="0" collapsed="false">
      <c r="B415" s="11" t="s">
        <v>883</v>
      </c>
      <c r="C415" s="33" t="n">
        <v>0.06</v>
      </c>
      <c r="D415" s="11"/>
      <c r="E415" s="11"/>
      <c r="F415" s="11"/>
      <c r="G415" s="11"/>
      <c r="H415" s="11"/>
      <c r="I415" s="11"/>
      <c r="J415" s="11"/>
      <c r="K415" s="11"/>
      <c r="L415" s="11"/>
      <c r="M415" s="11"/>
      <c r="N415" s="11"/>
      <c r="O415" s="11" t="s">
        <v>884</v>
      </c>
    </row>
    <row r="416" customFormat="false" ht="14.25" hidden="false" customHeight="true" outlineLevel="0" collapsed="false">
      <c r="B416" s="11" t="s">
        <v>885</v>
      </c>
      <c r="C416" s="33" t="n">
        <v>0.065</v>
      </c>
      <c r="D416" s="11"/>
      <c r="E416" s="11"/>
      <c r="F416" s="11"/>
      <c r="G416" s="11"/>
      <c r="H416" s="11"/>
      <c r="I416" s="11"/>
      <c r="J416" s="11"/>
      <c r="K416" s="11"/>
      <c r="L416" s="11"/>
      <c r="M416" s="11"/>
      <c r="N416" s="11"/>
      <c r="O416" s="11" t="s">
        <v>886</v>
      </c>
    </row>
    <row r="417" customFormat="false" ht="14.25" hidden="false" customHeight="true" outlineLevel="0" collapsed="false">
      <c r="B417" s="11"/>
      <c r="C417" s="11"/>
      <c r="D417" s="11"/>
      <c r="E417" s="11"/>
      <c r="F417" s="11"/>
      <c r="G417" s="11"/>
      <c r="H417" s="11"/>
      <c r="I417" s="11"/>
      <c r="J417" s="11"/>
      <c r="K417" s="11"/>
      <c r="L417" s="11"/>
      <c r="M417" s="11"/>
      <c r="N417" s="11"/>
      <c r="O417" s="11"/>
    </row>
    <row r="418" customFormat="false" ht="14.25" hidden="false" customHeight="true" outlineLevel="0" collapsed="false">
      <c r="A418" s="22" t="s">
        <v>11</v>
      </c>
      <c r="B418" s="10" t="s">
        <v>887</v>
      </c>
      <c r="C418" s="11"/>
      <c r="D418" s="11"/>
      <c r="E418" s="11"/>
      <c r="F418" s="11"/>
      <c r="G418" s="11"/>
      <c r="H418" s="11"/>
      <c r="I418" s="11"/>
      <c r="J418" s="11"/>
      <c r="K418" s="11"/>
      <c r="L418" s="11"/>
      <c r="M418" s="11"/>
      <c r="N418" s="11"/>
      <c r="O418" s="11"/>
    </row>
    <row r="419" customFormat="false" ht="14.25" hidden="false" customHeight="true" outlineLevel="0" collapsed="false">
      <c r="B419" s="11" t="s">
        <v>888</v>
      </c>
      <c r="C419" s="33" t="n">
        <v>0.67</v>
      </c>
      <c r="D419" s="11"/>
      <c r="E419" s="11"/>
      <c r="F419" s="11"/>
      <c r="G419" s="11"/>
      <c r="H419" s="11"/>
      <c r="I419" s="11"/>
      <c r="J419" s="11"/>
      <c r="K419" s="11"/>
      <c r="L419" s="11"/>
      <c r="M419" s="11"/>
      <c r="N419" s="11"/>
      <c r="O419" s="11" t="s">
        <v>889</v>
      </c>
    </row>
    <row r="420" customFormat="false" ht="14.25" hidden="false" customHeight="true" outlineLevel="0" collapsed="false">
      <c r="B420" s="11" t="s">
        <v>890</v>
      </c>
      <c r="C420" s="33" t="n">
        <v>0.33</v>
      </c>
      <c r="D420" s="11"/>
      <c r="E420" s="11"/>
      <c r="F420" s="11"/>
      <c r="G420" s="11"/>
      <c r="H420" s="11"/>
      <c r="I420" s="11"/>
      <c r="J420" s="11"/>
      <c r="K420" s="11"/>
      <c r="L420" s="11"/>
      <c r="M420" s="11"/>
      <c r="N420" s="11"/>
      <c r="O420" s="11" t="s">
        <v>891</v>
      </c>
    </row>
    <row r="421" customFormat="false" ht="14.25" hidden="false" customHeight="true" outlineLevel="0" collapsed="false">
      <c r="B421" s="11" t="s">
        <v>892</v>
      </c>
      <c r="C421" s="31" t="n">
        <v>1</v>
      </c>
      <c r="D421" s="11"/>
      <c r="E421" s="11"/>
      <c r="F421" s="11"/>
      <c r="G421" s="11"/>
      <c r="H421" s="11"/>
      <c r="I421" s="11"/>
      <c r="J421" s="11"/>
      <c r="K421" s="11"/>
      <c r="L421" s="11"/>
      <c r="M421" s="11"/>
      <c r="N421" s="11"/>
      <c r="O421" s="11" t="s">
        <v>893</v>
      </c>
    </row>
    <row r="422" customFormat="false" ht="14.25" hidden="false" customHeight="true" outlineLevel="0" collapsed="false">
      <c r="B422" s="11" t="s">
        <v>894</v>
      </c>
      <c r="C422" s="31" t="n">
        <v>5</v>
      </c>
      <c r="D422" s="11"/>
      <c r="E422" s="11"/>
      <c r="F422" s="11"/>
      <c r="G422" s="11"/>
      <c r="H422" s="11"/>
      <c r="I422" s="11"/>
      <c r="J422" s="11"/>
      <c r="K422" s="11"/>
      <c r="L422" s="11"/>
      <c r="M422" s="11"/>
      <c r="N422" s="11"/>
      <c r="O422" s="11" t="s">
        <v>895</v>
      </c>
    </row>
    <row r="423" customFormat="false" ht="14.25" hidden="false" customHeight="true" outlineLevel="0" collapsed="false">
      <c r="B423" s="11" t="s">
        <v>896</v>
      </c>
      <c r="C423" s="33" t="n">
        <v>0.75</v>
      </c>
      <c r="D423" s="11"/>
      <c r="E423" s="11"/>
      <c r="F423" s="11"/>
      <c r="G423" s="11"/>
      <c r="H423" s="11"/>
      <c r="I423" s="11"/>
      <c r="J423" s="11"/>
      <c r="K423" s="11"/>
      <c r="L423" s="11"/>
      <c r="M423" s="11"/>
      <c r="N423" s="11"/>
      <c r="O423" s="11" t="s">
        <v>897</v>
      </c>
    </row>
    <row r="424" customFormat="false" ht="14.25" hidden="false" customHeight="true" outlineLevel="0" collapsed="false">
      <c r="B424" s="11" t="s">
        <v>898</v>
      </c>
      <c r="C424" s="33" t="n">
        <v>0.0025</v>
      </c>
      <c r="D424" s="11"/>
      <c r="E424" s="11"/>
      <c r="F424" s="11"/>
      <c r="G424" s="11"/>
      <c r="H424" s="11"/>
      <c r="I424" s="11"/>
      <c r="J424" s="11"/>
      <c r="K424" s="11"/>
      <c r="L424" s="11"/>
      <c r="M424" s="11"/>
      <c r="N424" s="11"/>
      <c r="O424" s="11" t="s">
        <v>899</v>
      </c>
    </row>
    <row r="425" customFormat="false" ht="14.25" hidden="false" customHeight="true" outlineLevel="0" collapsed="false">
      <c r="B425" s="11" t="s">
        <v>900</v>
      </c>
      <c r="C425" s="33" t="n">
        <v>0.005</v>
      </c>
      <c r="D425" s="11"/>
      <c r="E425" s="11"/>
      <c r="F425" s="11"/>
      <c r="G425" s="11"/>
      <c r="H425" s="11"/>
      <c r="I425" s="11"/>
      <c r="J425" s="11"/>
      <c r="K425" s="11"/>
      <c r="L425" s="11"/>
      <c r="M425" s="11"/>
      <c r="N425" s="11"/>
      <c r="O425" s="11" t="s">
        <v>901</v>
      </c>
    </row>
    <row r="426" customFormat="false" ht="14.25" hidden="false" customHeight="true" outlineLevel="0" collapsed="false">
      <c r="B426" s="11" t="s">
        <v>902</v>
      </c>
      <c r="C426" s="33" t="n">
        <v>0.0025</v>
      </c>
      <c r="D426" s="11"/>
      <c r="E426" s="11"/>
      <c r="F426" s="11"/>
      <c r="G426" s="11"/>
      <c r="H426" s="11"/>
      <c r="I426" s="11"/>
      <c r="J426" s="11"/>
      <c r="K426" s="11"/>
      <c r="L426" s="11"/>
      <c r="M426" s="11"/>
      <c r="N426" s="11"/>
      <c r="O426" s="11" t="s">
        <v>903</v>
      </c>
    </row>
    <row r="427" customFormat="false" ht="14.25" hidden="false" customHeight="true" outlineLevel="0" collapsed="false">
      <c r="B427" s="11" t="s">
        <v>904</v>
      </c>
      <c r="C427" s="33" t="n">
        <v>0.005</v>
      </c>
      <c r="D427" s="11"/>
      <c r="E427" s="11"/>
      <c r="F427" s="11"/>
      <c r="G427" s="11"/>
      <c r="H427" s="11"/>
      <c r="I427" s="11"/>
      <c r="J427" s="11"/>
      <c r="K427" s="11"/>
      <c r="L427" s="11"/>
      <c r="M427" s="11"/>
      <c r="N427" s="11"/>
      <c r="O427" s="11" t="s">
        <v>905</v>
      </c>
    </row>
    <row r="428" customFormat="false" ht="14.25" hidden="false" customHeight="true" outlineLevel="0" collapsed="false">
      <c r="B428" s="11" t="s">
        <v>906</v>
      </c>
      <c r="C428" s="33" t="n">
        <v>0.0075</v>
      </c>
      <c r="D428" s="11"/>
      <c r="E428" s="11"/>
      <c r="F428" s="11"/>
      <c r="G428" s="11"/>
      <c r="H428" s="11"/>
      <c r="I428" s="11"/>
      <c r="J428" s="11"/>
      <c r="K428" s="11"/>
      <c r="L428" s="11"/>
      <c r="M428" s="11"/>
      <c r="N428" s="11"/>
      <c r="O428" s="11" t="s">
        <v>907</v>
      </c>
    </row>
    <row r="429" customFormat="false" ht="14.25" hidden="false" customHeight="true" outlineLevel="0" collapsed="false">
      <c r="B429" s="11" t="s">
        <v>908</v>
      </c>
      <c r="C429" s="33" t="n">
        <v>0.01</v>
      </c>
      <c r="D429" s="11"/>
      <c r="E429" s="11"/>
      <c r="F429" s="11"/>
      <c r="G429" s="11"/>
      <c r="H429" s="11"/>
      <c r="I429" s="11"/>
      <c r="J429" s="11"/>
      <c r="K429" s="11"/>
      <c r="L429" s="11"/>
      <c r="M429" s="11"/>
      <c r="N429" s="11"/>
      <c r="O429" s="11" t="s">
        <v>909</v>
      </c>
    </row>
    <row r="430" customFormat="false" ht="14.25" hidden="false" customHeight="true" outlineLevel="0" collapsed="false">
      <c r="B430" s="11" t="s">
        <v>910</v>
      </c>
      <c r="C430" s="33" t="n">
        <v>0.5</v>
      </c>
      <c r="D430" s="11"/>
      <c r="E430" s="11"/>
      <c r="F430" s="11"/>
      <c r="G430" s="11"/>
      <c r="H430" s="11"/>
      <c r="I430" s="11"/>
      <c r="J430" s="11"/>
      <c r="K430" s="11"/>
      <c r="L430" s="11"/>
      <c r="M430" s="11"/>
      <c r="N430" s="11"/>
      <c r="O430" s="11" t="s">
        <v>911</v>
      </c>
    </row>
    <row r="431" customFormat="false" ht="14.25" hidden="false" customHeight="true" outlineLevel="0" collapsed="false">
      <c r="B431" s="11" t="s">
        <v>912</v>
      </c>
      <c r="C431" s="31" t="n">
        <v>1</v>
      </c>
      <c r="D431" s="11"/>
      <c r="E431" s="11"/>
      <c r="F431" s="11"/>
      <c r="G431" s="11"/>
      <c r="H431" s="11"/>
      <c r="I431" s="11"/>
      <c r="J431" s="11"/>
      <c r="K431" s="11"/>
      <c r="L431" s="11"/>
      <c r="M431" s="11"/>
      <c r="N431" s="11"/>
      <c r="O431" s="11" t="s">
        <v>913</v>
      </c>
    </row>
    <row r="432" customFormat="false" ht="14.25" hidden="false" customHeight="true" outlineLevel="0" collapsed="false">
      <c r="A432" s="22" t="s">
        <v>11</v>
      </c>
      <c r="B432" s="10" t="s">
        <v>914</v>
      </c>
      <c r="C432" s="11"/>
      <c r="D432" s="11"/>
      <c r="E432" s="11"/>
      <c r="F432" s="11"/>
      <c r="G432" s="11"/>
      <c r="H432" s="11"/>
      <c r="I432" s="11"/>
      <c r="J432" s="11"/>
      <c r="K432" s="11"/>
      <c r="L432" s="11"/>
      <c r="M432" s="11"/>
      <c r="N432" s="11"/>
      <c r="O432" s="11"/>
    </row>
    <row r="433" customFormat="false" ht="14.25" hidden="false" customHeight="true" outlineLevel="0" collapsed="false">
      <c r="B433" s="11" t="s">
        <v>915</v>
      </c>
      <c r="C433" s="34" t="n">
        <f aca="false">C397</f>
        <v>0.035</v>
      </c>
      <c r="D433" s="11"/>
      <c r="E433" s="11"/>
      <c r="F433" s="11"/>
      <c r="G433" s="11"/>
      <c r="H433" s="11"/>
      <c r="I433" s="11"/>
      <c r="J433" s="11"/>
      <c r="K433" s="11"/>
      <c r="L433" s="11"/>
      <c r="M433" s="11"/>
      <c r="N433" s="11"/>
      <c r="O433" s="11" t="s">
        <v>916</v>
      </c>
    </row>
    <row r="434" customFormat="false" ht="14.25" hidden="false" customHeight="true" outlineLevel="0" collapsed="false">
      <c r="B434" s="11" t="s">
        <v>917</v>
      </c>
      <c r="C434" s="40" t="n">
        <f aca="false">Valuation!D27</f>
        <v>1.632152</v>
      </c>
      <c r="D434" s="11"/>
      <c r="E434" s="11"/>
      <c r="F434" s="11"/>
      <c r="G434" s="11"/>
      <c r="H434" s="11"/>
      <c r="I434" s="11"/>
      <c r="J434" s="11"/>
      <c r="K434" s="11"/>
      <c r="L434" s="11"/>
      <c r="M434" s="11"/>
      <c r="N434" s="11"/>
      <c r="O434" s="11" t="s">
        <v>918</v>
      </c>
    </row>
    <row r="435" customFormat="false" ht="14.25" hidden="false" customHeight="true" outlineLevel="0" collapsed="false">
      <c r="B435" s="11" t="s">
        <v>919</v>
      </c>
      <c r="C435" s="41" t="n">
        <f aca="false">DCF!D57</f>
        <v>0.0902</v>
      </c>
      <c r="D435" s="11"/>
      <c r="E435" s="11"/>
      <c r="F435" s="11"/>
      <c r="G435" s="11"/>
      <c r="H435" s="11"/>
      <c r="I435" s="11"/>
      <c r="J435" s="11"/>
      <c r="K435" s="11"/>
      <c r="L435" s="11"/>
      <c r="M435" s="11"/>
      <c r="N435" s="11"/>
      <c r="O435" s="11" t="s">
        <v>920</v>
      </c>
    </row>
    <row r="436" customFormat="false" ht="14.25" hidden="false" customHeight="true" outlineLevel="0" collapsed="false">
      <c r="B436" s="11" t="s">
        <v>921</v>
      </c>
      <c r="C436" s="32" t="n">
        <f aca="false">C115</f>
        <v>140</v>
      </c>
      <c r="D436" s="11"/>
      <c r="E436" s="11"/>
      <c r="F436" s="11"/>
      <c r="G436" s="11"/>
      <c r="H436" s="11"/>
      <c r="I436" s="11"/>
      <c r="J436" s="11"/>
      <c r="K436" s="11"/>
      <c r="L436" s="11"/>
      <c r="M436" s="11"/>
      <c r="N436" s="11"/>
      <c r="O436" s="11" t="s">
        <v>922</v>
      </c>
    </row>
    <row r="437" customFormat="false" ht="14.25" hidden="false" customHeight="true" outlineLevel="0" collapsed="false">
      <c r="B437" s="11" t="s">
        <v>923</v>
      </c>
      <c r="C437" s="32" t="n">
        <f aca="false">C116</f>
        <v>130</v>
      </c>
      <c r="D437" s="11"/>
      <c r="E437" s="11"/>
      <c r="F437" s="11"/>
      <c r="G437" s="11"/>
      <c r="H437" s="11"/>
      <c r="I437" s="11"/>
      <c r="J437" s="11"/>
      <c r="K437" s="11"/>
      <c r="L437" s="11"/>
      <c r="M437" s="11"/>
      <c r="N437" s="11"/>
      <c r="O437" s="11" t="s">
        <v>924</v>
      </c>
    </row>
    <row r="438" customFormat="false" ht="14.25" hidden="false" customHeight="true" outlineLevel="0" collapsed="false">
      <c r="B438" s="11" t="s">
        <v>925</v>
      </c>
      <c r="C438" s="32" t="n">
        <f aca="false">C297</f>
        <v>130</v>
      </c>
      <c r="D438" s="11"/>
      <c r="E438" s="11"/>
      <c r="F438" s="11"/>
      <c r="G438" s="11"/>
      <c r="H438" s="11"/>
      <c r="I438" s="11"/>
      <c r="J438" s="11"/>
      <c r="K438" s="11"/>
      <c r="L438" s="11"/>
      <c r="M438" s="11"/>
      <c r="N438" s="11"/>
      <c r="O438" s="11" t="s">
        <v>926</v>
      </c>
    </row>
    <row r="439" customFormat="false" ht="14.25" hidden="false" customHeight="true" outlineLevel="0" collapsed="false">
      <c r="B439" s="11" t="s">
        <v>927</v>
      </c>
      <c r="C439" s="32" t="n">
        <f aca="false">C298</f>
        <v>130</v>
      </c>
      <c r="D439" s="11"/>
      <c r="E439" s="11"/>
      <c r="F439" s="11"/>
      <c r="G439" s="11"/>
      <c r="H439" s="11"/>
      <c r="I439" s="11"/>
      <c r="J439" s="11"/>
      <c r="K439" s="11"/>
      <c r="L439" s="11"/>
      <c r="M439" s="11"/>
      <c r="N439" s="11"/>
      <c r="O439" s="11" t="s">
        <v>928</v>
      </c>
    </row>
    <row r="440" customFormat="false" ht="14.25" hidden="false" customHeight="true" outlineLevel="0" collapsed="false">
      <c r="B440" s="11" t="s">
        <v>929</v>
      </c>
      <c r="C440" s="32" t="n">
        <f aca="false">C299</f>
        <v>130</v>
      </c>
      <c r="D440" s="11"/>
      <c r="E440" s="11"/>
      <c r="F440" s="11"/>
      <c r="G440" s="11"/>
      <c r="H440" s="11"/>
      <c r="I440" s="11"/>
      <c r="J440" s="11"/>
      <c r="K440" s="11"/>
      <c r="L440" s="11"/>
      <c r="M440" s="11"/>
      <c r="N440" s="11"/>
      <c r="O440" s="11" t="s">
        <v>930</v>
      </c>
    </row>
    <row r="441" customFormat="false" ht="14.25" hidden="false" customHeight="true" outlineLevel="0" collapsed="false">
      <c r="B441" s="11" t="s">
        <v>931</v>
      </c>
      <c r="C441" s="31" t="n">
        <v>0</v>
      </c>
      <c r="D441" s="11"/>
      <c r="E441" s="11"/>
      <c r="F441" s="11"/>
      <c r="G441" s="11"/>
      <c r="H441" s="11"/>
      <c r="I441" s="11"/>
      <c r="J441" s="11"/>
      <c r="K441" s="11"/>
      <c r="L441" s="11"/>
      <c r="M441" s="11"/>
      <c r="N441" s="11"/>
      <c r="O441" s="11" t="s">
        <v>932</v>
      </c>
    </row>
    <row r="442" customFormat="false" ht="14.25" hidden="false" customHeight="true" outlineLevel="0" collapsed="false">
      <c r="B442" s="11" t="s">
        <v>933</v>
      </c>
      <c r="C442" s="33" t="n">
        <v>0.75</v>
      </c>
      <c r="D442" s="11"/>
      <c r="E442" s="11"/>
      <c r="F442" s="11"/>
      <c r="G442" s="11"/>
      <c r="H442" s="11"/>
      <c r="I442" s="11"/>
      <c r="J442" s="11"/>
      <c r="K442" s="11"/>
      <c r="L442" s="11"/>
      <c r="M442" s="11"/>
      <c r="N442" s="11"/>
      <c r="O442" s="11" t="s">
        <v>934</v>
      </c>
    </row>
    <row r="443" customFormat="false" ht="14.25" hidden="false" customHeight="true" outlineLevel="0" collapsed="false">
      <c r="B443" s="11" t="s">
        <v>935</v>
      </c>
      <c r="C443" s="34" t="n">
        <f aca="false">C424</f>
        <v>0.0025</v>
      </c>
      <c r="D443" s="11"/>
      <c r="E443" s="11"/>
      <c r="F443" s="11"/>
      <c r="G443" s="11"/>
      <c r="H443" s="11"/>
      <c r="I443" s="11"/>
      <c r="J443" s="11"/>
      <c r="K443" s="11"/>
      <c r="L443" s="11"/>
      <c r="M443" s="11"/>
      <c r="N443" s="11"/>
      <c r="O443" s="11" t="s">
        <v>936</v>
      </c>
    </row>
    <row r="444" customFormat="false" ht="14.25" hidden="false" customHeight="true" outlineLevel="0" collapsed="false">
      <c r="B444" s="11" t="s">
        <v>937</v>
      </c>
      <c r="C444" s="34" t="n">
        <f aca="false">C425</f>
        <v>0.005</v>
      </c>
      <c r="D444" s="11"/>
      <c r="E444" s="11"/>
      <c r="F444" s="11"/>
      <c r="G444" s="11"/>
      <c r="H444" s="11"/>
      <c r="I444" s="11"/>
      <c r="J444" s="11"/>
      <c r="K444" s="11"/>
      <c r="L444" s="11"/>
      <c r="M444" s="11"/>
      <c r="N444" s="11"/>
      <c r="O444" s="11" t="s">
        <v>938</v>
      </c>
    </row>
    <row r="445" customFormat="false" ht="14.25" hidden="false" customHeight="true" outlineLevel="0" collapsed="false">
      <c r="B445" s="11" t="s">
        <v>939</v>
      </c>
      <c r="C445" s="33" t="n">
        <v>0.0075</v>
      </c>
      <c r="D445" s="11"/>
      <c r="E445" s="11"/>
      <c r="F445" s="11"/>
      <c r="G445" s="11"/>
      <c r="H445" s="11"/>
      <c r="I445" s="11"/>
      <c r="J445" s="11"/>
      <c r="K445" s="11"/>
      <c r="L445" s="11"/>
      <c r="M445" s="11"/>
      <c r="N445" s="11"/>
      <c r="O445" s="11" t="s">
        <v>940</v>
      </c>
    </row>
    <row r="446" customFormat="false" ht="14.25" hidden="false" customHeight="true" outlineLevel="0" collapsed="false">
      <c r="B446" s="11" t="s">
        <v>941</v>
      </c>
      <c r="C446" s="34" t="n">
        <f aca="false">C429</f>
        <v>0.01</v>
      </c>
      <c r="D446" s="11"/>
      <c r="E446" s="11"/>
      <c r="F446" s="11"/>
      <c r="G446" s="11"/>
      <c r="H446" s="11"/>
      <c r="I446" s="11"/>
      <c r="J446" s="11"/>
      <c r="K446" s="11"/>
      <c r="L446" s="11"/>
      <c r="M446" s="11"/>
      <c r="N446" s="11"/>
      <c r="O446" s="11" t="s">
        <v>942</v>
      </c>
    </row>
    <row r="447" customFormat="false" ht="14.25" hidden="false" customHeight="true" outlineLevel="0" collapsed="false">
      <c r="B447" s="11" t="s">
        <v>943</v>
      </c>
      <c r="C447" s="34" t="n">
        <f aca="false">C426</f>
        <v>0.0025</v>
      </c>
      <c r="D447" s="11"/>
      <c r="E447" s="11"/>
      <c r="F447" s="11"/>
      <c r="G447" s="11"/>
      <c r="H447" s="11"/>
      <c r="I447" s="11"/>
      <c r="J447" s="11"/>
      <c r="K447" s="11"/>
      <c r="L447" s="11"/>
      <c r="M447" s="11"/>
      <c r="N447" s="11"/>
      <c r="O447" s="11" t="s">
        <v>944</v>
      </c>
    </row>
    <row r="448" customFormat="false" ht="14.25" hidden="false" customHeight="true" outlineLevel="0" collapsed="false">
      <c r="B448" s="11" t="s">
        <v>945</v>
      </c>
      <c r="C448" s="34" t="n">
        <f aca="false">C427</f>
        <v>0.005</v>
      </c>
      <c r="D448" s="11"/>
      <c r="E448" s="11"/>
      <c r="F448" s="11"/>
      <c r="G448" s="11"/>
      <c r="H448" s="11"/>
      <c r="I448" s="11"/>
      <c r="J448" s="11"/>
      <c r="K448" s="11"/>
      <c r="L448" s="11"/>
      <c r="M448" s="11"/>
      <c r="N448" s="11"/>
      <c r="O448" s="11" t="s">
        <v>946</v>
      </c>
    </row>
    <row r="449" customFormat="false" ht="14.25" hidden="false" customHeight="true" outlineLevel="0" collapsed="false">
      <c r="B449" s="11" t="s">
        <v>947</v>
      </c>
      <c r="C449" s="34" t="n">
        <f aca="false">C428</f>
        <v>0.0075</v>
      </c>
      <c r="D449" s="11"/>
      <c r="E449" s="11"/>
      <c r="F449" s="11"/>
      <c r="G449" s="11"/>
      <c r="H449" s="11"/>
      <c r="I449" s="11"/>
      <c r="J449" s="11"/>
      <c r="K449" s="11"/>
      <c r="L449" s="11"/>
      <c r="M449" s="11"/>
      <c r="N449" s="11"/>
      <c r="O449" s="11" t="s">
        <v>948</v>
      </c>
    </row>
    <row r="450" customFormat="false" ht="14.25" hidden="false" customHeight="true" outlineLevel="0" collapsed="false">
      <c r="B450" s="11" t="s">
        <v>949</v>
      </c>
      <c r="C450" s="34" t="n">
        <f aca="false">C429</f>
        <v>0.01</v>
      </c>
      <c r="D450" s="11"/>
      <c r="E450" s="11"/>
      <c r="F450" s="11"/>
      <c r="G450" s="11"/>
      <c r="H450" s="11"/>
      <c r="I450" s="11"/>
      <c r="J450" s="11"/>
      <c r="K450" s="11"/>
      <c r="L450" s="11"/>
      <c r="M450" s="11"/>
      <c r="N450" s="11"/>
      <c r="O450" s="11" t="s">
        <v>950</v>
      </c>
    </row>
    <row r="451" customFormat="false" ht="14.25" hidden="false" customHeight="true" outlineLevel="0" collapsed="false">
      <c r="B451" s="11"/>
      <c r="C451" s="11"/>
      <c r="D451" s="11"/>
      <c r="E451" s="11"/>
      <c r="F451" s="11"/>
      <c r="G451" s="11"/>
      <c r="H451" s="11"/>
      <c r="I451" s="11"/>
      <c r="J451" s="11"/>
      <c r="K451" s="11"/>
      <c r="L451" s="11"/>
      <c r="M451" s="11"/>
      <c r="N451" s="11"/>
      <c r="O451" s="11"/>
    </row>
    <row r="452" customFormat="false" ht="14.25" hidden="false" customHeight="true" outlineLevel="0" collapsed="false">
      <c r="A452" s="22" t="s">
        <v>11</v>
      </c>
      <c r="B452" s="10" t="s">
        <v>951</v>
      </c>
      <c r="C452" s="11"/>
      <c r="D452" s="11"/>
      <c r="E452" s="11"/>
      <c r="F452" s="11"/>
      <c r="G452" s="11"/>
      <c r="H452" s="11"/>
      <c r="I452" s="11"/>
      <c r="J452" s="11"/>
      <c r="K452" s="11"/>
      <c r="L452" s="11"/>
      <c r="M452" s="11"/>
      <c r="N452" s="11"/>
      <c r="O452" s="11"/>
    </row>
    <row r="453" customFormat="false" ht="14.25" hidden="false" customHeight="true" outlineLevel="0" collapsed="false">
      <c r="B453" s="35" t="s">
        <v>952</v>
      </c>
      <c r="C453" s="34" t="n">
        <f aca="false">C36</f>
        <v>-0.02</v>
      </c>
      <c r="D453" s="11"/>
      <c r="E453" s="11"/>
      <c r="F453" s="11"/>
      <c r="G453" s="11"/>
      <c r="H453" s="11"/>
      <c r="I453" s="11"/>
      <c r="J453" s="11"/>
      <c r="K453" s="11"/>
      <c r="L453" s="11"/>
      <c r="M453" s="11"/>
      <c r="N453" s="11"/>
      <c r="O453" s="11" t="s">
        <v>953</v>
      </c>
    </row>
    <row r="454" customFormat="false" ht="14.25" hidden="false" customHeight="true" outlineLevel="0" collapsed="false">
      <c r="B454" s="35" t="s">
        <v>954</v>
      </c>
      <c r="C454" s="34" t="n">
        <f aca="false">C36</f>
        <v>-0.02</v>
      </c>
      <c r="D454" s="11"/>
      <c r="E454" s="11"/>
      <c r="F454" s="11"/>
      <c r="G454" s="11"/>
      <c r="H454" s="11"/>
      <c r="I454" s="11"/>
      <c r="J454" s="11"/>
      <c r="K454" s="11"/>
      <c r="L454" s="11"/>
      <c r="M454" s="11"/>
      <c r="N454" s="11"/>
      <c r="O454" s="11" t="s">
        <v>953</v>
      </c>
    </row>
    <row r="455" customFormat="false" ht="14.25" hidden="false" customHeight="true" outlineLevel="0" collapsed="false">
      <c r="B455" s="35" t="s">
        <v>955</v>
      </c>
      <c r="C455" s="34" t="n">
        <f aca="false">C36</f>
        <v>-0.02</v>
      </c>
      <c r="D455" s="11"/>
      <c r="E455" s="11"/>
      <c r="F455" s="11"/>
      <c r="G455" s="11"/>
      <c r="H455" s="11"/>
      <c r="I455" s="11"/>
      <c r="J455" s="11"/>
      <c r="K455" s="11"/>
      <c r="L455" s="11"/>
      <c r="M455" s="11"/>
      <c r="N455" s="11"/>
      <c r="O455" s="11" t="s">
        <v>953</v>
      </c>
    </row>
    <row r="456" customFormat="false" ht="14.25" hidden="false" customHeight="true" outlineLevel="0" collapsed="false">
      <c r="B456" s="35" t="s">
        <v>956</v>
      </c>
      <c r="C456" s="34" t="n">
        <f aca="false">C36</f>
        <v>-0.02</v>
      </c>
      <c r="D456" s="11"/>
      <c r="E456" s="11"/>
      <c r="F456" s="11"/>
      <c r="G456" s="11"/>
      <c r="H456" s="11"/>
      <c r="I456" s="11"/>
      <c r="J456" s="11"/>
      <c r="K456" s="11"/>
      <c r="L456" s="11"/>
      <c r="M456" s="11"/>
      <c r="N456" s="11"/>
      <c r="O456" s="11" t="s">
        <v>953</v>
      </c>
    </row>
    <row r="457" customFormat="false" ht="14.25" hidden="false" customHeight="true" outlineLevel="0" collapsed="false">
      <c r="B457" s="35" t="s">
        <v>957</v>
      </c>
      <c r="C457" s="34" t="n">
        <f aca="false">C36</f>
        <v>-0.02</v>
      </c>
      <c r="D457" s="11"/>
      <c r="E457" s="11"/>
      <c r="F457" s="11"/>
      <c r="G457" s="11"/>
      <c r="H457" s="11"/>
      <c r="I457" s="11"/>
      <c r="J457" s="11"/>
      <c r="K457" s="11"/>
      <c r="L457" s="11"/>
      <c r="M457" s="11"/>
      <c r="N457" s="11"/>
      <c r="O457" s="11" t="s">
        <v>953</v>
      </c>
    </row>
    <row r="458" customFormat="false" ht="14.25" hidden="false" customHeight="true" outlineLevel="0" collapsed="false">
      <c r="B458" s="11" t="s">
        <v>958</v>
      </c>
      <c r="C458" s="34" t="n">
        <f aca="false">C38</f>
        <v>0.85</v>
      </c>
      <c r="D458" s="11"/>
      <c r="E458" s="11"/>
      <c r="F458" s="11"/>
      <c r="G458" s="11"/>
      <c r="H458" s="11"/>
      <c r="I458" s="11"/>
      <c r="J458" s="11"/>
      <c r="K458" s="11"/>
      <c r="L458" s="11"/>
      <c r="M458" s="11"/>
      <c r="N458" s="11"/>
      <c r="O458" s="11" t="s">
        <v>959</v>
      </c>
    </row>
    <row r="459" customFormat="false" ht="14.25" hidden="false" customHeight="true" outlineLevel="0" collapsed="false">
      <c r="B459" s="11" t="s">
        <v>960</v>
      </c>
      <c r="C459" s="34" t="n">
        <f aca="false">C38</f>
        <v>0.85</v>
      </c>
      <c r="D459" s="11"/>
      <c r="E459" s="11"/>
      <c r="F459" s="11"/>
      <c r="G459" s="11"/>
      <c r="H459" s="11"/>
      <c r="I459" s="11"/>
      <c r="J459" s="11"/>
      <c r="K459" s="11"/>
      <c r="L459" s="11"/>
      <c r="M459" s="11"/>
      <c r="N459" s="11"/>
      <c r="O459" s="11" t="s">
        <v>959</v>
      </c>
    </row>
    <row r="460" customFormat="false" ht="14.25" hidden="false" customHeight="true" outlineLevel="0" collapsed="false">
      <c r="B460" s="11" t="s">
        <v>961</v>
      </c>
      <c r="C460" s="34" t="n">
        <f aca="false">C38</f>
        <v>0.85</v>
      </c>
      <c r="D460" s="11"/>
      <c r="E460" s="11"/>
      <c r="F460" s="11"/>
      <c r="G460" s="11"/>
      <c r="H460" s="11"/>
      <c r="I460" s="11"/>
      <c r="J460" s="11"/>
      <c r="K460" s="11"/>
      <c r="L460" s="11"/>
      <c r="M460" s="11"/>
      <c r="N460" s="11"/>
      <c r="O460" s="11" t="s">
        <v>959</v>
      </c>
    </row>
    <row r="461" customFormat="false" ht="14.25" hidden="false" customHeight="true" outlineLevel="0" collapsed="false">
      <c r="B461" s="11" t="s">
        <v>962</v>
      </c>
      <c r="C461" s="34" t="n">
        <f aca="false">C38</f>
        <v>0.85</v>
      </c>
      <c r="D461" s="11"/>
      <c r="E461" s="11"/>
      <c r="F461" s="11"/>
      <c r="G461" s="11"/>
      <c r="H461" s="11"/>
      <c r="I461" s="11"/>
      <c r="J461" s="11"/>
      <c r="K461" s="11"/>
      <c r="L461" s="11"/>
      <c r="M461" s="11"/>
      <c r="N461" s="11"/>
      <c r="O461" s="11" t="s">
        <v>959</v>
      </c>
    </row>
    <row r="462" customFormat="false" ht="14.25" hidden="false" customHeight="true" outlineLevel="0" collapsed="false">
      <c r="B462" s="11" t="s">
        <v>963</v>
      </c>
      <c r="C462" s="34" t="n">
        <f aca="false">C38</f>
        <v>0.85</v>
      </c>
      <c r="D462" s="11"/>
      <c r="E462" s="11"/>
      <c r="F462" s="11"/>
      <c r="G462" s="11"/>
      <c r="H462" s="11"/>
      <c r="I462" s="11"/>
      <c r="J462" s="11"/>
      <c r="K462" s="11"/>
      <c r="L462" s="11"/>
      <c r="M462" s="11"/>
      <c r="N462" s="11"/>
      <c r="O462" s="11" t="s">
        <v>959</v>
      </c>
    </row>
    <row r="463" customFormat="false" ht="14.25" hidden="false" customHeight="true" outlineLevel="0" collapsed="false">
      <c r="B463" s="11" t="s">
        <v>964</v>
      </c>
      <c r="C463" s="32" t="n">
        <f aca="false">C222</f>
        <v>3413</v>
      </c>
      <c r="D463" s="11"/>
      <c r="E463" s="11"/>
      <c r="F463" s="11"/>
      <c r="G463" s="11"/>
      <c r="H463" s="11"/>
      <c r="I463" s="11"/>
      <c r="J463" s="11"/>
      <c r="K463" s="11"/>
      <c r="L463" s="11"/>
      <c r="M463" s="11"/>
      <c r="N463" s="11"/>
      <c r="O463" s="11" t="s">
        <v>965</v>
      </c>
    </row>
    <row r="464" customFormat="false" ht="14.25" hidden="false" customHeight="true" outlineLevel="0" collapsed="false">
      <c r="B464" s="11" t="s">
        <v>966</v>
      </c>
      <c r="C464" s="32" t="n">
        <f aca="false">C222</f>
        <v>3413</v>
      </c>
      <c r="D464" s="11"/>
      <c r="E464" s="11"/>
      <c r="F464" s="11"/>
      <c r="G464" s="11"/>
      <c r="H464" s="11"/>
      <c r="I464" s="11"/>
      <c r="J464" s="11"/>
      <c r="K464" s="11"/>
      <c r="L464" s="11"/>
      <c r="M464" s="11"/>
      <c r="N464" s="11"/>
      <c r="O464" s="11" t="s">
        <v>965</v>
      </c>
    </row>
    <row r="465" customFormat="false" ht="14.25" hidden="false" customHeight="true" outlineLevel="0" collapsed="false">
      <c r="B465" s="11" t="s">
        <v>967</v>
      </c>
      <c r="C465" s="32" t="n">
        <f aca="false">C222</f>
        <v>3413</v>
      </c>
      <c r="D465" s="11"/>
      <c r="E465" s="11"/>
      <c r="F465" s="11"/>
      <c r="G465" s="11"/>
      <c r="H465" s="11"/>
      <c r="I465" s="11"/>
      <c r="J465" s="11"/>
      <c r="K465" s="11"/>
      <c r="L465" s="11"/>
      <c r="M465" s="11"/>
      <c r="N465" s="11"/>
      <c r="O465" s="11" t="s">
        <v>965</v>
      </c>
    </row>
    <row r="466" customFormat="false" ht="14.25" hidden="false" customHeight="true" outlineLevel="0" collapsed="false">
      <c r="B466" s="11" t="s">
        <v>968</v>
      </c>
      <c r="C466" s="32" t="n">
        <f aca="false">C222</f>
        <v>3413</v>
      </c>
      <c r="D466" s="11"/>
      <c r="E466" s="11"/>
      <c r="F466" s="11"/>
      <c r="G466" s="11"/>
      <c r="H466" s="11"/>
      <c r="I466" s="11"/>
      <c r="J466" s="11"/>
      <c r="K466" s="11"/>
      <c r="L466" s="11"/>
      <c r="M466" s="11"/>
      <c r="N466" s="11"/>
      <c r="O466" s="11" t="s">
        <v>965</v>
      </c>
    </row>
    <row r="467" customFormat="false" ht="14.25" hidden="false" customHeight="true" outlineLevel="0" collapsed="false">
      <c r="B467" s="11" t="s">
        <v>969</v>
      </c>
      <c r="C467" s="32" t="n">
        <f aca="false">C222</f>
        <v>3413</v>
      </c>
      <c r="D467" s="11"/>
      <c r="E467" s="11"/>
      <c r="F467" s="11"/>
      <c r="G467" s="11"/>
      <c r="H467" s="11"/>
      <c r="I467" s="11"/>
      <c r="J467" s="11"/>
      <c r="K467" s="11"/>
      <c r="L467" s="11"/>
      <c r="M467" s="11"/>
      <c r="N467" s="11"/>
      <c r="O467" s="11" t="s">
        <v>965</v>
      </c>
    </row>
    <row r="468" customFormat="false" ht="14.25" hidden="false" customHeight="true" outlineLevel="0" collapsed="false">
      <c r="B468" s="11" t="s">
        <v>970</v>
      </c>
      <c r="C468" s="32" t="n">
        <f aca="false">C227</f>
        <v>2305</v>
      </c>
      <c r="D468" s="11"/>
      <c r="E468" s="11"/>
      <c r="F468" s="11"/>
      <c r="G468" s="11"/>
      <c r="H468" s="11"/>
      <c r="I468" s="11"/>
      <c r="J468" s="11"/>
      <c r="K468" s="11"/>
      <c r="L468" s="11"/>
      <c r="M468" s="11"/>
      <c r="N468" s="11"/>
      <c r="O468" s="11" t="s">
        <v>971</v>
      </c>
    </row>
    <row r="469" customFormat="false" ht="14.25" hidden="false" customHeight="true" outlineLevel="0" collapsed="false">
      <c r="B469" s="11" t="s">
        <v>972</v>
      </c>
      <c r="C469" s="32" t="n">
        <f aca="false">C227</f>
        <v>2305</v>
      </c>
      <c r="D469" s="11"/>
      <c r="E469" s="11"/>
      <c r="F469" s="11"/>
      <c r="G469" s="11"/>
      <c r="H469" s="11"/>
      <c r="I469" s="11"/>
      <c r="J469" s="11"/>
      <c r="K469" s="11"/>
      <c r="L469" s="11"/>
      <c r="M469" s="11"/>
      <c r="N469" s="11"/>
      <c r="O469" s="11" t="s">
        <v>971</v>
      </c>
    </row>
    <row r="470" customFormat="false" ht="14.25" hidden="false" customHeight="true" outlineLevel="0" collapsed="false">
      <c r="B470" s="11" t="s">
        <v>973</v>
      </c>
      <c r="C470" s="32" t="n">
        <f aca="false">C227</f>
        <v>2305</v>
      </c>
      <c r="D470" s="11"/>
      <c r="E470" s="11"/>
      <c r="F470" s="11"/>
      <c r="G470" s="11"/>
      <c r="H470" s="11"/>
      <c r="I470" s="11"/>
      <c r="J470" s="11"/>
      <c r="K470" s="11"/>
      <c r="L470" s="11"/>
      <c r="M470" s="11"/>
      <c r="N470" s="11"/>
      <c r="O470" s="11" t="s">
        <v>971</v>
      </c>
    </row>
    <row r="471" customFormat="false" ht="14.25" hidden="false" customHeight="true" outlineLevel="0" collapsed="false">
      <c r="B471" s="11" t="s">
        <v>974</v>
      </c>
      <c r="C471" s="32" t="n">
        <f aca="false">C227</f>
        <v>2305</v>
      </c>
      <c r="D471" s="11"/>
      <c r="E471" s="11"/>
      <c r="F471" s="11"/>
      <c r="G471" s="11"/>
      <c r="H471" s="11"/>
      <c r="I471" s="11"/>
      <c r="J471" s="11"/>
      <c r="K471" s="11"/>
      <c r="L471" s="11"/>
      <c r="M471" s="11"/>
      <c r="N471" s="11"/>
      <c r="O471" s="11" t="s">
        <v>971</v>
      </c>
    </row>
    <row r="472" customFormat="false" ht="14.25" hidden="false" customHeight="true" outlineLevel="0" collapsed="false">
      <c r="B472" s="11" t="s">
        <v>975</v>
      </c>
      <c r="C472" s="32" t="n">
        <f aca="false">C227</f>
        <v>2305</v>
      </c>
      <c r="D472" s="11"/>
      <c r="E472" s="11"/>
      <c r="F472" s="11"/>
      <c r="G472" s="11"/>
      <c r="H472" s="11"/>
      <c r="I472" s="11"/>
      <c r="J472" s="11"/>
      <c r="K472" s="11"/>
      <c r="L472" s="11"/>
      <c r="M472" s="11"/>
      <c r="N472" s="11"/>
      <c r="O472" s="11" t="s">
        <v>971</v>
      </c>
    </row>
    <row r="473" customFormat="false" ht="14.25" hidden="false" customHeight="true" outlineLevel="0" collapsed="false">
      <c r="B473" s="11" t="s">
        <v>976</v>
      </c>
      <c r="C473" s="37" t="n">
        <f aca="false">C233</f>
        <v>6.9</v>
      </c>
      <c r="D473" s="11"/>
      <c r="E473" s="11"/>
      <c r="F473" s="11"/>
      <c r="G473" s="11"/>
      <c r="H473" s="11"/>
      <c r="I473" s="11"/>
      <c r="J473" s="11"/>
      <c r="K473" s="11"/>
      <c r="L473" s="11"/>
      <c r="M473" s="11"/>
      <c r="N473" s="11"/>
      <c r="O473" s="11" t="s">
        <v>977</v>
      </c>
    </row>
    <row r="474" customFormat="false" ht="14.25" hidden="false" customHeight="true" outlineLevel="0" collapsed="false">
      <c r="B474" s="11" t="s">
        <v>978</v>
      </c>
      <c r="C474" s="37" t="n">
        <f aca="false">C233</f>
        <v>6.9</v>
      </c>
      <c r="D474" s="11"/>
      <c r="E474" s="11"/>
      <c r="F474" s="11"/>
      <c r="G474" s="11"/>
      <c r="H474" s="11"/>
      <c r="I474" s="11"/>
      <c r="J474" s="11"/>
      <c r="K474" s="11"/>
      <c r="L474" s="11"/>
      <c r="M474" s="11"/>
      <c r="N474" s="11"/>
      <c r="O474" s="11" t="s">
        <v>977</v>
      </c>
    </row>
    <row r="475" customFormat="false" ht="14.25" hidden="false" customHeight="true" outlineLevel="0" collapsed="false">
      <c r="B475" s="11" t="s">
        <v>979</v>
      </c>
      <c r="C475" s="37" t="n">
        <f aca="false">C233</f>
        <v>6.9</v>
      </c>
      <c r="D475" s="11"/>
      <c r="E475" s="11"/>
      <c r="F475" s="11"/>
      <c r="G475" s="11"/>
      <c r="H475" s="11"/>
      <c r="I475" s="11"/>
      <c r="J475" s="11"/>
      <c r="K475" s="11"/>
      <c r="L475" s="11"/>
      <c r="M475" s="11"/>
      <c r="N475" s="11"/>
      <c r="O475" s="11" t="s">
        <v>977</v>
      </c>
    </row>
    <row r="476" customFormat="false" ht="14.25" hidden="false" customHeight="true" outlineLevel="0" collapsed="false">
      <c r="B476" s="11" t="s">
        <v>980</v>
      </c>
      <c r="C476" s="37" t="n">
        <f aca="false">C233</f>
        <v>6.9</v>
      </c>
      <c r="D476" s="11"/>
      <c r="E476" s="11"/>
      <c r="F476" s="11"/>
      <c r="G476" s="11"/>
      <c r="H476" s="11"/>
      <c r="I476" s="11"/>
      <c r="J476" s="11"/>
      <c r="K476" s="11"/>
      <c r="L476" s="11"/>
      <c r="M476" s="11"/>
      <c r="N476" s="11"/>
      <c r="O476" s="11" t="s">
        <v>977</v>
      </c>
    </row>
    <row r="477" customFormat="false" ht="14.25" hidden="false" customHeight="true" outlineLevel="0" collapsed="false">
      <c r="B477" s="11" t="s">
        <v>981</v>
      </c>
      <c r="C477" s="37" t="n">
        <f aca="false">C233</f>
        <v>6.9</v>
      </c>
      <c r="D477" s="11"/>
      <c r="E477" s="11"/>
      <c r="F477" s="11"/>
      <c r="G477" s="11"/>
      <c r="H477" s="11"/>
      <c r="I477" s="11"/>
      <c r="J477" s="11"/>
      <c r="K477" s="11"/>
      <c r="L477" s="11"/>
      <c r="M477" s="11"/>
      <c r="N477" s="11"/>
      <c r="O477" s="11" t="s">
        <v>977</v>
      </c>
    </row>
    <row r="478" customFormat="false" ht="14.25" hidden="false" customHeight="true" outlineLevel="0" collapsed="false">
      <c r="B478" s="11" t="s">
        <v>982</v>
      </c>
      <c r="C478" s="32" t="n">
        <f aca="false">C242</f>
        <v>4926.75</v>
      </c>
      <c r="D478" s="11"/>
      <c r="E478" s="11"/>
      <c r="F478" s="11"/>
      <c r="G478" s="11"/>
      <c r="H478" s="11"/>
      <c r="I478" s="11"/>
      <c r="J478" s="11"/>
      <c r="K478" s="11"/>
      <c r="L478" s="11"/>
      <c r="M478" s="11"/>
      <c r="N478" s="11"/>
      <c r="O478" s="11" t="s">
        <v>983</v>
      </c>
    </row>
    <row r="479" customFormat="false" ht="14.25" hidden="false" customHeight="true" outlineLevel="0" collapsed="false">
      <c r="B479" s="11" t="s">
        <v>984</v>
      </c>
      <c r="C479" s="32" t="n">
        <f aca="false">C242</f>
        <v>4926.75</v>
      </c>
      <c r="D479" s="11"/>
      <c r="E479" s="11"/>
      <c r="F479" s="11"/>
      <c r="G479" s="11"/>
      <c r="H479" s="11"/>
      <c r="I479" s="11"/>
      <c r="J479" s="11"/>
      <c r="K479" s="11"/>
      <c r="L479" s="11"/>
      <c r="M479" s="11"/>
      <c r="N479" s="11"/>
      <c r="O479" s="11" t="s">
        <v>983</v>
      </c>
    </row>
    <row r="480" customFormat="false" ht="14.25" hidden="false" customHeight="true" outlineLevel="0" collapsed="false">
      <c r="B480" s="11" t="s">
        <v>985</v>
      </c>
      <c r="C480" s="32" t="n">
        <f aca="false">C242</f>
        <v>4926.75</v>
      </c>
      <c r="D480" s="11"/>
      <c r="E480" s="11"/>
      <c r="F480" s="11"/>
      <c r="G480" s="11"/>
      <c r="H480" s="11"/>
      <c r="I480" s="11"/>
      <c r="J480" s="11"/>
      <c r="K480" s="11"/>
      <c r="L480" s="11"/>
      <c r="M480" s="11"/>
      <c r="N480" s="11"/>
      <c r="O480" s="11" t="s">
        <v>983</v>
      </c>
    </row>
    <row r="481" customFormat="false" ht="14.25" hidden="false" customHeight="true" outlineLevel="0" collapsed="false">
      <c r="B481" s="11" t="s">
        <v>986</v>
      </c>
      <c r="C481" s="32" t="n">
        <f aca="false">C242</f>
        <v>4926.75</v>
      </c>
      <c r="D481" s="11"/>
      <c r="E481" s="11"/>
      <c r="F481" s="11"/>
      <c r="G481" s="11"/>
      <c r="H481" s="11"/>
      <c r="I481" s="11"/>
      <c r="J481" s="11"/>
      <c r="K481" s="11"/>
      <c r="L481" s="11"/>
      <c r="M481" s="11"/>
      <c r="N481" s="11"/>
      <c r="O481" s="11" t="s">
        <v>983</v>
      </c>
    </row>
    <row r="482" customFormat="false" ht="14.25" hidden="false" customHeight="true" outlineLevel="0" collapsed="false">
      <c r="B482" s="11" t="s">
        <v>987</v>
      </c>
      <c r="C482" s="32" t="n">
        <f aca="false">C242</f>
        <v>4926.75</v>
      </c>
      <c r="D482" s="11"/>
      <c r="E482" s="11"/>
      <c r="F482" s="11"/>
      <c r="G482" s="11"/>
      <c r="H482" s="11"/>
      <c r="I482" s="11"/>
      <c r="J482" s="11"/>
      <c r="K482" s="11"/>
      <c r="L482" s="11"/>
      <c r="M482" s="11"/>
      <c r="N482" s="11"/>
      <c r="O482" s="11" t="s">
        <v>983</v>
      </c>
    </row>
    <row r="483" customFormat="false" ht="14.25" hidden="false" customHeight="true" outlineLevel="0" collapsed="false">
      <c r="B483" s="11" t="s">
        <v>988</v>
      </c>
      <c r="C483" s="32" t="n">
        <f aca="false">C478*C238/1000000</f>
        <v>69.999264</v>
      </c>
      <c r="D483" s="11"/>
      <c r="E483" s="11"/>
      <c r="F483" s="11"/>
      <c r="G483" s="11"/>
      <c r="H483" s="11"/>
      <c r="I483" s="11"/>
      <c r="J483" s="11"/>
      <c r="K483" s="11"/>
      <c r="L483" s="11"/>
      <c r="M483" s="11"/>
      <c r="N483" s="11"/>
      <c r="O483" s="11" t="s">
        <v>989</v>
      </c>
    </row>
    <row r="484" customFormat="false" ht="14.25" hidden="false" customHeight="true" outlineLevel="0" collapsed="false">
      <c r="B484" s="11" t="s">
        <v>990</v>
      </c>
      <c r="C484" s="32" t="n">
        <f aca="false">C479*C238/1000000</f>
        <v>69.999264</v>
      </c>
      <c r="D484" s="11"/>
      <c r="E484" s="11"/>
      <c r="F484" s="11"/>
      <c r="G484" s="11"/>
      <c r="H484" s="11"/>
      <c r="I484" s="11"/>
      <c r="J484" s="11"/>
      <c r="K484" s="11"/>
      <c r="L484" s="11"/>
      <c r="M484" s="11"/>
      <c r="N484" s="11"/>
      <c r="O484" s="11" t="s">
        <v>989</v>
      </c>
    </row>
    <row r="485" customFormat="false" ht="14.25" hidden="false" customHeight="true" outlineLevel="0" collapsed="false">
      <c r="B485" s="11" t="s">
        <v>991</v>
      </c>
      <c r="C485" s="32" t="n">
        <f aca="false">C480*C238/1000000</f>
        <v>69.999264</v>
      </c>
      <c r="D485" s="11"/>
      <c r="E485" s="11"/>
      <c r="F485" s="11"/>
      <c r="G485" s="11"/>
      <c r="H485" s="11"/>
      <c r="I485" s="11"/>
      <c r="J485" s="11"/>
      <c r="K485" s="11"/>
      <c r="L485" s="11"/>
      <c r="M485" s="11"/>
      <c r="N485" s="11"/>
      <c r="O485" s="11" t="s">
        <v>989</v>
      </c>
    </row>
    <row r="486" customFormat="false" ht="14.25" hidden="false" customHeight="true" outlineLevel="0" collapsed="false">
      <c r="B486" s="11" t="s">
        <v>992</v>
      </c>
      <c r="C486" s="32" t="n">
        <f aca="false">C481*C238/1000000</f>
        <v>69.999264</v>
      </c>
      <c r="D486" s="11"/>
      <c r="E486" s="11"/>
      <c r="F486" s="11"/>
      <c r="G486" s="11"/>
      <c r="H486" s="11"/>
      <c r="I486" s="11"/>
      <c r="J486" s="11"/>
      <c r="K486" s="11"/>
      <c r="L486" s="11"/>
      <c r="M486" s="11"/>
      <c r="N486" s="11"/>
      <c r="O486" s="11" t="s">
        <v>989</v>
      </c>
    </row>
    <row r="487" customFormat="false" ht="14.25" hidden="false" customHeight="true" outlineLevel="0" collapsed="false">
      <c r="B487" s="11" t="s">
        <v>993</v>
      </c>
      <c r="C487" s="32" t="n">
        <f aca="false">C482*C238/1000000</f>
        <v>69.999264</v>
      </c>
      <c r="D487" s="11"/>
      <c r="E487" s="11"/>
      <c r="F487" s="11"/>
      <c r="G487" s="11"/>
      <c r="H487" s="11"/>
      <c r="I487" s="11"/>
      <c r="J487" s="11"/>
      <c r="K487" s="11"/>
      <c r="L487" s="11"/>
      <c r="M487" s="11"/>
      <c r="N487" s="11"/>
      <c r="O487" s="11" t="s">
        <v>989</v>
      </c>
    </row>
    <row r="488" customFormat="false" ht="14.25" hidden="false" customHeight="true" outlineLevel="0" collapsed="false">
      <c r="B488" s="11" t="s">
        <v>994</v>
      </c>
      <c r="C488" s="34" t="n">
        <f aca="false">MIN(C255+C250,1)</f>
        <v>0.68535</v>
      </c>
      <c r="D488" s="11"/>
      <c r="E488" s="11"/>
      <c r="F488" s="11"/>
      <c r="G488" s="11"/>
      <c r="H488" s="11"/>
      <c r="I488" s="11"/>
      <c r="J488" s="11"/>
      <c r="K488" s="11"/>
      <c r="L488" s="11"/>
      <c r="M488" s="11"/>
      <c r="N488" s="11"/>
      <c r="O488" s="11" t="s">
        <v>995</v>
      </c>
    </row>
    <row r="489" customFormat="false" ht="14.25" hidden="false" customHeight="true" outlineLevel="0" collapsed="false">
      <c r="B489" s="11" t="s">
        <v>996</v>
      </c>
      <c r="C489" s="34" t="n">
        <f aca="false">MIN(C488+C250,1)</f>
        <v>0.75535</v>
      </c>
      <c r="D489" s="11"/>
      <c r="E489" s="11"/>
      <c r="F489" s="11"/>
      <c r="G489" s="11"/>
      <c r="H489" s="11"/>
      <c r="I489" s="11"/>
      <c r="J489" s="11"/>
      <c r="K489" s="11"/>
      <c r="L489" s="11"/>
      <c r="M489" s="11"/>
      <c r="N489" s="11"/>
      <c r="O489" s="11" t="s">
        <v>995</v>
      </c>
    </row>
    <row r="490" customFormat="false" ht="14.25" hidden="false" customHeight="true" outlineLevel="0" collapsed="false">
      <c r="B490" s="11" t="s">
        <v>997</v>
      </c>
      <c r="C490" s="34" t="n">
        <f aca="false">MIN(C489+C250,1)</f>
        <v>0.82535</v>
      </c>
      <c r="D490" s="11"/>
      <c r="E490" s="11"/>
      <c r="F490" s="11"/>
      <c r="G490" s="11"/>
      <c r="H490" s="11"/>
      <c r="I490" s="11"/>
      <c r="J490" s="11"/>
      <c r="K490" s="11"/>
      <c r="L490" s="11"/>
      <c r="M490" s="11"/>
      <c r="N490" s="11"/>
      <c r="O490" s="11" t="s">
        <v>995</v>
      </c>
    </row>
    <row r="491" customFormat="false" ht="14.25" hidden="false" customHeight="true" outlineLevel="0" collapsed="false">
      <c r="B491" s="11" t="s">
        <v>998</v>
      </c>
      <c r="C491" s="34" t="n">
        <f aca="false">MIN(C490+C250,1)</f>
        <v>0.89535</v>
      </c>
      <c r="D491" s="11"/>
      <c r="E491" s="11"/>
      <c r="F491" s="11"/>
      <c r="G491" s="11"/>
      <c r="H491" s="11"/>
      <c r="I491" s="11"/>
      <c r="J491" s="11"/>
      <c r="K491" s="11"/>
      <c r="L491" s="11"/>
      <c r="M491" s="11"/>
      <c r="N491" s="11"/>
      <c r="O491" s="11" t="s">
        <v>995</v>
      </c>
    </row>
    <row r="492" customFormat="false" ht="14.25" hidden="false" customHeight="true" outlineLevel="0" collapsed="false">
      <c r="B492" s="11" t="s">
        <v>999</v>
      </c>
      <c r="C492" s="34" t="n">
        <f aca="false">MIN(C491+C250,1)</f>
        <v>0.96535</v>
      </c>
      <c r="D492" s="11"/>
      <c r="E492" s="11"/>
      <c r="F492" s="11"/>
      <c r="G492" s="11"/>
      <c r="H492" s="11"/>
      <c r="I492" s="11"/>
      <c r="J492" s="11"/>
      <c r="K492" s="11"/>
      <c r="L492" s="11"/>
      <c r="M492" s="11"/>
      <c r="N492" s="11"/>
      <c r="O492" s="11" t="s">
        <v>995</v>
      </c>
    </row>
    <row r="493" customFormat="false" ht="14.25" hidden="false" customHeight="true" outlineLevel="0" collapsed="false">
      <c r="B493" s="11" t="s">
        <v>1000</v>
      </c>
      <c r="C493" s="32" t="n">
        <f aca="false">C259</f>
        <v>131.089108910891</v>
      </c>
      <c r="D493" s="11"/>
      <c r="E493" s="11"/>
      <c r="F493" s="11"/>
      <c r="G493" s="11"/>
      <c r="H493" s="11"/>
      <c r="I493" s="11"/>
      <c r="J493" s="11"/>
      <c r="K493" s="11"/>
      <c r="L493" s="11"/>
      <c r="M493" s="11"/>
      <c r="N493" s="11"/>
      <c r="O493" s="11" t="s">
        <v>1001</v>
      </c>
    </row>
    <row r="494" customFormat="false" ht="14.25" hidden="false" customHeight="true" outlineLevel="0" collapsed="false">
      <c r="B494" s="11" t="s">
        <v>1002</v>
      </c>
      <c r="C494" s="32" t="n">
        <f aca="false">C259</f>
        <v>131.089108910891</v>
      </c>
      <c r="D494" s="11"/>
      <c r="E494" s="11"/>
      <c r="F494" s="11"/>
      <c r="G494" s="11"/>
      <c r="H494" s="11"/>
      <c r="I494" s="11"/>
      <c r="J494" s="11"/>
      <c r="K494" s="11"/>
      <c r="L494" s="11"/>
      <c r="M494" s="11"/>
      <c r="N494" s="11"/>
      <c r="O494" s="11" t="s">
        <v>1001</v>
      </c>
    </row>
    <row r="495" customFormat="false" ht="14.25" hidden="false" customHeight="true" outlineLevel="0" collapsed="false">
      <c r="B495" s="11" t="s">
        <v>1003</v>
      </c>
      <c r="C495" s="32" t="n">
        <f aca="false">C259</f>
        <v>131.089108910891</v>
      </c>
      <c r="D495" s="11"/>
      <c r="E495" s="11"/>
      <c r="F495" s="11"/>
      <c r="G495" s="11"/>
      <c r="H495" s="11"/>
      <c r="I495" s="11"/>
      <c r="J495" s="11"/>
      <c r="K495" s="11"/>
      <c r="L495" s="11"/>
      <c r="M495" s="11"/>
      <c r="N495" s="11"/>
      <c r="O495" s="11" t="s">
        <v>1001</v>
      </c>
    </row>
    <row r="496" customFormat="false" ht="14.25" hidden="false" customHeight="true" outlineLevel="0" collapsed="false">
      <c r="B496" s="11" t="s">
        <v>1004</v>
      </c>
      <c r="C496" s="32" t="n">
        <f aca="false">C259</f>
        <v>131.089108910891</v>
      </c>
      <c r="D496" s="11"/>
      <c r="E496" s="11"/>
      <c r="F496" s="11"/>
      <c r="G496" s="11"/>
      <c r="H496" s="11"/>
      <c r="I496" s="11"/>
      <c r="J496" s="11"/>
      <c r="K496" s="11"/>
      <c r="L496" s="11"/>
      <c r="M496" s="11"/>
      <c r="N496" s="11"/>
      <c r="O496" s="11" t="s">
        <v>1001</v>
      </c>
    </row>
    <row r="497" customFormat="false" ht="14.25" hidden="false" customHeight="true" outlineLevel="0" collapsed="false">
      <c r="B497" s="11" t="s">
        <v>1005</v>
      </c>
      <c r="C497" s="32" t="n">
        <f aca="false">C259</f>
        <v>131.089108910891</v>
      </c>
      <c r="D497" s="11"/>
      <c r="E497" s="11"/>
      <c r="F497" s="11"/>
      <c r="G497" s="11"/>
      <c r="H497" s="11"/>
      <c r="I497" s="11"/>
      <c r="J497" s="11"/>
      <c r="K497" s="11"/>
      <c r="L497" s="11"/>
      <c r="M497" s="11"/>
      <c r="N497" s="11"/>
      <c r="O497" s="11" t="s">
        <v>1001</v>
      </c>
    </row>
    <row r="498" customFormat="false" ht="14.25" hidden="false" customHeight="true" outlineLevel="0" collapsed="false">
      <c r="B498" s="11" t="s">
        <v>1006</v>
      </c>
      <c r="C498" s="34" t="n">
        <f aca="false">C275</f>
        <v>0.24</v>
      </c>
      <c r="D498" s="11"/>
      <c r="E498" s="11"/>
      <c r="F498" s="11"/>
      <c r="G498" s="11"/>
      <c r="H498" s="11"/>
      <c r="I498" s="11"/>
      <c r="J498" s="11"/>
      <c r="K498" s="11"/>
      <c r="L498" s="11"/>
      <c r="M498" s="11"/>
      <c r="N498" s="11"/>
      <c r="O498" s="11" t="s">
        <v>1007</v>
      </c>
    </row>
    <row r="499" customFormat="false" ht="14.25" hidden="false" customHeight="true" outlineLevel="0" collapsed="false">
      <c r="B499" s="11" t="s">
        <v>1008</v>
      </c>
      <c r="C499" s="34" t="n">
        <f aca="false">C275</f>
        <v>0.24</v>
      </c>
      <c r="D499" s="11"/>
      <c r="E499" s="11"/>
      <c r="F499" s="11"/>
      <c r="G499" s="11"/>
      <c r="H499" s="11"/>
      <c r="I499" s="11"/>
      <c r="J499" s="11"/>
      <c r="K499" s="11"/>
      <c r="L499" s="11"/>
      <c r="M499" s="11"/>
      <c r="N499" s="11"/>
      <c r="O499" s="11" t="s">
        <v>1007</v>
      </c>
    </row>
    <row r="500" customFormat="false" ht="14.25" hidden="false" customHeight="true" outlineLevel="0" collapsed="false">
      <c r="B500" s="11" t="s">
        <v>1009</v>
      </c>
      <c r="C500" s="34" t="n">
        <f aca="false">C275</f>
        <v>0.24</v>
      </c>
      <c r="D500" s="11"/>
      <c r="E500" s="11"/>
      <c r="F500" s="11"/>
      <c r="G500" s="11"/>
      <c r="H500" s="11"/>
      <c r="I500" s="11"/>
      <c r="J500" s="11"/>
      <c r="K500" s="11"/>
      <c r="L500" s="11"/>
      <c r="M500" s="11"/>
      <c r="N500" s="11"/>
      <c r="O500" s="11" t="s">
        <v>1007</v>
      </c>
    </row>
    <row r="501" customFormat="false" ht="14.25" hidden="false" customHeight="true" outlineLevel="0" collapsed="false">
      <c r="B501" s="11" t="s">
        <v>1010</v>
      </c>
      <c r="C501" s="34" t="n">
        <f aca="false">C275</f>
        <v>0.24</v>
      </c>
      <c r="D501" s="11"/>
      <c r="E501" s="11"/>
      <c r="F501" s="11"/>
      <c r="G501" s="11"/>
      <c r="H501" s="11"/>
      <c r="I501" s="11"/>
      <c r="J501" s="11"/>
      <c r="K501" s="11"/>
      <c r="L501" s="11"/>
      <c r="M501" s="11"/>
      <c r="N501" s="11"/>
      <c r="O501" s="11" t="s">
        <v>1007</v>
      </c>
    </row>
    <row r="502" customFormat="false" ht="14.25" hidden="false" customHeight="true" outlineLevel="0" collapsed="false">
      <c r="B502" s="11" t="s">
        <v>1011</v>
      </c>
      <c r="C502" s="34" t="n">
        <f aca="false">C275</f>
        <v>0.24</v>
      </c>
      <c r="D502" s="11"/>
      <c r="E502" s="11"/>
      <c r="F502" s="11"/>
      <c r="G502" s="11"/>
      <c r="H502" s="11"/>
      <c r="I502" s="11"/>
      <c r="J502" s="11"/>
      <c r="K502" s="11"/>
      <c r="L502" s="11"/>
      <c r="M502" s="11"/>
      <c r="N502" s="11"/>
      <c r="O502" s="11" t="s">
        <v>1007</v>
      </c>
    </row>
    <row r="503" customFormat="false" ht="14.25" hidden="false" customHeight="true" outlineLevel="0" collapsed="false">
      <c r="B503" s="11" t="s">
        <v>1012</v>
      </c>
      <c r="C503" s="32" t="n">
        <f aca="false">Drivers!$C$278-Drivers!$C$729</f>
        <v>33.0984657107244</v>
      </c>
      <c r="D503" s="11"/>
      <c r="E503" s="11"/>
      <c r="F503" s="11"/>
      <c r="G503" s="11"/>
      <c r="H503" s="11"/>
      <c r="I503" s="11"/>
      <c r="J503" s="11"/>
      <c r="K503" s="11"/>
      <c r="L503" s="11"/>
      <c r="M503" s="11"/>
      <c r="N503" s="11"/>
      <c r="O503" s="11" t="s">
        <v>1013</v>
      </c>
    </row>
    <row r="504" customFormat="false" ht="14.25" hidden="false" customHeight="true" outlineLevel="0" collapsed="false">
      <c r="B504" s="11" t="s">
        <v>1014</v>
      </c>
      <c r="C504" s="32" t="n">
        <f aca="false">Drivers!$C$503-Drivers!$C$730</f>
        <v>32.5866491416379</v>
      </c>
      <c r="D504" s="11"/>
      <c r="E504" s="11"/>
      <c r="F504" s="11"/>
      <c r="G504" s="11"/>
      <c r="H504" s="11"/>
      <c r="I504" s="11"/>
      <c r="J504" s="11"/>
      <c r="K504" s="11"/>
      <c r="L504" s="11"/>
      <c r="M504" s="11"/>
      <c r="N504" s="11"/>
      <c r="O504" s="11" t="s">
        <v>1015</v>
      </c>
    </row>
    <row r="505" customFormat="false" ht="14.25" hidden="false" customHeight="true" outlineLevel="0" collapsed="false">
      <c r="B505" s="11" t="s">
        <v>1016</v>
      </c>
      <c r="C505" s="32" t="n">
        <f aca="false">Drivers!$C$504-Drivers!$C$731</f>
        <v>32.0774065388034</v>
      </c>
      <c r="D505" s="11"/>
      <c r="E505" s="11"/>
      <c r="F505" s="11"/>
      <c r="G505" s="11"/>
      <c r="H505" s="11"/>
      <c r="I505" s="11"/>
      <c r="J505" s="11"/>
      <c r="K505" s="11"/>
      <c r="L505" s="11"/>
      <c r="M505" s="11"/>
      <c r="N505" s="11"/>
      <c r="O505" s="11" t="s">
        <v>1017</v>
      </c>
    </row>
    <row r="506" customFormat="false" ht="14.25" hidden="false" customHeight="true" outlineLevel="0" collapsed="false">
      <c r="B506" s="11" t="s">
        <v>1018</v>
      </c>
      <c r="C506" s="32" t="n">
        <f aca="false">Drivers!$C$505-Drivers!$C$732</f>
        <v>31.5681795471438</v>
      </c>
      <c r="D506" s="11"/>
      <c r="E506" s="11"/>
      <c r="F506" s="11"/>
      <c r="G506" s="11"/>
      <c r="H506" s="11"/>
      <c r="I506" s="11"/>
      <c r="J506" s="11"/>
      <c r="K506" s="11"/>
      <c r="L506" s="11"/>
      <c r="M506" s="11"/>
      <c r="N506" s="11"/>
      <c r="O506" s="11" t="s">
        <v>1019</v>
      </c>
    </row>
    <row r="507" customFormat="false" ht="14.25" hidden="false" customHeight="true" outlineLevel="0" collapsed="false">
      <c r="B507" s="11" t="s">
        <v>1020</v>
      </c>
      <c r="C507" s="32" t="n">
        <f aca="false">Drivers!$C$506-Drivers!$C$733</f>
        <v>31.0566181607745</v>
      </c>
      <c r="D507" s="11"/>
      <c r="E507" s="11"/>
      <c r="F507" s="11"/>
      <c r="G507" s="11"/>
      <c r="H507" s="11"/>
      <c r="I507" s="11"/>
      <c r="J507" s="11"/>
      <c r="K507" s="11"/>
      <c r="L507" s="11"/>
      <c r="M507" s="11"/>
      <c r="N507" s="11"/>
      <c r="O507" s="11" t="s">
        <v>1021</v>
      </c>
    </row>
    <row r="508" customFormat="false" ht="14.25" hidden="false" customHeight="true" outlineLevel="0" collapsed="false">
      <c r="B508" s="11" t="s">
        <v>1022</v>
      </c>
      <c r="C508" s="37" t="n">
        <f aca="false">C281</f>
        <v>2.74</v>
      </c>
      <c r="D508" s="11"/>
      <c r="E508" s="11"/>
      <c r="F508" s="11"/>
      <c r="G508" s="11"/>
      <c r="H508" s="11"/>
      <c r="I508" s="11"/>
      <c r="J508" s="11"/>
      <c r="K508" s="11"/>
      <c r="L508" s="11"/>
      <c r="M508" s="11"/>
      <c r="N508" s="11"/>
      <c r="O508" s="11" t="s">
        <v>1023</v>
      </c>
    </row>
    <row r="509" customFormat="false" ht="14.25" hidden="false" customHeight="true" outlineLevel="0" collapsed="false">
      <c r="B509" s="11" t="s">
        <v>1024</v>
      </c>
      <c r="C509" s="37" t="n">
        <f aca="false">C281</f>
        <v>2.74</v>
      </c>
      <c r="D509" s="11"/>
      <c r="E509" s="11"/>
      <c r="F509" s="11"/>
      <c r="G509" s="11"/>
      <c r="H509" s="11"/>
      <c r="I509" s="11"/>
      <c r="J509" s="11"/>
      <c r="K509" s="11"/>
      <c r="L509" s="11"/>
      <c r="M509" s="11"/>
      <c r="N509" s="11"/>
      <c r="O509" s="11" t="s">
        <v>1023</v>
      </c>
    </row>
    <row r="510" customFormat="false" ht="14.25" hidden="false" customHeight="true" outlineLevel="0" collapsed="false">
      <c r="B510" s="11" t="s">
        <v>1025</v>
      </c>
      <c r="C510" s="37" t="n">
        <f aca="false">C281</f>
        <v>2.74</v>
      </c>
      <c r="D510" s="11"/>
      <c r="E510" s="11"/>
      <c r="F510" s="11"/>
      <c r="G510" s="11"/>
      <c r="H510" s="11"/>
      <c r="I510" s="11"/>
      <c r="J510" s="11"/>
      <c r="K510" s="11"/>
      <c r="L510" s="11"/>
      <c r="M510" s="11"/>
      <c r="N510" s="11"/>
      <c r="O510" s="11" t="s">
        <v>1023</v>
      </c>
    </row>
    <row r="511" customFormat="false" ht="14.25" hidden="false" customHeight="true" outlineLevel="0" collapsed="false">
      <c r="B511" s="11" t="s">
        <v>1026</v>
      </c>
      <c r="C511" s="37" t="n">
        <f aca="false">C281</f>
        <v>2.74</v>
      </c>
      <c r="D511" s="11"/>
      <c r="E511" s="11"/>
      <c r="F511" s="11"/>
      <c r="G511" s="11"/>
      <c r="H511" s="11"/>
      <c r="I511" s="11"/>
      <c r="J511" s="11"/>
      <c r="K511" s="11"/>
      <c r="L511" s="11"/>
      <c r="M511" s="11"/>
      <c r="N511" s="11"/>
      <c r="O511" s="11" t="s">
        <v>1023</v>
      </c>
    </row>
    <row r="512" customFormat="false" ht="14.25" hidden="false" customHeight="true" outlineLevel="0" collapsed="false">
      <c r="B512" s="11" t="s">
        <v>1027</v>
      </c>
      <c r="C512" s="37" t="n">
        <f aca="false">C281</f>
        <v>2.74</v>
      </c>
      <c r="D512" s="11"/>
      <c r="E512" s="11"/>
      <c r="F512" s="11"/>
      <c r="G512" s="11"/>
      <c r="H512" s="11"/>
      <c r="I512" s="11"/>
      <c r="J512" s="11"/>
      <c r="K512" s="11"/>
      <c r="L512" s="11"/>
      <c r="M512" s="11"/>
      <c r="N512" s="11"/>
      <c r="O512" s="11" t="s">
        <v>1023</v>
      </c>
    </row>
    <row r="513" customFormat="false" ht="14.25" hidden="false" customHeight="true" outlineLevel="0" collapsed="false">
      <c r="B513" s="11" t="s">
        <v>1028</v>
      </c>
      <c r="C513" s="32" t="n">
        <f aca="false">C284</f>
        <v>100</v>
      </c>
      <c r="D513" s="11"/>
      <c r="E513" s="11"/>
      <c r="F513" s="11"/>
      <c r="G513" s="11"/>
      <c r="H513" s="11"/>
      <c r="I513" s="11"/>
      <c r="J513" s="11"/>
      <c r="K513" s="11"/>
      <c r="L513" s="11"/>
      <c r="M513" s="11"/>
      <c r="N513" s="11"/>
      <c r="O513" s="11" t="s">
        <v>1029</v>
      </c>
    </row>
    <row r="514" customFormat="false" ht="14.25" hidden="false" customHeight="true" outlineLevel="0" collapsed="false">
      <c r="B514" s="11" t="s">
        <v>1030</v>
      </c>
      <c r="C514" s="32" t="n">
        <f aca="false">C284</f>
        <v>100</v>
      </c>
      <c r="D514" s="11"/>
      <c r="E514" s="11"/>
      <c r="F514" s="11"/>
      <c r="G514" s="11"/>
      <c r="H514" s="11"/>
      <c r="I514" s="11"/>
      <c r="J514" s="11"/>
      <c r="K514" s="11"/>
      <c r="L514" s="11"/>
      <c r="M514" s="11"/>
      <c r="N514" s="11"/>
      <c r="O514" s="11" t="s">
        <v>1029</v>
      </c>
    </row>
    <row r="515" customFormat="false" ht="14.25" hidden="false" customHeight="true" outlineLevel="0" collapsed="false">
      <c r="B515" s="11" t="s">
        <v>1031</v>
      </c>
      <c r="C515" s="32" t="n">
        <f aca="false">C284</f>
        <v>100</v>
      </c>
      <c r="D515" s="11"/>
      <c r="E515" s="11"/>
      <c r="F515" s="11"/>
      <c r="G515" s="11"/>
      <c r="H515" s="11"/>
      <c r="I515" s="11"/>
      <c r="J515" s="11"/>
      <c r="K515" s="11"/>
      <c r="L515" s="11"/>
      <c r="M515" s="11"/>
      <c r="N515" s="11"/>
      <c r="O515" s="11" t="s">
        <v>1029</v>
      </c>
    </row>
    <row r="516" customFormat="false" ht="14.25" hidden="false" customHeight="true" outlineLevel="0" collapsed="false">
      <c r="B516" s="11" t="s">
        <v>1032</v>
      </c>
      <c r="C516" s="32" t="n">
        <f aca="false">C284</f>
        <v>100</v>
      </c>
      <c r="D516" s="11"/>
      <c r="E516" s="11"/>
      <c r="F516" s="11"/>
      <c r="G516" s="11"/>
      <c r="H516" s="11"/>
      <c r="I516" s="11"/>
      <c r="J516" s="11"/>
      <c r="K516" s="11"/>
      <c r="L516" s="11"/>
      <c r="M516" s="11"/>
      <c r="N516" s="11"/>
      <c r="O516" s="11" t="s">
        <v>1029</v>
      </c>
    </row>
    <row r="517" customFormat="false" ht="14.25" hidden="false" customHeight="true" outlineLevel="0" collapsed="false">
      <c r="B517" s="11" t="s">
        <v>1033</v>
      </c>
      <c r="C517" s="32" t="n">
        <f aca="false">C284</f>
        <v>100</v>
      </c>
      <c r="D517" s="11"/>
      <c r="E517" s="11"/>
      <c r="F517" s="11"/>
      <c r="G517" s="11"/>
      <c r="H517" s="11"/>
      <c r="I517" s="11"/>
      <c r="J517" s="11"/>
      <c r="K517" s="11"/>
      <c r="L517" s="11"/>
      <c r="M517" s="11"/>
      <c r="N517" s="11"/>
      <c r="O517" s="11" t="s">
        <v>1029</v>
      </c>
    </row>
    <row r="518" customFormat="false" ht="14.25" hidden="false" customHeight="true" outlineLevel="0" collapsed="false">
      <c r="B518" s="11" t="s">
        <v>1034</v>
      </c>
      <c r="C518" s="32" t="n">
        <f aca="false">C287</f>
        <v>100</v>
      </c>
      <c r="D518" s="11"/>
      <c r="E518" s="11"/>
      <c r="F518" s="11"/>
      <c r="G518" s="11"/>
      <c r="H518" s="11"/>
      <c r="I518" s="11"/>
      <c r="J518" s="11"/>
      <c r="K518" s="11"/>
      <c r="L518" s="11"/>
      <c r="M518" s="11"/>
      <c r="N518" s="11"/>
      <c r="O518" s="11" t="s">
        <v>1035</v>
      </c>
    </row>
    <row r="519" customFormat="false" ht="14.25" hidden="false" customHeight="true" outlineLevel="0" collapsed="false">
      <c r="B519" s="11" t="s">
        <v>1036</v>
      </c>
      <c r="C519" s="32" t="n">
        <f aca="false">C287</f>
        <v>100</v>
      </c>
      <c r="D519" s="11"/>
      <c r="E519" s="11"/>
      <c r="F519" s="11"/>
      <c r="G519" s="11"/>
      <c r="H519" s="11"/>
      <c r="I519" s="11"/>
      <c r="J519" s="11"/>
      <c r="K519" s="11"/>
      <c r="L519" s="11"/>
      <c r="M519" s="11"/>
      <c r="N519" s="11"/>
      <c r="O519" s="11" t="s">
        <v>1035</v>
      </c>
    </row>
    <row r="520" customFormat="false" ht="14.25" hidden="false" customHeight="true" outlineLevel="0" collapsed="false">
      <c r="B520" s="11" t="s">
        <v>1037</v>
      </c>
      <c r="C520" s="32" t="n">
        <f aca="false">C287</f>
        <v>100</v>
      </c>
      <c r="D520" s="11"/>
      <c r="E520" s="11"/>
      <c r="F520" s="11"/>
      <c r="G520" s="11"/>
      <c r="H520" s="11"/>
      <c r="I520" s="11"/>
      <c r="J520" s="11"/>
      <c r="K520" s="11"/>
      <c r="L520" s="11"/>
      <c r="M520" s="11"/>
      <c r="N520" s="11"/>
      <c r="O520" s="11" t="s">
        <v>1035</v>
      </c>
    </row>
    <row r="521" customFormat="false" ht="14.25" hidden="false" customHeight="true" outlineLevel="0" collapsed="false">
      <c r="B521" s="11" t="s">
        <v>1038</v>
      </c>
      <c r="C521" s="32" t="n">
        <f aca="false">C287</f>
        <v>100</v>
      </c>
      <c r="D521" s="11"/>
      <c r="E521" s="11"/>
      <c r="F521" s="11"/>
      <c r="G521" s="11"/>
      <c r="H521" s="11"/>
      <c r="I521" s="11"/>
      <c r="J521" s="11"/>
      <c r="K521" s="11"/>
      <c r="L521" s="11"/>
      <c r="M521" s="11"/>
      <c r="N521" s="11"/>
      <c r="O521" s="11" t="s">
        <v>1035</v>
      </c>
    </row>
    <row r="522" customFormat="false" ht="14.25" hidden="false" customHeight="true" outlineLevel="0" collapsed="false">
      <c r="B522" s="11" t="s">
        <v>1039</v>
      </c>
      <c r="C522" s="32" t="n">
        <f aca="false">C287</f>
        <v>100</v>
      </c>
      <c r="D522" s="11"/>
      <c r="E522" s="11"/>
      <c r="F522" s="11"/>
      <c r="G522" s="11"/>
      <c r="H522" s="11"/>
      <c r="I522" s="11"/>
      <c r="J522" s="11"/>
      <c r="K522" s="11"/>
      <c r="L522" s="11"/>
      <c r="M522" s="11"/>
      <c r="N522" s="11"/>
      <c r="O522" s="11" t="s">
        <v>1035</v>
      </c>
    </row>
    <row r="523" customFormat="false" ht="14.25" hidden="false" customHeight="true" outlineLevel="0" collapsed="false">
      <c r="B523" s="11" t="s">
        <v>1040</v>
      </c>
      <c r="C523" s="32" t="n">
        <f aca="false">C293</f>
        <v>400</v>
      </c>
      <c r="D523" s="11"/>
      <c r="E523" s="11"/>
      <c r="F523" s="11"/>
      <c r="G523" s="11"/>
      <c r="H523" s="11"/>
      <c r="I523" s="11"/>
      <c r="J523" s="11"/>
      <c r="K523" s="11"/>
      <c r="L523" s="11"/>
      <c r="M523" s="11"/>
      <c r="N523" s="11"/>
      <c r="O523" s="11" t="s">
        <v>1041</v>
      </c>
    </row>
    <row r="524" customFormat="false" ht="14.25" hidden="false" customHeight="true" outlineLevel="0" collapsed="false">
      <c r="B524" s="11" t="s">
        <v>1042</v>
      </c>
      <c r="C524" s="32" t="n">
        <f aca="false">C293</f>
        <v>400</v>
      </c>
      <c r="D524" s="11"/>
      <c r="E524" s="11"/>
      <c r="F524" s="11"/>
      <c r="G524" s="11"/>
      <c r="H524" s="11"/>
      <c r="I524" s="11"/>
      <c r="J524" s="11"/>
      <c r="K524" s="11"/>
      <c r="L524" s="11"/>
      <c r="M524" s="11"/>
      <c r="N524" s="11"/>
      <c r="O524" s="11" t="s">
        <v>1041</v>
      </c>
    </row>
    <row r="525" customFormat="false" ht="14.25" hidden="false" customHeight="true" outlineLevel="0" collapsed="false">
      <c r="B525" s="11" t="s">
        <v>1043</v>
      </c>
      <c r="C525" s="32" t="n">
        <f aca="false">C293</f>
        <v>400</v>
      </c>
      <c r="D525" s="11"/>
      <c r="E525" s="11"/>
      <c r="F525" s="11"/>
      <c r="G525" s="11"/>
      <c r="H525" s="11"/>
      <c r="I525" s="11"/>
      <c r="J525" s="11"/>
      <c r="K525" s="11"/>
      <c r="L525" s="11"/>
      <c r="M525" s="11"/>
      <c r="N525" s="11"/>
      <c r="O525" s="11" t="s">
        <v>1041</v>
      </c>
    </row>
    <row r="526" customFormat="false" ht="14.25" hidden="false" customHeight="true" outlineLevel="0" collapsed="false">
      <c r="B526" s="11" t="s">
        <v>1044</v>
      </c>
      <c r="C526" s="32" t="n">
        <f aca="false">C293</f>
        <v>400</v>
      </c>
      <c r="D526" s="11"/>
      <c r="E526" s="11"/>
      <c r="F526" s="11"/>
      <c r="G526" s="11"/>
      <c r="H526" s="11"/>
      <c r="I526" s="11"/>
      <c r="J526" s="11"/>
      <c r="K526" s="11"/>
      <c r="L526" s="11"/>
      <c r="M526" s="11"/>
      <c r="N526" s="11"/>
      <c r="O526" s="11" t="s">
        <v>1041</v>
      </c>
    </row>
    <row r="527" customFormat="false" ht="14.25" hidden="false" customHeight="true" outlineLevel="0" collapsed="false">
      <c r="B527" s="11" t="s">
        <v>1045</v>
      </c>
      <c r="C527" s="32" t="n">
        <f aca="false">C293</f>
        <v>400</v>
      </c>
      <c r="D527" s="11"/>
      <c r="E527" s="11"/>
      <c r="F527" s="11"/>
      <c r="G527" s="11"/>
      <c r="H527" s="11"/>
      <c r="I527" s="11"/>
      <c r="J527" s="11"/>
      <c r="K527" s="11"/>
      <c r="L527" s="11"/>
      <c r="M527" s="11"/>
      <c r="N527" s="11"/>
      <c r="O527" s="11" t="s">
        <v>1041</v>
      </c>
    </row>
    <row r="528" customFormat="false" ht="14.25" hidden="false" customHeight="true" outlineLevel="0" collapsed="false">
      <c r="B528" s="11" t="s">
        <v>1046</v>
      </c>
      <c r="C528" s="32" t="n">
        <f aca="false">C296</f>
        <v>150</v>
      </c>
      <c r="D528" s="11"/>
      <c r="E528" s="11"/>
      <c r="F528" s="11"/>
      <c r="G528" s="11"/>
      <c r="H528" s="11"/>
      <c r="I528" s="11"/>
      <c r="J528" s="11"/>
      <c r="K528" s="11"/>
      <c r="L528" s="11"/>
      <c r="M528" s="11"/>
      <c r="N528" s="11"/>
      <c r="O528" s="11" t="s">
        <v>1047</v>
      </c>
    </row>
    <row r="529" customFormat="false" ht="14.25" hidden="false" customHeight="true" outlineLevel="0" collapsed="false">
      <c r="B529" s="11" t="s">
        <v>1048</v>
      </c>
      <c r="C529" s="32" t="n">
        <f aca="false">C296</f>
        <v>150</v>
      </c>
      <c r="D529" s="11"/>
      <c r="E529" s="11"/>
      <c r="F529" s="11"/>
      <c r="G529" s="11"/>
      <c r="H529" s="11"/>
      <c r="I529" s="11"/>
      <c r="J529" s="11"/>
      <c r="K529" s="11"/>
      <c r="L529" s="11"/>
      <c r="M529" s="11"/>
      <c r="N529" s="11"/>
      <c r="O529" s="11" t="s">
        <v>1047</v>
      </c>
    </row>
    <row r="530" customFormat="false" ht="14.25" hidden="false" customHeight="true" outlineLevel="0" collapsed="false">
      <c r="B530" s="11" t="s">
        <v>1049</v>
      </c>
      <c r="C530" s="32" t="n">
        <f aca="false">C296</f>
        <v>150</v>
      </c>
      <c r="D530" s="11"/>
      <c r="E530" s="11"/>
      <c r="F530" s="11"/>
      <c r="G530" s="11"/>
      <c r="H530" s="11"/>
      <c r="I530" s="11"/>
      <c r="J530" s="11"/>
      <c r="K530" s="11"/>
      <c r="L530" s="11"/>
      <c r="M530" s="11"/>
      <c r="N530" s="11"/>
      <c r="O530" s="11" t="s">
        <v>1047</v>
      </c>
    </row>
    <row r="531" customFormat="false" ht="14.25" hidden="false" customHeight="true" outlineLevel="0" collapsed="false">
      <c r="B531" s="11" t="s">
        <v>1050</v>
      </c>
      <c r="C531" s="32" t="n">
        <f aca="false">C296</f>
        <v>150</v>
      </c>
      <c r="D531" s="11"/>
      <c r="E531" s="11"/>
      <c r="F531" s="11"/>
      <c r="G531" s="11"/>
      <c r="H531" s="11"/>
      <c r="I531" s="11"/>
      <c r="J531" s="11"/>
      <c r="K531" s="11"/>
      <c r="L531" s="11"/>
      <c r="M531" s="11"/>
      <c r="N531" s="11"/>
      <c r="O531" s="11" t="s">
        <v>1047</v>
      </c>
    </row>
    <row r="532" customFormat="false" ht="14.25" hidden="false" customHeight="true" outlineLevel="0" collapsed="false">
      <c r="B532" s="11" t="s">
        <v>1051</v>
      </c>
      <c r="C532" s="32" t="n">
        <f aca="false">C296</f>
        <v>150</v>
      </c>
      <c r="D532" s="11"/>
      <c r="E532" s="11"/>
      <c r="F532" s="11"/>
      <c r="G532" s="11"/>
      <c r="H532" s="11"/>
      <c r="I532" s="11"/>
      <c r="J532" s="11"/>
      <c r="K532" s="11"/>
      <c r="L532" s="11"/>
      <c r="M532" s="11"/>
      <c r="N532" s="11"/>
      <c r="O532" s="11" t="s">
        <v>1047</v>
      </c>
    </row>
    <row r="533" customFormat="false" ht="14.25" hidden="false" customHeight="true" outlineLevel="0" collapsed="false">
      <c r="B533" s="11" t="s">
        <v>1052</v>
      </c>
      <c r="C533" s="32" t="n">
        <f aca="false">C299</f>
        <v>130</v>
      </c>
      <c r="D533" s="11"/>
      <c r="E533" s="11"/>
      <c r="F533" s="11"/>
      <c r="G533" s="11"/>
      <c r="H533" s="11"/>
      <c r="I533" s="11"/>
      <c r="J533" s="11"/>
      <c r="K533" s="11"/>
      <c r="L533" s="11"/>
      <c r="M533" s="11"/>
      <c r="N533" s="11"/>
      <c r="O533" s="11" t="s">
        <v>1053</v>
      </c>
    </row>
    <row r="534" customFormat="false" ht="14.25" hidden="false" customHeight="true" outlineLevel="0" collapsed="false">
      <c r="B534" s="11" t="s">
        <v>1054</v>
      </c>
      <c r="C534" s="32" t="n">
        <f aca="false">C299</f>
        <v>130</v>
      </c>
      <c r="D534" s="11"/>
      <c r="E534" s="11"/>
      <c r="F534" s="11"/>
      <c r="G534" s="11"/>
      <c r="H534" s="11"/>
      <c r="I534" s="11"/>
      <c r="J534" s="11"/>
      <c r="K534" s="11"/>
      <c r="L534" s="11"/>
      <c r="M534" s="11"/>
      <c r="N534" s="11"/>
      <c r="O534" s="11" t="s">
        <v>1053</v>
      </c>
    </row>
    <row r="535" customFormat="false" ht="14.25" hidden="false" customHeight="true" outlineLevel="0" collapsed="false">
      <c r="B535" s="11" t="s">
        <v>1055</v>
      </c>
      <c r="C535" s="32" t="n">
        <f aca="false">C299</f>
        <v>130</v>
      </c>
      <c r="D535" s="11"/>
      <c r="E535" s="11"/>
      <c r="F535" s="11"/>
      <c r="G535" s="11"/>
      <c r="H535" s="11"/>
      <c r="I535" s="11"/>
      <c r="J535" s="11"/>
      <c r="K535" s="11"/>
      <c r="L535" s="11"/>
      <c r="M535" s="11"/>
      <c r="N535" s="11"/>
      <c r="O535" s="11" t="s">
        <v>1053</v>
      </c>
    </row>
    <row r="536" customFormat="false" ht="14.25" hidden="false" customHeight="true" outlineLevel="0" collapsed="false">
      <c r="B536" s="11" t="s">
        <v>1056</v>
      </c>
      <c r="C536" s="32" t="n">
        <f aca="false">C299</f>
        <v>130</v>
      </c>
      <c r="D536" s="11"/>
      <c r="E536" s="11"/>
      <c r="F536" s="11"/>
      <c r="G536" s="11"/>
      <c r="H536" s="11"/>
      <c r="I536" s="11"/>
      <c r="J536" s="11"/>
      <c r="K536" s="11"/>
      <c r="L536" s="11"/>
      <c r="M536" s="11"/>
      <c r="N536" s="11"/>
      <c r="O536" s="11" t="s">
        <v>1053</v>
      </c>
    </row>
    <row r="537" customFormat="false" ht="14.25" hidden="false" customHeight="true" outlineLevel="0" collapsed="false">
      <c r="B537" s="11" t="s">
        <v>1057</v>
      </c>
      <c r="C537" s="32" t="n">
        <f aca="false">C299</f>
        <v>130</v>
      </c>
      <c r="D537" s="11"/>
      <c r="E537" s="11"/>
      <c r="F537" s="11"/>
      <c r="G537" s="11"/>
      <c r="H537" s="11"/>
      <c r="I537" s="11"/>
      <c r="J537" s="11"/>
      <c r="K537" s="11"/>
      <c r="L537" s="11"/>
      <c r="M537" s="11"/>
      <c r="N537" s="11"/>
      <c r="O537" s="11" t="s">
        <v>1053</v>
      </c>
    </row>
    <row r="538" customFormat="false" ht="14.25" hidden="false" customHeight="true" outlineLevel="0" collapsed="false">
      <c r="B538" s="11" t="s">
        <v>1058</v>
      </c>
      <c r="C538" s="34" t="n">
        <f aca="false">C397</f>
        <v>0.035</v>
      </c>
      <c r="D538" s="11"/>
      <c r="E538" s="11"/>
      <c r="F538" s="11"/>
      <c r="G538" s="11"/>
      <c r="H538" s="11"/>
      <c r="I538" s="11"/>
      <c r="J538" s="11"/>
      <c r="K538" s="11"/>
      <c r="L538" s="11"/>
      <c r="M538" s="11"/>
      <c r="N538" s="11"/>
      <c r="O538" s="11" t="s">
        <v>1059</v>
      </c>
    </row>
    <row r="539" customFormat="false" ht="14.25" hidden="false" customHeight="true" outlineLevel="0" collapsed="false">
      <c r="B539" s="11" t="s">
        <v>1060</v>
      </c>
      <c r="C539" s="34" t="n">
        <f aca="false">C397</f>
        <v>0.035</v>
      </c>
      <c r="D539" s="11"/>
      <c r="E539" s="11"/>
      <c r="F539" s="11"/>
      <c r="G539" s="11"/>
      <c r="H539" s="11"/>
      <c r="I539" s="11"/>
      <c r="J539" s="11"/>
      <c r="K539" s="11"/>
      <c r="L539" s="11"/>
      <c r="M539" s="11"/>
      <c r="N539" s="11"/>
      <c r="O539" s="11" t="s">
        <v>1059</v>
      </c>
    </row>
    <row r="540" customFormat="false" ht="14.25" hidden="false" customHeight="true" outlineLevel="0" collapsed="false">
      <c r="B540" s="11" t="s">
        <v>1061</v>
      </c>
      <c r="C540" s="34" t="n">
        <f aca="false">C397</f>
        <v>0.035</v>
      </c>
      <c r="D540" s="11"/>
      <c r="E540" s="11"/>
      <c r="F540" s="11"/>
      <c r="G540" s="11"/>
      <c r="H540" s="11"/>
      <c r="I540" s="11"/>
      <c r="J540" s="11"/>
      <c r="K540" s="11"/>
      <c r="L540" s="11"/>
      <c r="M540" s="11"/>
      <c r="N540" s="11"/>
      <c r="O540" s="11" t="s">
        <v>1059</v>
      </c>
    </row>
    <row r="541" customFormat="false" ht="14.25" hidden="false" customHeight="true" outlineLevel="0" collapsed="false">
      <c r="B541" s="11" t="s">
        <v>1062</v>
      </c>
      <c r="C541" s="34" t="n">
        <f aca="false">C397</f>
        <v>0.035</v>
      </c>
      <c r="D541" s="11"/>
      <c r="E541" s="11"/>
      <c r="F541" s="11"/>
      <c r="G541" s="11"/>
      <c r="H541" s="11"/>
      <c r="I541" s="11"/>
      <c r="J541" s="11"/>
      <c r="K541" s="11"/>
      <c r="L541" s="11"/>
      <c r="M541" s="11"/>
      <c r="N541" s="11"/>
      <c r="O541" s="11" t="s">
        <v>1059</v>
      </c>
    </row>
    <row r="542" customFormat="false" ht="14.25" hidden="false" customHeight="true" outlineLevel="0" collapsed="false">
      <c r="B542" s="11" t="s">
        <v>1063</v>
      </c>
      <c r="C542" s="34" t="n">
        <f aca="false">C397</f>
        <v>0.035</v>
      </c>
      <c r="D542" s="11"/>
      <c r="E542" s="11"/>
      <c r="F542" s="11"/>
      <c r="G542" s="11"/>
      <c r="H542" s="11"/>
      <c r="I542" s="11"/>
      <c r="J542" s="11"/>
      <c r="K542" s="11"/>
      <c r="L542" s="11"/>
      <c r="M542" s="11"/>
      <c r="N542" s="11"/>
      <c r="O542" s="11" t="s">
        <v>1059</v>
      </c>
    </row>
    <row r="543" customFormat="false" ht="14.25" hidden="false" customHeight="true" outlineLevel="0" collapsed="false">
      <c r="B543" s="11" t="s">
        <v>1064</v>
      </c>
      <c r="C543" s="34" t="n">
        <f aca="false">C397</f>
        <v>0.035</v>
      </c>
      <c r="D543" s="11"/>
      <c r="E543" s="11"/>
      <c r="F543" s="11"/>
      <c r="G543" s="11"/>
      <c r="H543" s="11"/>
      <c r="I543" s="11"/>
      <c r="J543" s="11"/>
      <c r="K543" s="11"/>
      <c r="L543" s="11"/>
      <c r="M543" s="11"/>
      <c r="N543" s="11"/>
      <c r="O543" s="11" t="s">
        <v>1065</v>
      </c>
    </row>
    <row r="544" customFormat="false" ht="14.25" hidden="false" customHeight="true" outlineLevel="0" collapsed="false">
      <c r="B544" s="11" t="s">
        <v>1066</v>
      </c>
      <c r="C544" s="34" t="n">
        <f aca="false">C397</f>
        <v>0.035</v>
      </c>
      <c r="D544" s="11"/>
      <c r="E544" s="11"/>
      <c r="F544" s="11"/>
      <c r="G544" s="11"/>
      <c r="H544" s="11"/>
      <c r="I544" s="11"/>
      <c r="J544" s="11"/>
      <c r="K544" s="11"/>
      <c r="L544" s="11"/>
      <c r="M544" s="11"/>
      <c r="N544" s="11"/>
      <c r="O544" s="11" t="s">
        <v>1065</v>
      </c>
    </row>
    <row r="545" customFormat="false" ht="14.25" hidden="false" customHeight="true" outlineLevel="0" collapsed="false">
      <c r="B545" s="11" t="s">
        <v>1067</v>
      </c>
      <c r="C545" s="34" t="n">
        <f aca="false">C397</f>
        <v>0.035</v>
      </c>
      <c r="D545" s="11"/>
      <c r="E545" s="11"/>
      <c r="F545" s="11"/>
      <c r="G545" s="11"/>
      <c r="H545" s="11"/>
      <c r="I545" s="11"/>
      <c r="J545" s="11"/>
      <c r="K545" s="11"/>
      <c r="L545" s="11"/>
      <c r="M545" s="11"/>
      <c r="N545" s="11"/>
      <c r="O545" s="11" t="s">
        <v>1065</v>
      </c>
    </row>
    <row r="546" customFormat="false" ht="14.25" hidden="false" customHeight="true" outlineLevel="0" collapsed="false">
      <c r="B546" s="11" t="s">
        <v>1068</v>
      </c>
      <c r="C546" s="34" t="n">
        <f aca="false">C397</f>
        <v>0.035</v>
      </c>
      <c r="D546" s="11"/>
      <c r="E546" s="11"/>
      <c r="F546" s="11"/>
      <c r="G546" s="11"/>
      <c r="H546" s="11"/>
      <c r="I546" s="11"/>
      <c r="J546" s="11"/>
      <c r="K546" s="11"/>
      <c r="L546" s="11"/>
      <c r="M546" s="11"/>
      <c r="N546" s="11"/>
      <c r="O546" s="11" t="s">
        <v>1065</v>
      </c>
    </row>
    <row r="547" customFormat="false" ht="14.25" hidden="false" customHeight="true" outlineLevel="0" collapsed="false">
      <c r="B547" s="11" t="s">
        <v>1069</v>
      </c>
      <c r="C547" s="34" t="n">
        <f aca="false">C397</f>
        <v>0.035</v>
      </c>
      <c r="D547" s="11"/>
      <c r="E547" s="11"/>
      <c r="F547" s="11"/>
      <c r="G547" s="11"/>
      <c r="H547" s="11"/>
      <c r="I547" s="11"/>
      <c r="J547" s="11"/>
      <c r="K547" s="11"/>
      <c r="L547" s="11"/>
      <c r="M547" s="11"/>
      <c r="N547" s="11"/>
      <c r="O547" s="11" t="s">
        <v>1065</v>
      </c>
    </row>
    <row r="548" customFormat="false" ht="14.25" hidden="false" customHeight="true" outlineLevel="0" collapsed="false">
      <c r="B548" s="11" t="s">
        <v>1070</v>
      </c>
      <c r="C548" s="32" t="n">
        <f aca="false">C314</f>
        <v>10</v>
      </c>
      <c r="D548" s="11"/>
      <c r="E548" s="11"/>
      <c r="F548" s="11"/>
      <c r="G548" s="11"/>
      <c r="H548" s="11"/>
      <c r="I548" s="11"/>
      <c r="J548" s="11"/>
      <c r="K548" s="11"/>
      <c r="L548" s="11"/>
      <c r="M548" s="11"/>
      <c r="N548" s="11"/>
      <c r="O548" s="11" t="s">
        <v>1071</v>
      </c>
    </row>
    <row r="549" customFormat="false" ht="14.25" hidden="false" customHeight="true" outlineLevel="0" collapsed="false">
      <c r="B549" s="11" t="s">
        <v>1072</v>
      </c>
      <c r="C549" s="32" t="n">
        <f aca="false">C314</f>
        <v>10</v>
      </c>
      <c r="D549" s="11"/>
      <c r="E549" s="11"/>
      <c r="F549" s="11"/>
      <c r="G549" s="11"/>
      <c r="H549" s="11"/>
      <c r="I549" s="11"/>
      <c r="J549" s="11"/>
      <c r="K549" s="11"/>
      <c r="L549" s="11"/>
      <c r="M549" s="11"/>
      <c r="N549" s="11"/>
      <c r="O549" s="11" t="s">
        <v>1071</v>
      </c>
    </row>
    <row r="550" customFormat="false" ht="14.25" hidden="false" customHeight="true" outlineLevel="0" collapsed="false">
      <c r="B550" s="11" t="s">
        <v>1073</v>
      </c>
      <c r="C550" s="32" t="n">
        <f aca="false">C314</f>
        <v>10</v>
      </c>
      <c r="D550" s="11"/>
      <c r="E550" s="11"/>
      <c r="F550" s="11"/>
      <c r="G550" s="11"/>
      <c r="H550" s="11"/>
      <c r="I550" s="11"/>
      <c r="J550" s="11"/>
      <c r="K550" s="11"/>
      <c r="L550" s="11"/>
      <c r="M550" s="11"/>
      <c r="N550" s="11"/>
      <c r="O550" s="11" t="s">
        <v>1071</v>
      </c>
    </row>
    <row r="551" customFormat="false" ht="14.25" hidden="false" customHeight="true" outlineLevel="0" collapsed="false">
      <c r="B551" s="11" t="s">
        <v>1074</v>
      </c>
      <c r="C551" s="32" t="n">
        <f aca="false">C314</f>
        <v>10</v>
      </c>
      <c r="D551" s="11"/>
      <c r="E551" s="11"/>
      <c r="F551" s="11"/>
      <c r="G551" s="11"/>
      <c r="H551" s="11"/>
      <c r="I551" s="11"/>
      <c r="J551" s="11"/>
      <c r="K551" s="11"/>
      <c r="L551" s="11"/>
      <c r="M551" s="11"/>
      <c r="N551" s="11"/>
      <c r="O551" s="11" t="s">
        <v>1071</v>
      </c>
    </row>
    <row r="552" customFormat="false" ht="14.25" hidden="false" customHeight="true" outlineLevel="0" collapsed="false">
      <c r="B552" s="11" t="s">
        <v>1075</v>
      </c>
      <c r="C552" s="32" t="n">
        <f aca="false">C314</f>
        <v>10</v>
      </c>
      <c r="D552" s="11"/>
      <c r="E552" s="11"/>
      <c r="F552" s="11"/>
      <c r="G552" s="11"/>
      <c r="H552" s="11"/>
      <c r="I552" s="11"/>
      <c r="J552" s="11"/>
      <c r="K552" s="11"/>
      <c r="L552" s="11"/>
      <c r="M552" s="11"/>
      <c r="N552" s="11"/>
      <c r="O552" s="11" t="s">
        <v>1071</v>
      </c>
    </row>
    <row r="553" customFormat="false" ht="14.25" hidden="false" customHeight="true" outlineLevel="0" collapsed="false">
      <c r="B553" s="11" t="s">
        <v>1076</v>
      </c>
      <c r="C553" s="32" t="n">
        <f aca="false">C290</f>
        <v>150</v>
      </c>
      <c r="D553" s="11"/>
      <c r="E553" s="11"/>
      <c r="F553" s="11"/>
      <c r="G553" s="11"/>
      <c r="H553" s="11"/>
      <c r="I553" s="11"/>
      <c r="J553" s="11"/>
      <c r="K553" s="11"/>
      <c r="L553" s="11"/>
      <c r="M553" s="11"/>
      <c r="N553" s="11"/>
      <c r="O553" s="11" t="s">
        <v>1077</v>
      </c>
    </row>
    <row r="554" customFormat="false" ht="14.25" hidden="false" customHeight="true" outlineLevel="0" collapsed="false">
      <c r="B554" s="11" t="s">
        <v>1078</v>
      </c>
      <c r="C554" s="32" t="n">
        <f aca="false">C290</f>
        <v>150</v>
      </c>
      <c r="D554" s="11"/>
      <c r="E554" s="11"/>
      <c r="F554" s="11"/>
      <c r="G554" s="11"/>
      <c r="H554" s="11"/>
      <c r="I554" s="11"/>
      <c r="J554" s="11"/>
      <c r="K554" s="11"/>
      <c r="L554" s="11"/>
      <c r="M554" s="11"/>
      <c r="N554" s="11"/>
      <c r="O554" s="11" t="s">
        <v>1077</v>
      </c>
    </row>
    <row r="555" customFormat="false" ht="14.25" hidden="false" customHeight="true" outlineLevel="0" collapsed="false">
      <c r="B555" s="11" t="s">
        <v>1079</v>
      </c>
      <c r="C555" s="32" t="n">
        <f aca="false">C290</f>
        <v>150</v>
      </c>
      <c r="D555" s="11"/>
      <c r="E555" s="11"/>
      <c r="F555" s="11"/>
      <c r="G555" s="11"/>
      <c r="H555" s="11"/>
      <c r="I555" s="11"/>
      <c r="J555" s="11"/>
      <c r="K555" s="11"/>
      <c r="L555" s="11"/>
      <c r="M555" s="11"/>
      <c r="N555" s="11"/>
      <c r="O555" s="11" t="s">
        <v>1077</v>
      </c>
    </row>
    <row r="556" customFormat="false" ht="14.25" hidden="false" customHeight="true" outlineLevel="0" collapsed="false">
      <c r="B556" s="11" t="s">
        <v>1080</v>
      </c>
      <c r="C556" s="32" t="n">
        <f aca="false">C290</f>
        <v>150</v>
      </c>
      <c r="D556" s="11"/>
      <c r="E556" s="11"/>
      <c r="F556" s="11"/>
      <c r="G556" s="11"/>
      <c r="H556" s="11"/>
      <c r="I556" s="11"/>
      <c r="J556" s="11"/>
      <c r="K556" s="11"/>
      <c r="L556" s="11"/>
      <c r="M556" s="11"/>
      <c r="N556" s="11"/>
      <c r="O556" s="11" t="s">
        <v>1077</v>
      </c>
    </row>
    <row r="557" customFormat="false" ht="14.25" hidden="false" customHeight="true" outlineLevel="0" collapsed="false">
      <c r="B557" s="11" t="s">
        <v>1081</v>
      </c>
      <c r="C557" s="32" t="n">
        <f aca="false">C290</f>
        <v>150</v>
      </c>
      <c r="D557" s="11"/>
      <c r="E557" s="11"/>
      <c r="F557" s="11"/>
      <c r="G557" s="11"/>
      <c r="H557" s="11"/>
      <c r="I557" s="11"/>
      <c r="J557" s="11"/>
      <c r="K557" s="11"/>
      <c r="L557" s="11"/>
      <c r="M557" s="11"/>
      <c r="N557" s="11"/>
      <c r="O557" s="11" t="s">
        <v>1077</v>
      </c>
    </row>
    <row r="558" customFormat="false" ht="14.25" hidden="false" customHeight="true" outlineLevel="0" collapsed="false">
      <c r="B558" s="11" t="s">
        <v>1082</v>
      </c>
      <c r="C558" s="32" t="n">
        <f aca="false">'3 Statement Forecast'!$I$39/Drivers!$C$708</f>
        <v>720</v>
      </c>
      <c r="D558" s="11"/>
      <c r="E558" s="11"/>
      <c r="F558" s="11"/>
      <c r="G558" s="11"/>
      <c r="H558" s="11"/>
      <c r="I558" s="11"/>
      <c r="J558" s="11"/>
      <c r="K558" s="11"/>
      <c r="L558" s="11"/>
      <c r="M558" s="11"/>
      <c r="N558" s="11"/>
      <c r="O558" s="11" t="s">
        <v>1083</v>
      </c>
    </row>
    <row r="559" customFormat="false" ht="14.25" hidden="false" customHeight="true" outlineLevel="0" collapsed="false">
      <c r="B559" s="11" t="s">
        <v>1084</v>
      </c>
      <c r="C559" s="32" t="n">
        <f aca="false">'3 Statement Forecast'!$J$39/Drivers!$C$708</f>
        <v>732.835297066934</v>
      </c>
      <c r="D559" s="11"/>
      <c r="E559" s="11"/>
      <c r="F559" s="11"/>
      <c r="G559" s="11"/>
      <c r="H559" s="11"/>
      <c r="I559" s="11"/>
      <c r="J559" s="11"/>
      <c r="K559" s="11"/>
      <c r="L559" s="11"/>
      <c r="M559" s="11"/>
      <c r="N559" s="11"/>
      <c r="O559" s="11" t="s">
        <v>1085</v>
      </c>
    </row>
    <row r="560" customFormat="false" ht="14.25" hidden="false" customHeight="true" outlineLevel="0" collapsed="false">
      <c r="B560" s="11" t="s">
        <v>1086</v>
      </c>
      <c r="C560" s="32" t="n">
        <f aca="false">'3 Statement Forecast'!$K$39/Drivers!$C$708</f>
        <v>743.923178741539</v>
      </c>
      <c r="D560" s="11"/>
      <c r="E560" s="11"/>
      <c r="F560" s="11"/>
      <c r="G560" s="11"/>
      <c r="H560" s="11"/>
      <c r="I560" s="11"/>
      <c r="J560" s="11"/>
      <c r="K560" s="11"/>
      <c r="L560" s="11"/>
      <c r="M560" s="11"/>
      <c r="N560" s="11"/>
      <c r="O560" s="11" t="s">
        <v>1087</v>
      </c>
    </row>
    <row r="561" customFormat="false" ht="14.25" hidden="false" customHeight="true" outlineLevel="0" collapsed="false">
      <c r="B561" s="11" t="s">
        <v>1088</v>
      </c>
      <c r="C561" s="32" t="n">
        <f aca="false">'3 Statement Forecast'!$L$39/Drivers!$C$708</f>
        <v>755.12193923289</v>
      </c>
      <c r="D561" s="11"/>
      <c r="E561" s="11"/>
      <c r="F561" s="11"/>
      <c r="G561" s="11"/>
      <c r="H561" s="11"/>
      <c r="I561" s="11"/>
      <c r="J561" s="11"/>
      <c r="K561" s="11"/>
      <c r="L561" s="11"/>
      <c r="M561" s="11"/>
      <c r="N561" s="11"/>
      <c r="O561" s="11" t="s">
        <v>1089</v>
      </c>
    </row>
    <row r="562" customFormat="false" ht="14.25" hidden="false" customHeight="true" outlineLevel="0" collapsed="false">
      <c r="B562" s="11" t="s">
        <v>1090</v>
      </c>
      <c r="C562" s="32" t="n">
        <f aca="false">'3 Statement Forecast'!$M$39/Drivers!$C$708</f>
        <v>766.432687329155</v>
      </c>
      <c r="D562" s="11"/>
      <c r="E562" s="11"/>
      <c r="F562" s="11"/>
      <c r="G562" s="11"/>
      <c r="H562" s="11"/>
      <c r="I562" s="11"/>
      <c r="J562" s="11"/>
      <c r="K562" s="11"/>
      <c r="L562" s="11"/>
      <c r="M562" s="11"/>
      <c r="N562" s="11"/>
      <c r="O562" s="11" t="s">
        <v>1091</v>
      </c>
    </row>
    <row r="563" customFormat="false" ht="14.25" hidden="false" customHeight="true" outlineLevel="0" collapsed="false">
      <c r="B563" s="11" t="s">
        <v>1092</v>
      </c>
      <c r="C563" s="32" t="n">
        <f aca="false">MAX(MIN(Drivers!$C$558+Drivers!$C$705*'3 Statement Forecast'!$I$39+(Drivers!$C$463+Drivers!$C$468)*Drivers!$C$707/1000000, Drivers!$C$302*(1+Drivers!$C$710)), Drivers!$C$302*(1-Drivers!$C$710))</f>
        <v>1190</v>
      </c>
      <c r="D563" s="11"/>
      <c r="E563" s="11"/>
      <c r="F563" s="11"/>
      <c r="G563" s="11"/>
      <c r="H563" s="11"/>
      <c r="I563" s="11"/>
      <c r="J563" s="11"/>
      <c r="K563" s="11"/>
      <c r="L563" s="11"/>
      <c r="M563" s="11"/>
      <c r="N563" s="11"/>
      <c r="O563" s="11" t="s">
        <v>1093</v>
      </c>
    </row>
    <row r="564" customFormat="false" ht="14.25" hidden="false" customHeight="true" outlineLevel="0" collapsed="false">
      <c r="B564" s="11" t="s">
        <v>1094</v>
      </c>
      <c r="C564" s="32" t="n">
        <f aca="false">MAX(MIN(Drivers!$C$559+Drivers!$C$705*'3 Statement Forecast'!$J$39+(Drivers!$C$464+Drivers!$C$469)*Drivers!$C$707/1000000, Drivers!$C$563*(1+Drivers!$C$710)), Drivers!$C$563*(1-Drivers!$C$710))</f>
        <v>1159.27004706693</v>
      </c>
      <c r="D564" s="11"/>
      <c r="E564" s="11"/>
      <c r="F564" s="11"/>
      <c r="G564" s="11"/>
      <c r="H564" s="11"/>
      <c r="I564" s="11"/>
      <c r="J564" s="11"/>
      <c r="K564" s="11"/>
      <c r="L564" s="11"/>
      <c r="M564" s="11"/>
      <c r="N564" s="11"/>
      <c r="O564" s="11" t="s">
        <v>1095</v>
      </c>
    </row>
    <row r="565" customFormat="false" ht="14.25" hidden="false" customHeight="true" outlineLevel="0" collapsed="false">
      <c r="B565" s="11" t="s">
        <v>1096</v>
      </c>
      <c r="C565" s="32" t="n">
        <f aca="false">MAX(MIN(Drivers!$C$560+Drivers!$C$705*'3 Statement Forecast'!$K$39+(Drivers!$C$465+Drivers!$C$470)*Drivers!$C$707/1000000, Drivers!$C$564*(1+Drivers!$C$710)), Drivers!$C$564*(1-Drivers!$C$710))</f>
        <v>1173.12227624154</v>
      </c>
      <c r="D565" s="11"/>
      <c r="E565" s="11"/>
      <c r="F565" s="11"/>
      <c r="G565" s="11"/>
      <c r="H565" s="11"/>
      <c r="I565" s="11"/>
      <c r="J565" s="11"/>
      <c r="K565" s="11"/>
      <c r="L565" s="11"/>
      <c r="M565" s="11"/>
      <c r="N565" s="11"/>
      <c r="O565" s="11" t="s">
        <v>1097</v>
      </c>
    </row>
    <row r="566" customFormat="false" ht="14.25" hidden="false" customHeight="true" outlineLevel="0" collapsed="false">
      <c r="B566" s="11" t="s">
        <v>1098</v>
      </c>
      <c r="C566" s="32" t="n">
        <f aca="false">MAX(MIN(Drivers!$C$561+Drivers!$C$705*'3 Statement Forecast'!$L$39+(Drivers!$C$466+Drivers!$C$471)*Drivers!$C$707/1000000, Drivers!$C$565*(1+Drivers!$C$710)), Drivers!$C$565*(1-Drivers!$C$710))</f>
        <v>1187.11302770789</v>
      </c>
      <c r="D566" s="11"/>
      <c r="E566" s="11"/>
      <c r="F566" s="11"/>
      <c r="G566" s="11"/>
      <c r="H566" s="11"/>
      <c r="I566" s="11"/>
      <c r="J566" s="11"/>
      <c r="K566" s="11"/>
      <c r="L566" s="11"/>
      <c r="M566" s="11"/>
      <c r="N566" s="11"/>
      <c r="O566" s="11" t="s">
        <v>1099</v>
      </c>
    </row>
    <row r="567" customFormat="false" ht="14.25" hidden="false" customHeight="true" outlineLevel="0" collapsed="false">
      <c r="B567" s="11" t="s">
        <v>1100</v>
      </c>
      <c r="C567" s="32" t="n">
        <f aca="false">MAX(MIN(Drivers!$C$562+Drivers!$C$705*'3 Statement Forecast'!$M$39+(Drivers!$C$467+Drivers!$C$472)*Drivers!$C$707/1000000, Drivers!$C$566*(1+Drivers!$C$710)), Drivers!$C$566*(1-Drivers!$C$710))</f>
        <v>1201.24368668891</v>
      </c>
      <c r="D567" s="11"/>
      <c r="E567" s="11"/>
      <c r="F567" s="11"/>
      <c r="G567" s="11"/>
      <c r="H567" s="11"/>
      <c r="I567" s="11"/>
      <c r="J567" s="11"/>
      <c r="K567" s="11"/>
      <c r="L567" s="11"/>
      <c r="M567" s="11"/>
      <c r="N567" s="11"/>
      <c r="O567" s="11" t="s">
        <v>1101</v>
      </c>
    </row>
    <row r="568" customFormat="false" ht="14.25" hidden="false" customHeight="true" outlineLevel="0" collapsed="false">
      <c r="B568" s="11"/>
      <c r="C568" s="11"/>
      <c r="D568" s="11"/>
      <c r="E568" s="11"/>
      <c r="F568" s="11"/>
      <c r="G568" s="11"/>
      <c r="H568" s="11"/>
      <c r="I568" s="11"/>
      <c r="J568" s="11"/>
      <c r="K568" s="11"/>
      <c r="L568" s="11"/>
      <c r="M568" s="11"/>
      <c r="N568" s="11"/>
      <c r="O568" s="11"/>
    </row>
    <row r="569" customFormat="false" ht="14.25" hidden="false" customHeight="true" outlineLevel="0" collapsed="false">
      <c r="B569" s="11" t="s">
        <v>1102</v>
      </c>
      <c r="C569" s="32" t="n">
        <f aca="false">(C562*(1+C397)-C302)/5</f>
        <v>-121.348433722865</v>
      </c>
      <c r="D569" s="11"/>
      <c r="E569" s="11"/>
      <c r="F569" s="11"/>
      <c r="G569" s="11"/>
      <c r="H569" s="11"/>
      <c r="I569" s="11"/>
      <c r="J569" s="11"/>
      <c r="K569" s="11"/>
      <c r="L569" s="11"/>
      <c r="M569" s="11"/>
      <c r="N569" s="11"/>
      <c r="O569" s="11" t="s">
        <v>1103</v>
      </c>
    </row>
    <row r="570" customFormat="false" ht="14.25" hidden="false" customHeight="true" outlineLevel="0" collapsed="false">
      <c r="A570" s="22" t="s">
        <v>11</v>
      </c>
      <c r="B570" s="10" t="s">
        <v>1104</v>
      </c>
      <c r="C570" s="11"/>
      <c r="D570" s="11"/>
      <c r="E570" s="11"/>
      <c r="F570" s="11"/>
      <c r="G570" s="11"/>
      <c r="H570" s="11"/>
      <c r="I570" s="11"/>
      <c r="J570" s="11"/>
      <c r="K570" s="11"/>
      <c r="L570" s="11"/>
      <c r="M570" s="11"/>
      <c r="N570" s="11"/>
      <c r="O570" s="11"/>
    </row>
    <row r="571" customFormat="false" ht="14.25" hidden="false" customHeight="true" outlineLevel="0" collapsed="false">
      <c r="B571" s="11" t="s">
        <v>1105</v>
      </c>
      <c r="C571" s="33" t="n">
        <v>0.02</v>
      </c>
      <c r="D571" s="11"/>
      <c r="E571" s="11"/>
      <c r="F571" s="11"/>
      <c r="G571" s="11"/>
      <c r="H571" s="11"/>
      <c r="I571" s="11"/>
      <c r="J571" s="11"/>
      <c r="K571" s="11"/>
      <c r="L571" s="11"/>
      <c r="M571" s="11"/>
      <c r="N571" s="11"/>
      <c r="O571" s="11" t="s">
        <v>1106</v>
      </c>
    </row>
    <row r="572" customFormat="false" ht="14.25" hidden="false" customHeight="true" outlineLevel="0" collapsed="false">
      <c r="B572" s="11" t="s">
        <v>1107</v>
      </c>
      <c r="C572" s="11" t="s">
        <v>1108</v>
      </c>
      <c r="D572" s="11"/>
      <c r="E572" s="11"/>
      <c r="F572" s="11"/>
      <c r="G572" s="11"/>
      <c r="H572" s="11"/>
      <c r="I572" s="11"/>
      <c r="J572" s="11"/>
      <c r="K572" s="11"/>
      <c r="L572" s="11"/>
      <c r="M572" s="11"/>
      <c r="N572" s="11"/>
      <c r="O572" s="11" t="s">
        <v>1109</v>
      </c>
    </row>
    <row r="573" customFormat="false" ht="14.25" hidden="false" customHeight="true" outlineLevel="0" collapsed="false">
      <c r="B573" s="11" t="s">
        <v>1110</v>
      </c>
      <c r="C573" s="31" t="n">
        <v>70</v>
      </c>
      <c r="D573" s="11"/>
      <c r="E573" s="11"/>
      <c r="F573" s="11"/>
      <c r="G573" s="11"/>
      <c r="H573" s="11"/>
      <c r="I573" s="11"/>
      <c r="J573" s="11"/>
      <c r="K573" s="11"/>
      <c r="L573" s="11"/>
      <c r="M573" s="11"/>
      <c r="N573" s="11"/>
      <c r="O573" s="11" t="s">
        <v>1111</v>
      </c>
    </row>
    <row r="574" customFormat="false" ht="14.25" hidden="false" customHeight="true" outlineLevel="0" collapsed="false">
      <c r="B574" s="11" t="s">
        <v>1112</v>
      </c>
      <c r="C574" s="31" t="n">
        <v>721.9</v>
      </c>
      <c r="D574" s="11"/>
      <c r="E574" s="11"/>
      <c r="F574" s="11"/>
      <c r="G574" s="11"/>
      <c r="H574" s="11"/>
      <c r="I574" s="11"/>
      <c r="J574" s="11"/>
      <c r="K574" s="11"/>
      <c r="L574" s="11"/>
      <c r="M574" s="11"/>
      <c r="N574" s="11"/>
      <c r="O574" s="11" t="s">
        <v>1113</v>
      </c>
    </row>
    <row r="575" customFormat="false" ht="14.25" hidden="false" customHeight="true" outlineLevel="0" collapsed="false">
      <c r="B575" s="11" t="s">
        <v>1114</v>
      </c>
      <c r="C575" s="42" t="n">
        <f aca="false">Drivers!C115/(Drivers!C435-Drivers!C571)</f>
        <v>1994.30199430199</v>
      </c>
      <c r="D575" s="11"/>
      <c r="E575" s="11"/>
      <c r="F575" s="11"/>
      <c r="G575" s="11"/>
      <c r="H575" s="11"/>
      <c r="I575" s="11"/>
      <c r="J575" s="11"/>
      <c r="K575" s="11"/>
      <c r="L575" s="11"/>
      <c r="M575" s="11"/>
      <c r="N575" s="11"/>
      <c r="O575" s="11" t="s">
        <v>1115</v>
      </c>
    </row>
    <row r="576" customFormat="false" ht="14.25" hidden="false" customHeight="true" outlineLevel="0" collapsed="false">
      <c r="B576" s="11" t="s">
        <v>1116</v>
      </c>
      <c r="C576" s="42" t="n">
        <f aca="false">Drivers!C114*Valuation!D20</f>
        <v>2451</v>
      </c>
      <c r="D576" s="11"/>
      <c r="E576" s="11"/>
      <c r="F576" s="11"/>
      <c r="G576" s="11"/>
      <c r="H576" s="11"/>
      <c r="I576" s="11"/>
      <c r="J576" s="11"/>
      <c r="K576" s="11"/>
      <c r="L576" s="11"/>
      <c r="M576" s="11"/>
      <c r="N576" s="11"/>
      <c r="O576" s="11" t="s">
        <v>1117</v>
      </c>
    </row>
    <row r="577" customFormat="false" ht="14.25" hidden="false" customHeight="true" outlineLevel="0" collapsed="false">
      <c r="B577" s="11" t="s">
        <v>1118</v>
      </c>
      <c r="C577" s="42" t="n">
        <f aca="false">IF(UPPER(Drivers!C572)="A",Drivers!C575,Drivers!C576)</f>
        <v>1994.30199430199</v>
      </c>
      <c r="D577" s="11"/>
      <c r="E577" s="11"/>
      <c r="F577" s="11"/>
      <c r="G577" s="11"/>
      <c r="H577" s="11"/>
      <c r="I577" s="11"/>
      <c r="J577" s="11"/>
      <c r="K577" s="11"/>
      <c r="L577" s="11"/>
      <c r="M577" s="11"/>
      <c r="N577" s="11"/>
      <c r="O577" s="11" t="s">
        <v>1119</v>
      </c>
    </row>
    <row r="578" customFormat="false" ht="14.25" hidden="false" customHeight="true" outlineLevel="0" collapsed="false">
      <c r="A578" s="22" t="s">
        <v>11</v>
      </c>
      <c r="B578" s="10" t="s">
        <v>1120</v>
      </c>
      <c r="C578" s="11"/>
      <c r="D578" s="11"/>
      <c r="E578" s="11"/>
      <c r="F578" s="11"/>
      <c r="G578" s="11"/>
      <c r="H578" s="11"/>
      <c r="I578" s="11"/>
      <c r="J578" s="11"/>
      <c r="K578" s="11"/>
      <c r="L578" s="11"/>
      <c r="M578" s="11"/>
      <c r="N578" s="11"/>
      <c r="O578" s="11"/>
    </row>
    <row r="579" customFormat="false" ht="14.25" hidden="false" customHeight="true" outlineLevel="0" collapsed="false">
      <c r="B579" s="11" t="s">
        <v>1121</v>
      </c>
      <c r="C579" s="41" t="n">
        <f aca="false">-'3 Statement Forecast'!I86/'3 Statement Forecast'!I31</f>
        <v>0.245964514875733</v>
      </c>
      <c r="D579" s="11"/>
      <c r="E579" s="11"/>
      <c r="F579" s="11"/>
      <c r="G579" s="11"/>
      <c r="H579" s="11"/>
      <c r="I579" s="11"/>
      <c r="J579" s="11"/>
      <c r="K579" s="11"/>
      <c r="L579" s="11"/>
      <c r="M579" s="11"/>
      <c r="N579" s="11"/>
      <c r="O579" s="11" t="s">
        <v>1122</v>
      </c>
    </row>
    <row r="580" customFormat="false" ht="14.25" hidden="false" customHeight="true" outlineLevel="0" collapsed="false">
      <c r="B580" s="11" t="s">
        <v>1123</v>
      </c>
      <c r="C580" s="41" t="n">
        <f aca="false">-'3 Statement Forecast'!I85/'3 Statement Forecast'!I31</f>
        <v>0.267009236992557</v>
      </c>
      <c r="D580" s="11"/>
      <c r="E580" s="11"/>
      <c r="F580" s="11"/>
      <c r="G580" s="11"/>
      <c r="H580" s="11"/>
      <c r="I580" s="11"/>
      <c r="J580" s="11"/>
      <c r="K580" s="11"/>
      <c r="L580" s="11"/>
      <c r="M580" s="11"/>
      <c r="N580" s="11"/>
      <c r="O580" s="11" t="s">
        <v>1124</v>
      </c>
    </row>
    <row r="581" customFormat="false" ht="14.25" hidden="false" customHeight="true" outlineLevel="0" collapsed="false">
      <c r="B581" s="11" t="s">
        <v>1125</v>
      </c>
      <c r="C581" s="41" t="n">
        <f aca="false">'3 Statement Forecast'!I47/('3 Statement Forecast'!I47+'3 Statement Forecast'!I58)</f>
        <v>0.801825070057304</v>
      </c>
      <c r="D581" s="11"/>
      <c r="E581" s="11"/>
      <c r="F581" s="11"/>
      <c r="G581" s="11"/>
      <c r="H581" s="11"/>
      <c r="I581" s="11"/>
      <c r="J581" s="11"/>
      <c r="K581" s="11"/>
      <c r="L581" s="11"/>
      <c r="M581" s="11"/>
      <c r="N581" s="11"/>
      <c r="O581" s="11" t="s">
        <v>1126</v>
      </c>
    </row>
    <row r="582" customFormat="false" ht="14.25" hidden="false" customHeight="true" outlineLevel="0" collapsed="false">
      <c r="B582" s="11" t="s">
        <v>1127</v>
      </c>
      <c r="C582" s="31" t="n">
        <v>5</v>
      </c>
      <c r="D582" s="11"/>
      <c r="E582" s="11"/>
      <c r="F582" s="11"/>
      <c r="G582" s="11"/>
      <c r="H582" s="11"/>
      <c r="I582" s="11"/>
      <c r="J582" s="11"/>
      <c r="K582" s="11"/>
      <c r="L582" s="11"/>
      <c r="M582" s="11"/>
      <c r="N582" s="11"/>
      <c r="O582" s="11" t="s">
        <v>1128</v>
      </c>
    </row>
    <row r="583" customFormat="false" ht="15" hidden="false" customHeight="true" outlineLevel="0" collapsed="false">
      <c r="A583" s="1" t="s">
        <v>11</v>
      </c>
      <c r="B583" s="1" t="s">
        <v>1129</v>
      </c>
    </row>
    <row r="584" customFormat="false" ht="15" hidden="false" customHeight="true" outlineLevel="0" collapsed="false">
      <c r="B584" s="1" t="s">
        <v>1130</v>
      </c>
      <c r="C584" s="1" t="n">
        <v>0.15</v>
      </c>
      <c r="O584" s="1" t="s">
        <v>1131</v>
      </c>
    </row>
    <row r="585" customFormat="false" ht="15" hidden="false" customHeight="true" outlineLevel="0" collapsed="false">
      <c r="B585" s="1" t="s">
        <v>1132</v>
      </c>
      <c r="C585" s="1" t="n">
        <v>0.25</v>
      </c>
      <c r="O585" s="1" t="s">
        <v>1133</v>
      </c>
    </row>
    <row r="586" customFormat="false" ht="15" hidden="false" customHeight="true" outlineLevel="0" collapsed="false">
      <c r="B586" s="1" t="s">
        <v>1134</v>
      </c>
      <c r="C586" s="1" t="n">
        <v>0</v>
      </c>
      <c r="O586" s="1" t="s">
        <v>1135</v>
      </c>
    </row>
    <row r="587" customFormat="false" ht="15" hidden="false" customHeight="true" outlineLevel="0" collapsed="false">
      <c r="B587" s="1" t="s">
        <v>1136</v>
      </c>
    </row>
    <row r="588" customFormat="false" ht="15" hidden="false" customHeight="true" outlineLevel="0" collapsed="false">
      <c r="B588" s="1" t="s">
        <v>1137</v>
      </c>
      <c r="C588" s="1" t="n">
        <v>272.8</v>
      </c>
      <c r="O588" s="1" t="s">
        <v>1138</v>
      </c>
    </row>
    <row r="589" customFormat="false" ht="15" hidden="false" customHeight="true" outlineLevel="0" collapsed="false">
      <c r="B589" s="1" t="s">
        <v>1139</v>
      </c>
      <c r="C589" s="1" t="n">
        <v>230.6</v>
      </c>
      <c r="O589" s="1" t="s">
        <v>1140</v>
      </c>
    </row>
    <row r="590" customFormat="false" ht="15" hidden="false" customHeight="true" outlineLevel="0" collapsed="false">
      <c r="B590" s="1" t="s">
        <v>1141</v>
      </c>
      <c r="C590" s="1" t="n">
        <v>275</v>
      </c>
      <c r="O590" s="1" t="s">
        <v>1142</v>
      </c>
    </row>
    <row r="591" customFormat="false" ht="15" hidden="false" customHeight="true" outlineLevel="0" collapsed="false">
      <c r="B591" s="1" t="s">
        <v>1143</v>
      </c>
      <c r="C591" s="1" t="n">
        <v>195.7</v>
      </c>
      <c r="O591" s="1" t="s">
        <v>1144</v>
      </c>
    </row>
    <row r="592" customFormat="false" ht="15" hidden="false" customHeight="true" outlineLevel="0" collapsed="false">
      <c r="B592" s="1" t="s">
        <v>1145</v>
      </c>
      <c r="C592" s="1" t="n">
        <v>120.7</v>
      </c>
      <c r="O592" s="1" t="s">
        <v>1146</v>
      </c>
    </row>
    <row r="593" customFormat="false" ht="15" hidden="false" customHeight="true" outlineLevel="0" collapsed="false">
      <c r="B593" s="1" t="s">
        <v>1147</v>
      </c>
      <c r="C593" s="1" t="n">
        <v>10</v>
      </c>
      <c r="O593" s="1" t="s">
        <v>1148</v>
      </c>
    </row>
    <row r="594" customFormat="false" ht="15" hidden="false" customHeight="true" outlineLevel="0" collapsed="false">
      <c r="B594" s="1" t="s">
        <v>1149</v>
      </c>
      <c r="C594" s="43" t="n">
        <f aca="false">Drivers!$C$397</f>
        <v>0.035</v>
      </c>
      <c r="O594" s="1" t="s">
        <v>1150</v>
      </c>
    </row>
    <row r="595" customFormat="false" ht="15" hidden="false" customHeight="true" outlineLevel="0" collapsed="false">
      <c r="B595" s="1" t="s">
        <v>1151</v>
      </c>
      <c r="C595" s="1" t="n">
        <v>0.8</v>
      </c>
      <c r="O595" s="1" t="s">
        <v>1152</v>
      </c>
    </row>
    <row r="596" customFormat="false" ht="15" hidden="false" customHeight="true" outlineLevel="0" collapsed="false">
      <c r="B596" s="1" t="s">
        <v>1153</v>
      </c>
      <c r="C596" s="1" t="n">
        <v>0.9</v>
      </c>
      <c r="O596" s="1" t="s">
        <v>1154</v>
      </c>
    </row>
    <row r="597" customFormat="false" ht="15" hidden="false" customHeight="true" outlineLevel="0" collapsed="false">
      <c r="B597" s="1" t="s">
        <v>1155</v>
      </c>
      <c r="C597" s="1" t="n">
        <v>1.1</v>
      </c>
      <c r="O597" s="1" t="s">
        <v>1156</v>
      </c>
    </row>
    <row r="598" customFormat="false" ht="15" hidden="false" customHeight="true" outlineLevel="0" collapsed="false">
      <c r="B598" s="1" t="s">
        <v>1157</v>
      </c>
      <c r="C598" s="1" t="n">
        <v>1.2</v>
      </c>
      <c r="O598" s="1" t="s">
        <v>1158</v>
      </c>
    </row>
    <row r="599" customFormat="false" ht="15" hidden="false" customHeight="true" outlineLevel="0" collapsed="false">
      <c r="B599" s="1" t="s">
        <v>1159</v>
      </c>
      <c r="C599" s="1" t="n">
        <v>2438.9</v>
      </c>
      <c r="O599" s="1" t="s">
        <v>1160</v>
      </c>
    </row>
    <row r="603" customFormat="false" ht="15" hidden="false" customHeight="true" outlineLevel="0" collapsed="false">
      <c r="B603" s="1" t="s">
        <v>1161</v>
      </c>
      <c r="C603" s="1" t="n">
        <v>0.01</v>
      </c>
      <c r="O603" s="1" t="s">
        <v>1162</v>
      </c>
    </row>
    <row r="604" customFormat="false" ht="15" hidden="false" customHeight="true" outlineLevel="0" collapsed="false">
      <c r="B604" s="1" t="s">
        <v>1163</v>
      </c>
      <c r="C604" s="1" t="n">
        <v>0.005</v>
      </c>
      <c r="O604" s="1" t="s">
        <v>1164</v>
      </c>
    </row>
    <row r="605" customFormat="false" ht="15" hidden="false" customHeight="true" outlineLevel="0" collapsed="false">
      <c r="B605" s="1" t="s">
        <v>1165</v>
      </c>
    </row>
    <row r="606" customFormat="false" ht="15" hidden="false" customHeight="true" outlineLevel="0" collapsed="false">
      <c r="B606" s="1" t="s">
        <v>1166</v>
      </c>
      <c r="C606" s="1" t="n">
        <v>177.89</v>
      </c>
      <c r="O606" s="1" t="s">
        <v>1167</v>
      </c>
    </row>
    <row r="607" customFormat="false" ht="15" hidden="false" customHeight="true" outlineLevel="0" collapsed="false">
      <c r="B607" s="1" t="s">
        <v>1168</v>
      </c>
      <c r="C607" s="1" t="n">
        <v>2.26</v>
      </c>
      <c r="O607" s="1" t="s">
        <v>1169</v>
      </c>
    </row>
    <row r="608" customFormat="false" ht="15" hidden="false" customHeight="true" outlineLevel="0" collapsed="false">
      <c r="B608" s="1" t="s">
        <v>1170</v>
      </c>
      <c r="C608" s="1" t="n">
        <v>0.1327</v>
      </c>
      <c r="O608" s="1" t="s">
        <v>1171</v>
      </c>
    </row>
    <row r="609" customFormat="false" ht="15" hidden="false" customHeight="true" outlineLevel="0" collapsed="false">
      <c r="B609" s="1" t="s">
        <v>1172</v>
      </c>
      <c r="C609" s="1" t="n">
        <v>0.0148</v>
      </c>
      <c r="O609" s="1" t="s">
        <v>1173</v>
      </c>
    </row>
    <row r="610" customFormat="false" ht="15" hidden="false" customHeight="true" outlineLevel="0" collapsed="false">
      <c r="B610" s="1" t="s">
        <v>1174</v>
      </c>
      <c r="C610" s="1" t="n">
        <v>4.56</v>
      </c>
      <c r="O610" s="1" t="s">
        <v>1175</v>
      </c>
    </row>
    <row r="612" customFormat="false" ht="15" hidden="false" customHeight="true" outlineLevel="0" collapsed="false">
      <c r="B612" s="1" t="s">
        <v>1176</v>
      </c>
      <c r="C612" s="1" t="n">
        <v>141.64</v>
      </c>
      <c r="O612" s="1" t="s">
        <v>1177</v>
      </c>
    </row>
    <row r="613" customFormat="false" ht="15" hidden="false" customHeight="true" outlineLevel="0" collapsed="false">
      <c r="B613" s="1" t="s">
        <v>1178</v>
      </c>
      <c r="C613" s="1" t="n">
        <v>1.21</v>
      </c>
      <c r="O613" s="1" t="s">
        <v>1179</v>
      </c>
    </row>
    <row r="614" customFormat="false" ht="15" hidden="false" customHeight="true" outlineLevel="0" collapsed="false">
      <c r="B614" s="1" t="s">
        <v>1180</v>
      </c>
      <c r="C614" s="1" t="n">
        <v>0.1866</v>
      </c>
      <c r="O614" s="1" t="s">
        <v>1181</v>
      </c>
    </row>
    <row r="615" customFormat="false" ht="15" hidden="false" customHeight="true" outlineLevel="0" collapsed="false">
      <c r="B615" s="1" t="s">
        <v>1182</v>
      </c>
      <c r="C615" s="1" t="n">
        <v>0.0104</v>
      </c>
      <c r="O615" s="1" t="s">
        <v>1183</v>
      </c>
    </row>
    <row r="616" customFormat="false" ht="15" hidden="false" customHeight="true" outlineLevel="0" collapsed="false">
      <c r="B616" s="1" t="s">
        <v>1184</v>
      </c>
      <c r="C616" s="1" t="n">
        <v>2.29</v>
      </c>
      <c r="O616" s="1" t="s">
        <v>1185</v>
      </c>
    </row>
    <row r="618" customFormat="false" ht="15" hidden="false" customHeight="true" outlineLevel="0" collapsed="false">
      <c r="B618" s="1" t="s">
        <v>1186</v>
      </c>
      <c r="C618" s="1" t="n">
        <v>28</v>
      </c>
      <c r="O618" s="1" t="s">
        <v>1187</v>
      </c>
    </row>
    <row r="619" customFormat="false" ht="15" hidden="false" customHeight="true" outlineLevel="0" collapsed="false">
      <c r="B619" s="1" t="s">
        <v>1188</v>
      </c>
      <c r="C619" s="1" t="n">
        <v>1.95</v>
      </c>
      <c r="O619" s="1" t="s">
        <v>1189</v>
      </c>
    </row>
    <row r="620" customFormat="false" ht="15" hidden="false" customHeight="true" outlineLevel="0" collapsed="false">
      <c r="B620" s="1" t="s">
        <v>1190</v>
      </c>
      <c r="C620" s="1" t="n">
        <v>0.1</v>
      </c>
      <c r="O620" s="1" t="s">
        <v>1191</v>
      </c>
    </row>
    <row r="621" customFormat="false" ht="15" hidden="false" customHeight="true" outlineLevel="0" collapsed="false">
      <c r="B621" s="1" t="s">
        <v>1192</v>
      </c>
      <c r="C621" s="1" t="n">
        <v>0.0443</v>
      </c>
      <c r="O621" s="1" t="s">
        <v>1193</v>
      </c>
    </row>
    <row r="622" customFormat="false" ht="15" hidden="false" customHeight="true" outlineLevel="0" collapsed="false">
      <c r="B622" s="1" t="s">
        <v>1194</v>
      </c>
      <c r="C622" s="1" t="n">
        <v>4.5</v>
      </c>
      <c r="O622" s="1" t="s">
        <v>1195</v>
      </c>
    </row>
    <row r="624" customFormat="false" ht="15" hidden="false" customHeight="true" outlineLevel="0" collapsed="false">
      <c r="B624" s="1" t="s">
        <v>1196</v>
      </c>
      <c r="C624" s="1" t="n">
        <v>41.82</v>
      </c>
      <c r="O624" s="1" t="s">
        <v>1197</v>
      </c>
    </row>
    <row r="625" customFormat="false" ht="15" hidden="false" customHeight="true" outlineLevel="0" collapsed="false">
      <c r="B625" s="1" t="s">
        <v>1198</v>
      </c>
      <c r="C625" s="1" t="n">
        <v>0.82</v>
      </c>
      <c r="O625" s="1" t="s">
        <v>1199</v>
      </c>
    </row>
    <row r="626" customFormat="false" ht="15" hidden="false" customHeight="true" outlineLevel="0" collapsed="false">
      <c r="B626" s="1" t="s">
        <v>1200</v>
      </c>
      <c r="C626" s="1" t="n">
        <v>0.0696</v>
      </c>
      <c r="O626" s="1" t="s">
        <v>1201</v>
      </c>
    </row>
    <row r="627" customFormat="false" ht="15" hidden="false" customHeight="true" outlineLevel="0" collapsed="false">
      <c r="B627" s="1" t="s">
        <v>1202</v>
      </c>
      <c r="C627" s="1" t="n">
        <v>0.0325</v>
      </c>
      <c r="O627" s="1" t="s">
        <v>1203</v>
      </c>
    </row>
    <row r="628" customFormat="false" ht="15" hidden="false" customHeight="true" outlineLevel="0" collapsed="false">
      <c r="B628" s="1" t="s">
        <v>1204</v>
      </c>
      <c r="C628" s="1" t="n">
        <v>1.2</v>
      </c>
      <c r="O628" s="1" t="s">
        <v>1205</v>
      </c>
    </row>
    <row r="630" customFormat="false" ht="15" hidden="false" customHeight="true" outlineLevel="0" collapsed="false">
      <c r="B630" s="1" t="s">
        <v>1206</v>
      </c>
      <c r="C630" s="1" t="n">
        <v>54.32</v>
      </c>
      <c r="O630" s="1" t="s">
        <v>1207</v>
      </c>
    </row>
    <row r="631" customFormat="false" ht="15" hidden="false" customHeight="true" outlineLevel="0" collapsed="false">
      <c r="B631" s="1" t="s">
        <v>1208</v>
      </c>
      <c r="C631" s="1" t="n">
        <v>1.75</v>
      </c>
      <c r="O631" s="1" t="s">
        <v>1209</v>
      </c>
    </row>
    <row r="632" customFormat="false" ht="15" hidden="false" customHeight="true" outlineLevel="0" collapsed="false">
      <c r="B632" s="1" t="s">
        <v>1210</v>
      </c>
      <c r="C632" s="1" t="n">
        <v>0.1259</v>
      </c>
      <c r="O632" s="1" t="s">
        <v>1211</v>
      </c>
    </row>
    <row r="633" customFormat="false" ht="15" hidden="false" customHeight="true" outlineLevel="0" collapsed="false">
      <c r="B633" s="1" t="s">
        <v>1212</v>
      </c>
      <c r="C633" s="1" t="n">
        <v>0.0098</v>
      </c>
      <c r="O633" s="1" t="s">
        <v>1213</v>
      </c>
    </row>
    <row r="634" customFormat="false" ht="15" hidden="false" customHeight="true" outlineLevel="0" collapsed="false">
      <c r="B634" s="1" t="s">
        <v>1214</v>
      </c>
      <c r="C634" s="1" t="n">
        <v>6</v>
      </c>
      <c r="O634" s="1" t="s">
        <v>1215</v>
      </c>
    </row>
    <row r="636" customFormat="false" ht="15" hidden="false" customHeight="true" outlineLevel="0" collapsed="false">
      <c r="B636" s="1" t="s">
        <v>1216</v>
      </c>
      <c r="C636" s="1" t="n">
        <v>61</v>
      </c>
      <c r="O636" s="1" t="s">
        <v>1217</v>
      </c>
    </row>
    <row r="637" customFormat="false" ht="15" hidden="false" customHeight="true" outlineLevel="0" collapsed="false">
      <c r="B637" s="1" t="s">
        <v>1218</v>
      </c>
      <c r="C637" s="1" t="n">
        <v>0.87</v>
      </c>
      <c r="O637" s="1" t="s">
        <v>1219</v>
      </c>
    </row>
    <row r="638" customFormat="false" ht="15" hidden="false" customHeight="true" outlineLevel="0" collapsed="false">
      <c r="B638" s="1" t="s">
        <v>1220</v>
      </c>
      <c r="C638" s="1" t="n">
        <v>0.0925</v>
      </c>
      <c r="O638" s="1" t="s">
        <v>1219</v>
      </c>
    </row>
    <row r="639" customFormat="false" ht="15" hidden="false" customHeight="true" outlineLevel="0" collapsed="false">
      <c r="B639" s="1" t="s">
        <v>1221</v>
      </c>
      <c r="C639" s="1" t="n">
        <v>0.033</v>
      </c>
      <c r="O639" s="1" t="s">
        <v>1219</v>
      </c>
    </row>
    <row r="640" customFormat="false" ht="15" hidden="false" customHeight="true" outlineLevel="0" collapsed="false">
      <c r="B640" s="1" t="s">
        <v>1222</v>
      </c>
      <c r="C640" s="1" t="n">
        <v>2.6</v>
      </c>
      <c r="O640" s="1" t="s">
        <v>1223</v>
      </c>
    </row>
    <row r="642" customFormat="false" ht="15" hidden="false" customHeight="true" outlineLevel="0" collapsed="false">
      <c r="B642" s="1" t="s">
        <v>1224</v>
      </c>
      <c r="C642" s="1" t="n">
        <v>145</v>
      </c>
      <c r="O642" s="1" t="s">
        <v>1225</v>
      </c>
    </row>
    <row r="643" customFormat="false" ht="15" hidden="false" customHeight="true" outlineLevel="0" collapsed="false">
      <c r="B643" s="1" t="s">
        <v>1226</v>
      </c>
      <c r="C643" s="1" t="n">
        <v>8.5</v>
      </c>
      <c r="O643" s="1" t="s">
        <v>1227</v>
      </c>
    </row>
    <row r="644" customFormat="false" ht="15" hidden="false" customHeight="true" outlineLevel="0" collapsed="false">
      <c r="B644" s="1" t="s">
        <v>1228</v>
      </c>
      <c r="C644" s="1" t="n">
        <v>0.25</v>
      </c>
      <c r="O644" s="1" t="s">
        <v>1219</v>
      </c>
    </row>
    <row r="645" customFormat="false" ht="15" hidden="false" customHeight="true" outlineLevel="0" collapsed="false">
      <c r="B645" s="1" t="s">
        <v>1229</v>
      </c>
      <c r="C645" s="1" t="n">
        <v>0.0083</v>
      </c>
      <c r="O645" s="1" t="s">
        <v>1223</v>
      </c>
    </row>
    <row r="646" customFormat="false" ht="15" hidden="false" customHeight="true" outlineLevel="0" collapsed="false">
      <c r="B646" s="1" t="s">
        <v>1230</v>
      </c>
      <c r="C646" s="1" t="n">
        <v>3.5</v>
      </c>
      <c r="O646" s="1" t="s">
        <v>1223</v>
      </c>
    </row>
    <row r="648" customFormat="false" ht="15" hidden="false" customHeight="true" outlineLevel="0" collapsed="false">
      <c r="B648" s="1" t="s">
        <v>1231</v>
      </c>
      <c r="C648" s="1" t="n">
        <v>22.5</v>
      </c>
      <c r="O648" s="1" t="s">
        <v>1232</v>
      </c>
    </row>
    <row r="649" customFormat="false" ht="15" hidden="false" customHeight="true" outlineLevel="0" collapsed="false">
      <c r="B649" s="1" t="s">
        <v>1233</v>
      </c>
      <c r="C649" s="1" t="n">
        <v>1.65</v>
      </c>
      <c r="O649" s="1" t="s">
        <v>1219</v>
      </c>
    </row>
    <row r="650" customFormat="false" ht="15" hidden="false" customHeight="true" outlineLevel="0" collapsed="false">
      <c r="B650" s="1" t="s">
        <v>1234</v>
      </c>
      <c r="C650" s="1" t="n">
        <v>0.05</v>
      </c>
      <c r="O650" s="1" t="s">
        <v>1219</v>
      </c>
    </row>
    <row r="651" customFormat="false" ht="15" hidden="false" customHeight="true" outlineLevel="0" collapsed="false">
      <c r="B651" s="1" t="s">
        <v>1235</v>
      </c>
      <c r="C651" s="1" t="n">
        <v>0</v>
      </c>
      <c r="O651" s="1" t="s">
        <v>1236</v>
      </c>
    </row>
    <row r="652" customFormat="false" ht="15" hidden="false" customHeight="true" outlineLevel="0" collapsed="false">
      <c r="B652" s="1" t="s">
        <v>1237</v>
      </c>
      <c r="C652" s="1" t="n">
        <v>1.9</v>
      </c>
      <c r="O652" s="1" t="s">
        <v>1223</v>
      </c>
    </row>
    <row r="654" customFormat="false" ht="15" hidden="false" customHeight="true" outlineLevel="0" collapsed="false">
      <c r="B654" s="1" t="s">
        <v>1238</v>
      </c>
      <c r="C654" s="1" t="n">
        <f aca="false">'Residual Income'!F24</f>
        <v>0.119459309672398</v>
      </c>
      <c r="O654" s="1" t="s">
        <v>1239</v>
      </c>
    </row>
    <row r="660" customFormat="false" ht="15" hidden="false" customHeight="true" outlineLevel="0" collapsed="false">
      <c r="B660" s="1" t="s">
        <v>1240</v>
      </c>
      <c r="C660" s="1" t="n">
        <v>0</v>
      </c>
      <c r="O660" s="1" t="s">
        <v>1241</v>
      </c>
    </row>
    <row r="661" customFormat="false" ht="15" hidden="false" customHeight="true" outlineLevel="0" collapsed="false">
      <c r="B661" s="1" t="s">
        <v>1242</v>
      </c>
      <c r="C661" s="1" t="n">
        <v>0</v>
      </c>
      <c r="O661" s="1" t="s">
        <v>1243</v>
      </c>
    </row>
    <row r="662" customFormat="false" ht="15" hidden="false" customHeight="true" outlineLevel="0" collapsed="false">
      <c r="B662" s="1" t="s">
        <v>1244</v>
      </c>
      <c r="C662" s="1" t="n">
        <v>0</v>
      </c>
      <c r="O662" s="1" t="s">
        <v>1245</v>
      </c>
    </row>
    <row r="665" customFormat="false" ht="15" hidden="false" customHeight="true" outlineLevel="0" collapsed="false">
      <c r="A665" s="27" t="s">
        <v>11</v>
      </c>
      <c r="B665" s="27" t="s">
        <v>1246</v>
      </c>
      <c r="O665" s="17" t="s">
        <v>1247</v>
      </c>
    </row>
    <row r="666" customFormat="false" ht="15" hidden="false" customHeight="true" outlineLevel="0" collapsed="false">
      <c r="B666" s="17" t="s">
        <v>1248</v>
      </c>
      <c r="C666" s="44" t="n">
        <v>5</v>
      </c>
      <c r="O666" s="17" t="s">
        <v>1249</v>
      </c>
    </row>
    <row r="667" customFormat="false" ht="15" hidden="false" customHeight="true" outlineLevel="0" collapsed="false">
      <c r="B667" s="17" t="s">
        <v>1250</v>
      </c>
      <c r="C667" s="44" t="n">
        <v>8</v>
      </c>
      <c r="O667" s="17" t="s">
        <v>1251</v>
      </c>
    </row>
    <row r="668" customFormat="false" ht="15" hidden="false" customHeight="true" outlineLevel="0" collapsed="false">
      <c r="B668" s="17" t="s">
        <v>1252</v>
      </c>
      <c r="C668" s="44" t="n">
        <v>11</v>
      </c>
      <c r="O668" s="17" t="s">
        <v>1253</v>
      </c>
    </row>
    <row r="669" customFormat="false" ht="15" hidden="false" customHeight="true" outlineLevel="0" collapsed="false">
      <c r="B669" s="17" t="s">
        <v>1254</v>
      </c>
      <c r="C669" s="44" t="n">
        <v>14</v>
      </c>
      <c r="O669" s="17" t="s">
        <v>1255</v>
      </c>
    </row>
    <row r="670" customFormat="false" ht="15" hidden="false" customHeight="true" outlineLevel="0" collapsed="false">
      <c r="B670" s="17" t="s">
        <v>1256</v>
      </c>
      <c r="C670" s="44" t="n">
        <v>17</v>
      </c>
      <c r="O670" s="17" t="s">
        <v>1257</v>
      </c>
    </row>
    <row r="671" customFormat="false" ht="15" hidden="false" customHeight="true" outlineLevel="0" collapsed="false">
      <c r="B671" s="17" t="s">
        <v>1258</v>
      </c>
      <c r="C671" s="44" t="n">
        <v>25</v>
      </c>
      <c r="O671" s="17" t="s">
        <v>1259</v>
      </c>
    </row>
    <row r="672" customFormat="false" ht="15" hidden="false" customHeight="true" outlineLevel="0" collapsed="false">
      <c r="B672" s="17" t="s">
        <v>1260</v>
      </c>
      <c r="C672" s="44" t="n">
        <v>17</v>
      </c>
      <c r="O672" s="17" t="s">
        <v>1261</v>
      </c>
    </row>
    <row r="673" customFormat="false" ht="15" hidden="false" customHeight="true" outlineLevel="0" collapsed="false">
      <c r="B673" s="17" t="s">
        <v>1262</v>
      </c>
      <c r="C673" s="44" t="n">
        <v>36</v>
      </c>
      <c r="O673" s="17" t="s">
        <v>1263</v>
      </c>
    </row>
    <row r="674" customFormat="false" ht="15" hidden="false" customHeight="true" outlineLevel="0" collapsed="false">
      <c r="B674" s="17" t="s">
        <v>1264</v>
      </c>
      <c r="C674" s="44" t="n">
        <v>42625</v>
      </c>
      <c r="O674" s="17" t="s">
        <v>1265</v>
      </c>
    </row>
    <row r="675" customFormat="false" ht="15" hidden="false" customHeight="true" outlineLevel="0" collapsed="false">
      <c r="B675" s="17" t="s">
        <v>1266</v>
      </c>
      <c r="C675" s="44" t="n">
        <v>5000</v>
      </c>
      <c r="O675" s="17" t="s">
        <v>1267</v>
      </c>
    </row>
    <row r="677" customFormat="false" ht="15" hidden="false" customHeight="true" outlineLevel="0" collapsed="false">
      <c r="A677" s="27" t="s">
        <v>11</v>
      </c>
      <c r="B677" s="27" t="s">
        <v>1268</v>
      </c>
      <c r="O677" s="17" t="s">
        <v>1269</v>
      </c>
    </row>
    <row r="678" customFormat="false" ht="15" hidden="false" customHeight="true" outlineLevel="0" collapsed="false">
      <c r="A678" s="27" t="s">
        <v>11</v>
      </c>
      <c r="B678" s="27" t="s">
        <v>1270</v>
      </c>
      <c r="O678" s="17" t="s">
        <v>1271</v>
      </c>
    </row>
    <row r="679" customFormat="false" ht="15" hidden="false" customHeight="true" outlineLevel="0" collapsed="false">
      <c r="A679" s="27" t="s">
        <v>11</v>
      </c>
      <c r="B679" s="27" t="s">
        <v>1272</v>
      </c>
      <c r="O679" s="17" t="s">
        <v>1273</v>
      </c>
    </row>
    <row r="680" customFormat="false" ht="15" hidden="false" customHeight="true" outlineLevel="0" collapsed="false">
      <c r="B680" s="17" t="s">
        <v>1274</v>
      </c>
      <c r="C680" s="17" t="n">
        <f aca="false">AVERAGE(Historicals!D28:I28)</f>
        <v>105.166666666667</v>
      </c>
      <c r="O680" s="17" t="s">
        <v>1275</v>
      </c>
    </row>
    <row r="681" customFormat="false" ht="15" hidden="false" customHeight="true" outlineLevel="0" collapsed="false">
      <c r="A681" s="27" t="s">
        <v>11</v>
      </c>
      <c r="B681" s="27" t="s">
        <v>1276</v>
      </c>
      <c r="O681" s="17" t="s">
        <v>1277</v>
      </c>
    </row>
    <row r="682" customFormat="false" ht="15" hidden="false" customHeight="true" outlineLevel="0" collapsed="false">
      <c r="B682" s="17" t="s">
        <v>1278</v>
      </c>
      <c r="C682" s="44" t="n">
        <v>235.57</v>
      </c>
      <c r="O682" s="17" t="s">
        <v>1279</v>
      </c>
    </row>
    <row r="683" customFormat="false" ht="15" hidden="false" customHeight="true" outlineLevel="0" collapsed="false">
      <c r="B683" s="17" t="s">
        <v>1280</v>
      </c>
      <c r="C683" s="44" t="n">
        <v>3.14</v>
      </c>
      <c r="O683" s="17" t="s">
        <v>1281</v>
      </c>
    </row>
    <row r="684" customFormat="false" ht="15" hidden="false" customHeight="true" outlineLevel="0" collapsed="false">
      <c r="B684" s="17" t="s">
        <v>1282</v>
      </c>
      <c r="C684" s="44" t="n">
        <v>0.167</v>
      </c>
      <c r="O684" s="17" t="s">
        <v>1283</v>
      </c>
    </row>
    <row r="685" customFormat="false" ht="15" hidden="false" customHeight="true" outlineLevel="0" collapsed="false">
      <c r="B685" s="17" t="s">
        <v>1284</v>
      </c>
      <c r="C685" s="44" t="n">
        <v>0.0172</v>
      </c>
      <c r="O685" s="17" t="s">
        <v>1285</v>
      </c>
    </row>
    <row r="686" customFormat="false" ht="15" hidden="false" customHeight="true" outlineLevel="0" collapsed="false">
      <c r="B686" s="17" t="s">
        <v>1286</v>
      </c>
      <c r="C686" s="44" t="n">
        <v>2.94</v>
      </c>
      <c r="O686" s="17" t="s">
        <v>1287</v>
      </c>
    </row>
    <row r="687" customFormat="false" ht="15" hidden="false" customHeight="true" outlineLevel="0" collapsed="false">
      <c r="B687" s="17" t="s">
        <v>1288</v>
      </c>
      <c r="C687" s="44" t="n">
        <v>113.23</v>
      </c>
      <c r="O687" s="17" t="s">
        <v>1289</v>
      </c>
    </row>
    <row r="688" customFormat="false" ht="15" hidden="false" customHeight="true" outlineLevel="0" collapsed="false">
      <c r="B688" s="17" t="s">
        <v>1290</v>
      </c>
      <c r="C688" s="44" t="n">
        <v>2.22</v>
      </c>
      <c r="O688" s="17" t="s">
        <v>1291</v>
      </c>
    </row>
    <row r="689" customFormat="false" ht="15" hidden="false" customHeight="true" outlineLevel="0" collapsed="false">
      <c r="B689" s="17" t="s">
        <v>1292</v>
      </c>
      <c r="C689" s="44" t="n">
        <v>0.1269</v>
      </c>
      <c r="O689" s="17" t="s">
        <v>1293</v>
      </c>
    </row>
    <row r="690" customFormat="false" ht="15" hidden="false" customHeight="true" outlineLevel="0" collapsed="false">
      <c r="B690" s="17" t="s">
        <v>1294</v>
      </c>
      <c r="C690" s="44" t="n">
        <v>0.0175</v>
      </c>
      <c r="O690" s="17" t="s">
        <v>1295</v>
      </c>
    </row>
    <row r="691" customFormat="false" ht="15" hidden="false" customHeight="true" outlineLevel="0" collapsed="false">
      <c r="B691" s="17" t="s">
        <v>1296</v>
      </c>
      <c r="C691" s="44" t="n">
        <v>0.47</v>
      </c>
      <c r="O691" s="17" t="s">
        <v>1297</v>
      </c>
    </row>
    <row r="692" customFormat="false" ht="15" hidden="false" customHeight="true" outlineLevel="0" collapsed="false">
      <c r="B692" s="17" t="s">
        <v>1298</v>
      </c>
      <c r="C692" s="44" t="n">
        <v>27</v>
      </c>
      <c r="O692" s="17" t="s">
        <v>1299</v>
      </c>
    </row>
    <row r="693" customFormat="false" ht="15" hidden="false" customHeight="true" outlineLevel="0" collapsed="false">
      <c r="B693" s="17" t="s">
        <v>1300</v>
      </c>
      <c r="C693" s="44" t="n">
        <v>0.82</v>
      </c>
      <c r="O693" s="17" t="s">
        <v>1301</v>
      </c>
    </row>
    <row r="694" customFormat="false" ht="15" hidden="false" customHeight="true" outlineLevel="0" collapsed="false">
      <c r="B694" s="17" t="s">
        <v>1302</v>
      </c>
      <c r="C694" s="44" t="n">
        <v>0.2135</v>
      </c>
      <c r="O694" s="17" t="s">
        <v>1303</v>
      </c>
    </row>
    <row r="695" customFormat="false" ht="15" hidden="false" customHeight="true" outlineLevel="0" collapsed="false">
      <c r="B695" s="17" t="s">
        <v>1304</v>
      </c>
      <c r="C695" s="44" t="n">
        <v>0.0564</v>
      </c>
      <c r="O695" s="17" t="s">
        <v>1305</v>
      </c>
    </row>
    <row r="696" customFormat="false" ht="15" hidden="false" customHeight="true" outlineLevel="0" collapsed="false">
      <c r="B696" s="17" t="s">
        <v>1306</v>
      </c>
      <c r="C696" s="44" t="n">
        <v>0.35</v>
      </c>
      <c r="O696" s="17" t="s">
        <v>1307</v>
      </c>
    </row>
    <row r="697" customFormat="false" ht="15" hidden="false" customHeight="true" outlineLevel="0" collapsed="false">
      <c r="B697" s="17" t="s">
        <v>1308</v>
      </c>
      <c r="C697" s="44" t="n">
        <v>61</v>
      </c>
      <c r="O697" s="17" t="s">
        <v>1309</v>
      </c>
    </row>
    <row r="698" customFormat="false" ht="15" hidden="false" customHeight="true" outlineLevel="0" collapsed="false">
      <c r="B698" s="17" t="s">
        <v>1310</v>
      </c>
      <c r="C698" s="44" t="n">
        <v>0.86</v>
      </c>
      <c r="O698" s="17" t="s">
        <v>1311</v>
      </c>
    </row>
    <row r="699" customFormat="false" ht="15" hidden="false" customHeight="true" outlineLevel="0" collapsed="false">
      <c r="B699" s="17" t="s">
        <v>1312</v>
      </c>
      <c r="C699" s="44" t="n">
        <v>0.1022</v>
      </c>
      <c r="O699" s="17" t="s">
        <v>1313</v>
      </c>
    </row>
    <row r="700" customFormat="false" ht="15" hidden="false" customHeight="true" outlineLevel="0" collapsed="false">
      <c r="B700" s="17" t="s">
        <v>1314</v>
      </c>
      <c r="C700" s="44" t="n">
        <v>0.0135</v>
      </c>
      <c r="O700" s="17" t="s">
        <v>1315</v>
      </c>
    </row>
    <row r="701" customFormat="false" ht="15" hidden="false" customHeight="true" outlineLevel="0" collapsed="false">
      <c r="B701" s="17" t="s">
        <v>1316</v>
      </c>
      <c r="C701" s="44" t="n">
        <v>2.32</v>
      </c>
      <c r="O701" s="17" t="s">
        <v>1317</v>
      </c>
    </row>
    <row r="703" customFormat="false" ht="15" hidden="false" customHeight="true" outlineLevel="0" collapsed="false">
      <c r="B703" s="1" t="s">
        <v>1318</v>
      </c>
    </row>
    <row r="704" customFormat="false" ht="15" hidden="false" customHeight="true" outlineLevel="0" collapsed="false">
      <c r="B704" s="1" t="s">
        <v>1319</v>
      </c>
      <c r="C704" s="34" t="n">
        <f aca="false">CHOOSE(Drivers!$C$736,Drivers!$D$744,Drivers!$E$744,Drivers!$F$744)</f>
        <v>0.02</v>
      </c>
      <c r="O704" s="1" t="s">
        <v>1320</v>
      </c>
    </row>
    <row r="705" customFormat="false" ht="15" hidden="false" customHeight="true" outlineLevel="0" collapsed="false">
      <c r="B705" s="1" t="s">
        <v>1321</v>
      </c>
      <c r="C705" s="34" t="n">
        <f aca="false">CHOOSE(Drivers!$C$736,Drivers!$D$760,Drivers!$E$760,Drivers!$F$760)</f>
        <v>0.01</v>
      </c>
      <c r="O705" s="1" t="s">
        <v>1322</v>
      </c>
    </row>
    <row r="706" customFormat="false" ht="15" hidden="false" customHeight="true" outlineLevel="0" collapsed="false">
      <c r="B706" s="1" t="s">
        <v>1323</v>
      </c>
      <c r="C706" s="34" t="n">
        <f aca="false">C397</f>
        <v>0.035</v>
      </c>
      <c r="O706" s="1" t="s">
        <v>1324</v>
      </c>
    </row>
    <row r="707" customFormat="false" ht="15" hidden="false" customHeight="true" outlineLevel="0" collapsed="false">
      <c r="B707" s="1" t="s">
        <v>1325</v>
      </c>
      <c r="C707" s="17" t="n">
        <f aca="false">C674</f>
        <v>42625</v>
      </c>
      <c r="O707" s="1" t="s">
        <v>1326</v>
      </c>
    </row>
    <row r="708" customFormat="false" ht="15" hidden="false" customHeight="true" outlineLevel="0" collapsed="false">
      <c r="B708" s="1" t="s">
        <v>1327</v>
      </c>
      <c r="C708" s="17" t="n">
        <f aca="false">'3 Statement Forecast'!$I$39/(-'3 Statement Forecast'!$I$19)</f>
        <v>24.93125</v>
      </c>
      <c r="D708" s="1" t="s">
        <v>1328</v>
      </c>
      <c r="O708" s="1" t="s">
        <v>1329</v>
      </c>
    </row>
    <row r="709" customFormat="false" ht="15" hidden="false" customHeight="true" outlineLevel="0" collapsed="false">
      <c r="B709" s="1" t="s">
        <v>1330</v>
      </c>
      <c r="C709" s="17" t="n">
        <f aca="false">'3 Statement Forecast'!$I$47/('3 Statement Forecast'!$I$47+'3 Statement Forecast'!$I$58)</f>
        <v>0.801825070057304</v>
      </c>
      <c r="O709" s="1" t="s">
        <v>1331</v>
      </c>
    </row>
    <row r="710" customFormat="false" ht="15" hidden="false" customHeight="true" outlineLevel="0" collapsed="false">
      <c r="B710" s="1" t="s">
        <v>1332</v>
      </c>
      <c r="C710" s="44" t="n">
        <v>0.15</v>
      </c>
      <c r="O710" s="1" t="s">
        <v>1333</v>
      </c>
    </row>
    <row r="711" customFormat="false" ht="15" hidden="false" customHeight="true" outlineLevel="0" collapsed="false">
      <c r="B711" s="1" t="s">
        <v>1334</v>
      </c>
    </row>
    <row r="712" customFormat="false" ht="15" hidden="false" customHeight="true" outlineLevel="0" collapsed="false">
      <c r="B712" s="1" t="s">
        <v>1335</v>
      </c>
    </row>
    <row r="713" customFormat="false" ht="15" hidden="false" customHeight="true" outlineLevel="0" collapsed="false">
      <c r="B713" s="1" t="s">
        <v>1336</v>
      </c>
      <c r="O713" s="1" t="s">
        <v>1337</v>
      </c>
    </row>
    <row r="714" customFormat="false" ht="15" hidden="false" customHeight="true" outlineLevel="0" collapsed="false">
      <c r="B714" s="1" t="s">
        <v>1338</v>
      </c>
      <c r="C714" s="1" t="n">
        <f aca="false">Drivers!$C$179*(1+Drivers!$C$397)</f>
        <v>168.4773</v>
      </c>
      <c r="O714" s="1" t="s">
        <v>1339</v>
      </c>
    </row>
    <row r="715" customFormat="false" ht="15" hidden="false" customHeight="true" outlineLevel="0" collapsed="false">
      <c r="B715" s="1" t="s">
        <v>1340</v>
      </c>
      <c r="C715" s="1" t="n">
        <f aca="false">Drivers!$C$714*(1+Drivers!$C$397)</f>
        <v>174.3740055</v>
      </c>
      <c r="O715" s="1" t="s">
        <v>1341</v>
      </c>
    </row>
    <row r="716" customFormat="false" ht="15" hidden="false" customHeight="true" outlineLevel="0" collapsed="false">
      <c r="B716" s="1" t="s">
        <v>1342</v>
      </c>
      <c r="C716" s="1" t="n">
        <f aca="false">Drivers!$C$715*(1+Drivers!$C$397)</f>
        <v>180.4770956925</v>
      </c>
      <c r="O716" s="1" t="s">
        <v>1343</v>
      </c>
    </row>
    <row r="717" customFormat="false" ht="15" hidden="false" customHeight="true" outlineLevel="0" collapsed="false">
      <c r="B717" s="1" t="s">
        <v>1344</v>
      </c>
      <c r="C717" s="1" t="n">
        <f aca="false">Drivers!$C$716*(1+Drivers!$C$397)</f>
        <v>186.793794041737</v>
      </c>
      <c r="O717" s="1" t="s">
        <v>1345</v>
      </c>
    </row>
    <row r="718" customFormat="false" ht="15" hidden="false" customHeight="true" outlineLevel="0" collapsed="false">
      <c r="B718" s="1" t="s">
        <v>1346</v>
      </c>
      <c r="C718" s="1" t="n">
        <f aca="false">Drivers!$C$717*(1+Drivers!$C$397)</f>
        <v>193.331576833198</v>
      </c>
      <c r="O718" s="1" t="s">
        <v>1347</v>
      </c>
    </row>
    <row r="719" customFormat="false" ht="15" hidden="false" customHeight="true" outlineLevel="0" collapsed="false">
      <c r="B719" s="1" t="s">
        <v>1348</v>
      </c>
      <c r="C719" s="1" t="n">
        <f aca="false">Drivers!$C$718*(1+Drivers!$C$397)</f>
        <v>200.09818202236</v>
      </c>
      <c r="O719" s="1" t="s">
        <v>1349</v>
      </c>
    </row>
    <row r="720" customFormat="false" ht="15" hidden="false" customHeight="true" outlineLevel="0" collapsed="false">
      <c r="B720" s="1" t="s">
        <v>1350</v>
      </c>
      <c r="C720" s="1" t="n">
        <f aca="false">Drivers!$C$719*(1+Drivers!$C$397)</f>
        <v>207.101618393143</v>
      </c>
      <c r="O720" s="1" t="s">
        <v>1351</v>
      </c>
    </row>
    <row r="721" customFormat="false" ht="15" hidden="false" customHeight="true" outlineLevel="0" collapsed="false">
      <c r="B721" s="1" t="s">
        <v>1352</v>
      </c>
      <c r="C721" s="1" t="n">
        <f aca="false">Drivers!$C$720*(1+Drivers!$C$397)</f>
        <v>214.350175036903</v>
      </c>
      <c r="O721" s="1" t="s">
        <v>1353</v>
      </c>
    </row>
    <row r="722" customFormat="false" ht="15" hidden="false" customHeight="true" outlineLevel="0" collapsed="false">
      <c r="B722" s="1" t="s">
        <v>1354</v>
      </c>
      <c r="C722" s="1" t="n">
        <f aca="false">Drivers!$C$721*(1+Drivers!$C$397)</f>
        <v>221.852431163194</v>
      </c>
      <c r="O722" s="1" t="s">
        <v>1355</v>
      </c>
    </row>
    <row r="723" customFormat="false" ht="15" hidden="false" customHeight="true" outlineLevel="0" collapsed="false">
      <c r="B723" s="1" t="s">
        <v>1356</v>
      </c>
      <c r="C723" s="1" t="n">
        <f aca="false">Drivers!$C$722*(1+Drivers!$C$397)</f>
        <v>229.617266253906</v>
      </c>
      <c r="O723" s="1" t="s">
        <v>1357</v>
      </c>
    </row>
    <row r="724" customFormat="false" ht="15" hidden="false" customHeight="true" outlineLevel="0" collapsed="false">
      <c r="B724" s="1" t="s">
        <v>1358</v>
      </c>
      <c r="C724" s="1" t="n">
        <f aca="false">-'3 Statement Forecast'!E85/Drivers!$C$714</f>
        <v>0.593551772256559</v>
      </c>
      <c r="O724" s="1" t="s">
        <v>1359</v>
      </c>
    </row>
    <row r="725" customFormat="false" ht="15" hidden="false" customHeight="true" outlineLevel="0" collapsed="false">
      <c r="B725" s="1" t="s">
        <v>1360</v>
      </c>
      <c r="C725" s="1" t="n">
        <f aca="false">-'3 Statement Forecast'!F85/Drivers!$C$715</f>
        <v>0.573479973194743</v>
      </c>
      <c r="O725" s="1" t="s">
        <v>1361</v>
      </c>
    </row>
    <row r="726" customFormat="false" ht="15" hidden="false" customHeight="true" outlineLevel="0" collapsed="false">
      <c r="B726" s="1" t="s">
        <v>1362</v>
      </c>
      <c r="C726" s="1" t="n">
        <f aca="false">-'3 Statement Forecast'!G85/Drivers!$C$716</f>
        <v>0.55408693062294</v>
      </c>
      <c r="O726" s="1" t="s">
        <v>1363</v>
      </c>
    </row>
    <row r="727" customFormat="false" ht="15" hidden="false" customHeight="true" outlineLevel="0" collapsed="false">
      <c r="B727" s="1" t="s">
        <v>1364</v>
      </c>
      <c r="C727" s="1" t="n">
        <f aca="false">-'3 Statement Forecast'!H85/Drivers!$C$717</f>
        <v>0.535349691423131</v>
      </c>
      <c r="O727" s="1" t="s">
        <v>1365</v>
      </c>
    </row>
    <row r="728" customFormat="false" ht="15" hidden="false" customHeight="true" outlineLevel="0" collapsed="false">
      <c r="B728" s="1" t="s">
        <v>1366</v>
      </c>
      <c r="C728" s="1" t="n">
        <f aca="false">-'3 Statement Forecast'!I85/Drivers!$C$718</f>
        <v>0.517246078669692</v>
      </c>
      <c r="O728" s="1" t="s">
        <v>1367</v>
      </c>
    </row>
    <row r="729" customFormat="false" ht="15" hidden="false" customHeight="true" outlineLevel="0" collapsed="false">
      <c r="B729" s="1" t="s">
        <v>1368</v>
      </c>
      <c r="C729" s="1" t="n">
        <f aca="false">-'3 Statement Forecast'!J85/Drivers!$C$719</f>
        <v>0.521371615365109</v>
      </c>
      <c r="O729" s="1" t="s">
        <v>1369</v>
      </c>
    </row>
    <row r="730" customFormat="false" ht="15" hidden="false" customHeight="true" outlineLevel="0" collapsed="false">
      <c r="B730" s="1" t="s">
        <v>1370</v>
      </c>
      <c r="C730" s="1" t="n">
        <f aca="false">-'3 Statement Forecast'!K85/Drivers!$C$720</f>
        <v>0.511816569086475</v>
      </c>
      <c r="O730" s="1" t="s">
        <v>1371</v>
      </c>
    </row>
    <row r="731" customFormat="false" ht="15" hidden="false" customHeight="true" outlineLevel="0" collapsed="false">
      <c r="B731" s="1" t="s">
        <v>1372</v>
      </c>
      <c r="C731" s="1" t="n">
        <f aca="false">-'3 Statement Forecast'!L85/Drivers!$C$721</f>
        <v>0.509242602834485</v>
      </c>
      <c r="O731" s="1" t="s">
        <v>1373</v>
      </c>
    </row>
    <row r="732" customFormat="false" ht="15" hidden="false" customHeight="true" outlineLevel="0" collapsed="false">
      <c r="B732" s="1" t="s">
        <v>1374</v>
      </c>
      <c r="C732" s="1" t="n">
        <f aca="false">-'3 Statement Forecast'!M85/Drivers!$C$722</f>
        <v>0.509226991659589</v>
      </c>
      <c r="O732" s="1" t="s">
        <v>1375</v>
      </c>
    </row>
    <row r="733" customFormat="false" ht="15" hidden="false" customHeight="true" outlineLevel="0" collapsed="false">
      <c r="B733" s="1" t="s">
        <v>1376</v>
      </c>
      <c r="C733" s="1" t="n">
        <f aca="false">-'3 Statement Forecast'!N85/Drivers!$C$723</f>
        <v>0.511561386369345</v>
      </c>
      <c r="O733" s="1" t="s">
        <v>1377</v>
      </c>
    </row>
    <row r="735" customFormat="false" ht="15" hidden="false" customHeight="true" outlineLevel="0" collapsed="false">
      <c r="A735" s="1" t="s">
        <v>11</v>
      </c>
      <c r="B735" s="27" t="s">
        <v>1378</v>
      </c>
      <c r="O735" s="3" t="s">
        <v>1379</v>
      </c>
    </row>
    <row r="736" customFormat="false" ht="15" hidden="false" customHeight="true" outlineLevel="0" collapsed="false">
      <c r="B736" s="17" t="s">
        <v>1380</v>
      </c>
      <c r="C736" s="44" t="n">
        <v>2</v>
      </c>
      <c r="O736" s="3" t="s">
        <v>1381</v>
      </c>
    </row>
    <row r="738" customFormat="false" ht="15" hidden="false" customHeight="true" outlineLevel="0" collapsed="false">
      <c r="B738" s="27" t="s">
        <v>169</v>
      </c>
      <c r="C738" s="27" t="s">
        <v>1382</v>
      </c>
      <c r="D738" s="27" t="s">
        <v>1383</v>
      </c>
      <c r="E738" s="27" t="s">
        <v>1384</v>
      </c>
      <c r="F738" s="27" t="s">
        <v>1385</v>
      </c>
      <c r="O738" s="27" t="s">
        <v>1386</v>
      </c>
    </row>
    <row r="740" customFormat="false" ht="15" hidden="false" customHeight="true" outlineLevel="0" collapsed="false">
      <c r="B740" s="17" t="s">
        <v>224</v>
      </c>
      <c r="C740" s="3" t="s">
        <v>1387</v>
      </c>
      <c r="D740" s="33" t="n">
        <v>0.1</v>
      </c>
      <c r="E740" s="33" t="n">
        <v>0.15</v>
      </c>
      <c r="F740" s="33" t="n">
        <v>0.15</v>
      </c>
      <c r="O740" s="3" t="s">
        <v>1388</v>
      </c>
    </row>
    <row r="741" customFormat="false" ht="15" hidden="false" customHeight="true" outlineLevel="0" collapsed="false">
      <c r="B741" s="17" t="s">
        <v>226</v>
      </c>
      <c r="C741" s="3" t="s">
        <v>1389</v>
      </c>
      <c r="D741" s="33" t="n">
        <v>0.05</v>
      </c>
      <c r="E741" s="33" t="n">
        <v>0.1</v>
      </c>
      <c r="F741" s="33" t="n">
        <v>0.15</v>
      </c>
      <c r="O741" s="3" t="s">
        <v>1390</v>
      </c>
    </row>
    <row r="742" customFormat="false" ht="15" hidden="false" customHeight="true" outlineLevel="0" collapsed="false">
      <c r="B742" s="17" t="s">
        <v>227</v>
      </c>
      <c r="C742" s="3" t="s">
        <v>1391</v>
      </c>
      <c r="D742" s="33" t="n">
        <v>0</v>
      </c>
      <c r="E742" s="33" t="n">
        <v>0.05</v>
      </c>
      <c r="F742" s="33" t="n">
        <v>0.1</v>
      </c>
      <c r="O742" s="3" t="s">
        <v>1392</v>
      </c>
    </row>
    <row r="743" customFormat="false" ht="15" hidden="false" customHeight="true" outlineLevel="0" collapsed="false">
      <c r="B743" s="17" t="s">
        <v>229</v>
      </c>
      <c r="C743" s="3" t="s">
        <v>1393</v>
      </c>
      <c r="D743" s="33" t="n">
        <v>-0.1</v>
      </c>
      <c r="E743" s="33" t="n">
        <v>-0.02</v>
      </c>
      <c r="F743" s="33" t="n">
        <v>0.02</v>
      </c>
      <c r="O743" s="3" t="s">
        <v>1394</v>
      </c>
    </row>
    <row r="744" customFormat="false" ht="15" hidden="false" customHeight="true" outlineLevel="0" collapsed="false">
      <c r="B744" s="17" t="s">
        <v>1319</v>
      </c>
      <c r="C744" s="3" t="s">
        <v>1395</v>
      </c>
      <c r="D744" s="33" t="n">
        <v>0</v>
      </c>
      <c r="E744" s="33" t="n">
        <v>0.02</v>
      </c>
      <c r="F744" s="33" t="n">
        <v>0.03</v>
      </c>
      <c r="O744" s="3" t="s">
        <v>1396</v>
      </c>
    </row>
    <row r="746" customFormat="false" ht="15" hidden="false" customHeight="true" outlineLevel="0" collapsed="false">
      <c r="B746" s="17" t="s">
        <v>231</v>
      </c>
      <c r="C746" s="3" t="s">
        <v>1397</v>
      </c>
      <c r="D746" s="33" t="n">
        <v>0.75</v>
      </c>
      <c r="E746" s="33" t="n">
        <v>0.808</v>
      </c>
      <c r="F746" s="33" t="n">
        <v>0.88</v>
      </c>
      <c r="O746" s="3" t="s">
        <v>1398</v>
      </c>
    </row>
    <row r="747" customFormat="false" ht="15" hidden="false" customHeight="true" outlineLevel="0" collapsed="false">
      <c r="B747" s="17" t="s">
        <v>233</v>
      </c>
      <c r="C747" s="3" t="s">
        <v>1399</v>
      </c>
      <c r="D747" s="33" t="n">
        <v>0.75</v>
      </c>
      <c r="E747" s="33" t="n">
        <v>0.85</v>
      </c>
      <c r="F747" s="33" t="n">
        <v>0.88</v>
      </c>
      <c r="O747" s="3" t="s">
        <v>1400</v>
      </c>
    </row>
    <row r="749" customFormat="false" ht="15" hidden="false" customHeight="true" outlineLevel="0" collapsed="false">
      <c r="B749" s="17" t="s">
        <v>262</v>
      </c>
      <c r="C749" s="3" t="s">
        <v>1401</v>
      </c>
      <c r="D749" s="31" t="n">
        <v>130</v>
      </c>
      <c r="E749" s="31" t="n">
        <v>130</v>
      </c>
      <c r="F749" s="31" t="n">
        <v>175</v>
      </c>
      <c r="O749" s="3" t="s">
        <v>1402</v>
      </c>
    </row>
    <row r="750" customFormat="false" ht="15" hidden="false" customHeight="true" outlineLevel="0" collapsed="false">
      <c r="B750" s="17" t="s">
        <v>266</v>
      </c>
      <c r="C750" s="3" t="s">
        <v>1403</v>
      </c>
      <c r="D750" s="31" t="n">
        <v>100</v>
      </c>
      <c r="E750" s="31" t="n">
        <v>140</v>
      </c>
      <c r="F750" s="31" t="n">
        <v>160</v>
      </c>
      <c r="O750" s="3" t="s">
        <v>1404</v>
      </c>
    </row>
    <row r="751" customFormat="false" ht="15" hidden="false" customHeight="true" outlineLevel="0" collapsed="false">
      <c r="B751" s="17" t="s">
        <v>264</v>
      </c>
      <c r="C751" s="3" t="s">
        <v>1405</v>
      </c>
      <c r="D751" s="31" t="n">
        <v>70</v>
      </c>
      <c r="E751" s="31" t="n">
        <v>70</v>
      </c>
      <c r="F751" s="31" t="n">
        <v>90</v>
      </c>
      <c r="O751" s="3" t="s">
        <v>1406</v>
      </c>
    </row>
    <row r="752" customFormat="false" ht="15" hidden="false" customHeight="true" outlineLevel="0" collapsed="false">
      <c r="B752" s="17" t="s">
        <v>268</v>
      </c>
      <c r="C752" s="3" t="s">
        <v>1407</v>
      </c>
      <c r="D752" s="31" t="n">
        <v>60</v>
      </c>
      <c r="E752" s="31" t="n">
        <v>70</v>
      </c>
      <c r="F752" s="31" t="n">
        <v>90</v>
      </c>
      <c r="O752" s="3" t="s">
        <v>1408</v>
      </c>
    </row>
    <row r="754" customFormat="false" ht="15" hidden="false" customHeight="true" outlineLevel="0" collapsed="false">
      <c r="B754" s="17" t="s">
        <v>454</v>
      </c>
      <c r="C754" s="3" t="s">
        <v>1409</v>
      </c>
      <c r="D754" s="33" t="n">
        <v>0.2</v>
      </c>
      <c r="E754" s="33" t="n">
        <v>0.25</v>
      </c>
      <c r="F754" s="33" t="n">
        <v>0.3</v>
      </c>
      <c r="O754" s="3" t="s">
        <v>1410</v>
      </c>
    </row>
    <row r="756" customFormat="false" ht="15" hidden="false" customHeight="true" outlineLevel="0" collapsed="false">
      <c r="B756" s="17" t="s">
        <v>334</v>
      </c>
      <c r="C756" s="3" t="s">
        <v>1411</v>
      </c>
      <c r="D756" s="33" t="n">
        <v>0.06</v>
      </c>
      <c r="E756" s="33" t="n">
        <v>0.053</v>
      </c>
      <c r="F756" s="33" t="n">
        <v>0.048</v>
      </c>
      <c r="O756" s="3" t="s">
        <v>1412</v>
      </c>
    </row>
    <row r="758" customFormat="false" ht="15" hidden="false" customHeight="true" outlineLevel="0" collapsed="false">
      <c r="B758" s="17" t="s">
        <v>360</v>
      </c>
      <c r="C758" s="3" t="s">
        <v>1413</v>
      </c>
      <c r="D758" s="31" t="n">
        <v>110</v>
      </c>
      <c r="E758" s="31" t="n">
        <v>130</v>
      </c>
      <c r="F758" s="31" t="n">
        <v>150</v>
      </c>
      <c r="O758" s="3" t="s">
        <v>1414</v>
      </c>
    </row>
    <row r="760" customFormat="false" ht="15" hidden="false" customHeight="true" outlineLevel="0" collapsed="false">
      <c r="B760" s="17" t="s">
        <v>1321</v>
      </c>
      <c r="C760" s="3" t="s">
        <v>1415</v>
      </c>
      <c r="D760" s="33" t="n">
        <v>0</v>
      </c>
      <c r="E760" s="33" t="n">
        <v>0.01</v>
      </c>
      <c r="F760" s="33" t="n">
        <v>0.02</v>
      </c>
      <c r="O760" s="3" t="s">
        <v>1416</v>
      </c>
    </row>
    <row r="762" customFormat="false" ht="15" hidden="false" customHeight="true" outlineLevel="0" collapsed="false">
      <c r="B762" s="17" t="s">
        <v>1417</v>
      </c>
      <c r="C762" s="3" t="s">
        <v>1418</v>
      </c>
      <c r="D762" s="45" t="n">
        <f aca="false">Valuation!D19</f>
        <v>14.78</v>
      </c>
      <c r="E762" s="45" t="n">
        <f aca="false">Valuation!D20</f>
        <v>16.34</v>
      </c>
      <c r="F762" s="45" t="n">
        <f aca="false">Valuation!D21</f>
        <v>17.6875</v>
      </c>
      <c r="O762" s="3" t="s">
        <v>1419</v>
      </c>
    </row>
    <row r="763" customFormat="false" ht="15" hidden="false" customHeight="true" outlineLevel="0" collapsed="false">
      <c r="B763" s="1" t="s">
        <v>1420</v>
      </c>
      <c r="C763" s="1" t="n">
        <v>0</v>
      </c>
      <c r="D763" s="1" t="s">
        <v>1421</v>
      </c>
      <c r="O763" s="1" t="s">
        <v>1422</v>
      </c>
    </row>
    <row r="764" customFormat="false" ht="15" hidden="false" customHeight="true" outlineLevel="0" collapsed="false">
      <c r="B764" s="1" t="s">
        <v>1423</v>
      </c>
      <c r="C764" s="1" t="n">
        <v>0.97</v>
      </c>
      <c r="D764" s="1" t="s">
        <v>1424</v>
      </c>
      <c r="O764" s="1" t="s">
        <v>1425</v>
      </c>
    </row>
    <row r="765" customFormat="false" ht="15" hidden="false" customHeight="true" outlineLevel="0" collapsed="false">
      <c r="B765" s="1" t="s">
        <v>1426</v>
      </c>
      <c r="C765" s="1" t="n">
        <v>0.975</v>
      </c>
      <c r="D765" s="1" t="s">
        <v>1427</v>
      </c>
      <c r="O765" s="1" t="s">
        <v>1428</v>
      </c>
    </row>
    <row r="766" customFormat="false" ht="15" hidden="false" customHeight="true" outlineLevel="0" collapsed="false">
      <c r="B766" s="1" t="s">
        <v>1429</v>
      </c>
      <c r="C766" s="1" t="n">
        <v>0.98</v>
      </c>
      <c r="D766" s="1" t="s">
        <v>1427</v>
      </c>
      <c r="O766" s="1" t="s">
        <v>1428</v>
      </c>
    </row>
    <row r="767" customFormat="false" ht="15" hidden="false" customHeight="true" outlineLevel="0" collapsed="false">
      <c r="B767" s="1" t="s">
        <v>1430</v>
      </c>
      <c r="C767" s="1" t="n">
        <v>0.985</v>
      </c>
      <c r="D767" s="1" t="s">
        <v>1427</v>
      </c>
      <c r="O767" s="1" t="s">
        <v>1428</v>
      </c>
    </row>
    <row r="768" customFormat="false" ht="15" hidden="false" customHeight="true" outlineLevel="0" collapsed="false">
      <c r="B768" s="1" t="s">
        <v>1431</v>
      </c>
      <c r="C768" s="1" t="n">
        <v>0.99</v>
      </c>
      <c r="D768" s="1" t="s">
        <v>1432</v>
      </c>
      <c r="O768" s="1" t="s">
        <v>1432</v>
      </c>
    </row>
    <row r="769" customFormat="false" ht="15" hidden="false" customHeight="true" outlineLevel="0" collapsed="false">
      <c r="B769" s="1" t="s">
        <v>1433</v>
      </c>
      <c r="C769" s="1" t="n">
        <v>0.97</v>
      </c>
      <c r="D769" s="1" t="s">
        <v>1434</v>
      </c>
      <c r="O769" s="1" t="s">
        <v>1435</v>
      </c>
    </row>
    <row r="770" customFormat="false" ht="15" hidden="false" customHeight="true" outlineLevel="0" collapsed="false">
      <c r="B770" s="27" t="s">
        <v>1436</v>
      </c>
    </row>
    <row r="771" customFormat="false" ht="15" hidden="false" customHeight="true" outlineLevel="0" collapsed="false">
      <c r="B771" s="17" t="s">
        <v>1437</v>
      </c>
      <c r="C771" s="44" t="n">
        <v>36718</v>
      </c>
      <c r="O771" s="17" t="s">
        <v>1438</v>
      </c>
    </row>
    <row r="772" customFormat="false" ht="15" hidden="false" customHeight="true" outlineLevel="0" collapsed="false">
      <c r="B772" s="17" t="s">
        <v>1439</v>
      </c>
      <c r="C772" s="44" t="n">
        <v>12851</v>
      </c>
      <c r="O772" s="17" t="s">
        <v>1440</v>
      </c>
    </row>
    <row r="773" customFormat="false" ht="15" hidden="false" customHeight="true" outlineLevel="0" collapsed="false">
      <c r="B773" s="17" t="s">
        <v>1441</v>
      </c>
      <c r="C773" s="44" t="n">
        <v>0.05</v>
      </c>
      <c r="O773" s="17" t="s">
        <v>1442</v>
      </c>
    </row>
    <row r="774" customFormat="false" ht="15" hidden="false" customHeight="true" outlineLevel="0" collapsed="false">
      <c r="B774" s="1" t="s">
        <v>1443</v>
      </c>
      <c r="C774" s="1" t="n">
        <v>250</v>
      </c>
      <c r="D774" s="1" t="s">
        <v>1444</v>
      </c>
      <c r="O774" s="1" t="s">
        <v>1445</v>
      </c>
    </row>
    <row r="776" customFormat="false" ht="15" hidden="false" customHeight="true" outlineLevel="0" collapsed="false">
      <c r="A776" s="1" t="s">
        <v>1446</v>
      </c>
      <c r="B776" s="1" t="s">
        <v>1447</v>
      </c>
    </row>
    <row r="777" customFormat="false" ht="15" hidden="false" customHeight="true" outlineLevel="0" collapsed="false">
      <c r="B777" s="1" t="s">
        <v>1448</v>
      </c>
      <c r="C777" s="1" t="n">
        <f aca="false">1-(Drivers!C80/'3 Statement Forecast'!F33)</f>
        <v>0.730740580311534</v>
      </c>
      <c r="D777" s="1" t="s">
        <v>1449</v>
      </c>
      <c r="O777" s="1" t="s">
        <v>1450</v>
      </c>
    </row>
    <row r="778" customFormat="false" ht="15" hidden="false" customHeight="true" outlineLevel="0" collapsed="false">
      <c r="B778" s="1" t="s">
        <v>1451</v>
      </c>
      <c r="C778" s="43" t="n">
        <f aca="false">Valuation!H201</f>
        <v>0.119459309672398</v>
      </c>
      <c r="D778" s="1" t="s">
        <v>1452</v>
      </c>
      <c r="O778" s="1" t="s">
        <v>1453</v>
      </c>
    </row>
    <row r="779" customFormat="false" ht="15" hidden="false" customHeight="true" outlineLevel="0" collapsed="false">
      <c r="B779" s="1" t="s">
        <v>1454</v>
      </c>
      <c r="C779" s="1" t="n">
        <f aca="false">C777*C778</f>
        <v>0.0872937652736237</v>
      </c>
      <c r="D779" s="1" t="s">
        <v>1455</v>
      </c>
      <c r="O779" s="1" t="s">
        <v>1456</v>
      </c>
    </row>
    <row r="780" customFormat="false" ht="15" hidden="false" customHeight="true" outlineLevel="0" collapsed="false">
      <c r="B780" s="1" t="s">
        <v>1457</v>
      </c>
      <c r="C780" s="44" t="n">
        <v>0.04</v>
      </c>
      <c r="D780" s="1" t="s">
        <v>1458</v>
      </c>
      <c r="O780" s="1" t="s">
        <v>1459</v>
      </c>
    </row>
    <row r="781" customFormat="false" ht="15" hidden="false" customHeight="true" outlineLevel="0" collapsed="false">
      <c r="B781" s="1" t="s">
        <v>1460</v>
      </c>
      <c r="C781" s="1" t="n">
        <f aca="false">MIN(C779, DCF!$D$57-C780)</f>
        <v>0.0502</v>
      </c>
      <c r="D781" s="1" t="s">
        <v>1461</v>
      </c>
      <c r="O781" s="1" t="s">
        <v>1462</v>
      </c>
    </row>
    <row r="782" customFormat="false" ht="15" hidden="false" customHeight="true" outlineLevel="0" collapsed="false">
      <c r="B782" s="1" t="s">
        <v>1463</v>
      </c>
    </row>
    <row r="784" customFormat="false" ht="15" hidden="false" customHeight="true" outlineLevel="0" collapsed="false">
      <c r="B784" s="1" t="s">
        <v>1464</v>
      </c>
    </row>
    <row r="785" customFormat="false" ht="15" hidden="false" customHeight="true" outlineLevel="0" collapsed="false">
      <c r="B785" s="1" t="s">
        <v>1465</v>
      </c>
      <c r="C785" s="1" t="n">
        <v>54</v>
      </c>
      <c r="D785" s="1" t="s">
        <v>1466</v>
      </c>
      <c r="O785" s="1" t="s">
        <v>1467</v>
      </c>
    </row>
    <row r="786" customFormat="false" ht="15" hidden="false" customHeight="true" outlineLevel="0" collapsed="false">
      <c r="B786" s="1" t="s">
        <v>1468</v>
      </c>
      <c r="C786" s="1" t="n">
        <f aca="false">C11+C12+C13+C14+C15+C16</f>
        <v>100593</v>
      </c>
      <c r="D786" s="1" t="s">
        <v>1469</v>
      </c>
      <c r="O786" s="1" t="s">
        <v>1470</v>
      </c>
    </row>
    <row r="788" customFormat="false" ht="15" hidden="false" customHeight="true" outlineLevel="0" collapsed="false">
      <c r="B788" s="1" t="s">
        <v>1471</v>
      </c>
      <c r="O788" s="1" t="s">
        <v>1472</v>
      </c>
    </row>
    <row r="789" customFormat="false" ht="15" hidden="false" customHeight="true" outlineLevel="0" collapsed="false">
      <c r="B789" s="1" t="s">
        <v>1473</v>
      </c>
      <c r="C789" s="1" t="n">
        <v>47</v>
      </c>
      <c r="D789" s="1" t="s">
        <v>1474</v>
      </c>
      <c r="O789" s="1" t="s">
        <v>1475</v>
      </c>
    </row>
    <row r="790" customFormat="false" ht="15" hidden="false" customHeight="true" outlineLevel="0" collapsed="false">
      <c r="B790" s="1" t="s">
        <v>1476</v>
      </c>
      <c r="C790" s="1" t="n">
        <v>39</v>
      </c>
      <c r="D790" s="1" t="s">
        <v>1477</v>
      </c>
      <c r="O790" s="1" t="s">
        <v>1478</v>
      </c>
    </row>
    <row r="791" customFormat="false" ht="15" hidden="false" customHeight="true" outlineLevel="0" collapsed="false">
      <c r="B791" s="1" t="s">
        <v>1479</v>
      </c>
      <c r="C791" s="1" t="n">
        <v>47</v>
      </c>
      <c r="D791" s="1" t="s">
        <v>1480</v>
      </c>
      <c r="O791" s="1" t="s">
        <v>1481</v>
      </c>
    </row>
    <row r="792" customFormat="false" ht="15" hidden="false" customHeight="true" outlineLevel="0" collapsed="false">
      <c r="B792" s="1" t="s">
        <v>1482</v>
      </c>
      <c r="C792" s="1" t="n">
        <v>52</v>
      </c>
      <c r="D792" s="1" t="s">
        <v>1483</v>
      </c>
      <c r="O792" s="1" t="s">
        <v>1484</v>
      </c>
    </row>
    <row r="793" customFormat="false" ht="15" hidden="false" customHeight="true" outlineLevel="0" collapsed="false">
      <c r="B793" s="1" t="s">
        <v>1485</v>
      </c>
      <c r="C793" s="1" t="n">
        <v>65</v>
      </c>
      <c r="D793" s="1" t="s">
        <v>1486</v>
      </c>
      <c r="O793" s="1" t="s">
        <v>1487</v>
      </c>
    </row>
    <row r="794" customFormat="false" ht="15" hidden="false" customHeight="true" outlineLevel="0" collapsed="false">
      <c r="B794" s="1" t="s">
        <v>1488</v>
      </c>
      <c r="C794" s="1" t="n">
        <v>60</v>
      </c>
      <c r="D794" s="1" t="s">
        <v>1489</v>
      </c>
      <c r="O794" s="1" t="s">
        <v>1490</v>
      </c>
    </row>
    <row r="795" customFormat="false" ht="15" hidden="false" customHeight="true" outlineLevel="0" collapsed="false">
      <c r="B795" s="1" t="s">
        <v>1491</v>
      </c>
      <c r="C795" s="1" t="n">
        <v>58</v>
      </c>
      <c r="D795" s="1" t="s">
        <v>1492</v>
      </c>
      <c r="O795" s="1" t="s">
        <v>1493</v>
      </c>
    </row>
    <row r="796" customFormat="false" ht="15" hidden="false" customHeight="true" outlineLevel="0" collapsed="false">
      <c r="B796" s="1" t="s">
        <v>1494</v>
      </c>
      <c r="C796" s="1" t="n">
        <f aca="false">C785</f>
        <v>54</v>
      </c>
      <c r="D796" s="1" t="s">
        <v>1495</v>
      </c>
      <c r="O796" s="1" t="s">
        <v>1496</v>
      </c>
    </row>
    <row r="798" customFormat="false" ht="15" hidden="false" customHeight="true" outlineLevel="0" collapsed="false">
      <c r="B798" s="1" t="s">
        <v>1497</v>
      </c>
      <c r="O798" s="1" t="s">
        <v>1498</v>
      </c>
    </row>
    <row r="799" customFormat="false" ht="15" hidden="false" customHeight="true" outlineLevel="0" collapsed="false">
      <c r="B799" s="1" t="s">
        <v>1499</v>
      </c>
      <c r="C799" s="1" t="s">
        <v>1500</v>
      </c>
      <c r="D799" s="1" t="s">
        <v>1501</v>
      </c>
      <c r="E799" s="1" t="s">
        <v>1502</v>
      </c>
      <c r="F799" s="1" t="s">
        <v>1503</v>
      </c>
      <c r="G799" s="1" t="s">
        <v>1504</v>
      </c>
      <c r="H799" s="1" t="s">
        <v>1505</v>
      </c>
      <c r="I799" s="1" t="s">
        <v>1506</v>
      </c>
      <c r="J799" s="1" t="s">
        <v>1507</v>
      </c>
      <c r="K799" s="1" t="s">
        <v>1508</v>
      </c>
      <c r="L799" s="1" t="s">
        <v>1509</v>
      </c>
      <c r="M799" s="1" t="s">
        <v>1510</v>
      </c>
      <c r="N799" s="1" t="s">
        <v>1511</v>
      </c>
    </row>
    <row r="800" customFormat="false" ht="15" hidden="false" customHeight="true" outlineLevel="0" collapsed="false">
      <c r="B800" s="1" t="s">
        <v>1512</v>
      </c>
      <c r="C800" s="1" t="n">
        <v>2021</v>
      </c>
      <c r="D800" s="1" t="n">
        <f aca="false">C791</f>
        <v>47</v>
      </c>
      <c r="E800" s="1" t="n">
        <f aca="false">C800 + G800</f>
        <v>2024</v>
      </c>
      <c r="F800" s="1" t="n">
        <f aca="false">E800 + 1 + I800</f>
        <v>2029</v>
      </c>
      <c r="G800" s="1" t="n">
        <f aca="false">INT(D800/12)</f>
        <v>3</v>
      </c>
      <c r="H800" s="1" t="n">
        <f aca="false">D800/12 - INT(D800/12)</f>
        <v>0.916666666666667</v>
      </c>
      <c r="I800" s="1" t="n">
        <f aca="false">INT($C$796/12)</f>
        <v>4</v>
      </c>
      <c r="J800" s="1" t="n">
        <f aca="false">$C$796/12 - INT($C$796/12)</f>
        <v>0.5</v>
      </c>
      <c r="K800" s="1" t="n">
        <f aca="false">1 - H800</f>
        <v>0.0833333333333335</v>
      </c>
      <c r="L800" s="1" t="n">
        <f aca="false">H800</f>
        <v>0.916666666666667</v>
      </c>
      <c r="M800" s="1" t="n">
        <f aca="false">1 - J800</f>
        <v>0.5</v>
      </c>
      <c r="N800" s="1" t="n">
        <f aca="false">J800</f>
        <v>0.5</v>
      </c>
      <c r="O800" s="1" t="s">
        <v>1513</v>
      </c>
    </row>
    <row r="801" customFormat="false" ht="15" hidden="false" customHeight="true" outlineLevel="0" collapsed="false">
      <c r="B801" s="1" t="s">
        <v>1514</v>
      </c>
      <c r="C801" s="1" t="n">
        <v>2022</v>
      </c>
      <c r="D801" s="1" t="n">
        <f aca="false">C792</f>
        <v>52</v>
      </c>
      <c r="E801" s="1" t="n">
        <f aca="false">C801 + G801</f>
        <v>2026</v>
      </c>
      <c r="F801" s="1" t="n">
        <f aca="false">E801 + 1 + I801</f>
        <v>2031</v>
      </c>
      <c r="G801" s="1" t="n">
        <f aca="false">INT(D801/12)</f>
        <v>4</v>
      </c>
      <c r="H801" s="1" t="n">
        <f aca="false">D801/12 - INT(D801/12)</f>
        <v>0.333333333333333</v>
      </c>
      <c r="I801" s="1" t="n">
        <f aca="false">INT($C$796/12)</f>
        <v>4</v>
      </c>
      <c r="J801" s="1" t="n">
        <f aca="false">$C$796/12 - INT($C$796/12)</f>
        <v>0.5</v>
      </c>
      <c r="K801" s="1" t="n">
        <f aca="false">1 - H801</f>
        <v>0.666666666666667</v>
      </c>
      <c r="L801" s="1" t="n">
        <f aca="false">H801</f>
        <v>0.333333333333333</v>
      </c>
      <c r="M801" s="1" t="n">
        <f aca="false">1 - J801</f>
        <v>0.5</v>
      </c>
      <c r="N801" s="1" t="n">
        <f aca="false">J801</f>
        <v>0.5</v>
      </c>
      <c r="O801" s="1" t="s">
        <v>1515</v>
      </c>
    </row>
    <row r="802" customFormat="false" ht="15" hidden="false" customHeight="true" outlineLevel="0" collapsed="false">
      <c r="B802" s="1" t="s">
        <v>1516</v>
      </c>
      <c r="C802" s="1" t="n">
        <v>2023</v>
      </c>
      <c r="D802" s="1" t="n">
        <f aca="false">C793</f>
        <v>65</v>
      </c>
      <c r="E802" s="1" t="n">
        <f aca="false">C802 + G802</f>
        <v>2028</v>
      </c>
      <c r="F802" s="1" t="n">
        <f aca="false">E802 + 1 + I802</f>
        <v>2033</v>
      </c>
      <c r="G802" s="1" t="n">
        <f aca="false">INT(D802/12)</f>
        <v>5</v>
      </c>
      <c r="H802" s="1" t="n">
        <f aca="false">D802/12 - INT(D802/12)</f>
        <v>0.416666666666667</v>
      </c>
      <c r="I802" s="1" t="n">
        <f aca="false">INT($C$796/12)</f>
        <v>4</v>
      </c>
      <c r="J802" s="1" t="n">
        <f aca="false">$C$796/12 - INT($C$796/12)</f>
        <v>0.5</v>
      </c>
      <c r="K802" s="1" t="n">
        <f aca="false">1 - H802</f>
        <v>0.583333333333333</v>
      </c>
      <c r="L802" s="1" t="n">
        <f aca="false">H802</f>
        <v>0.416666666666667</v>
      </c>
      <c r="M802" s="1" t="n">
        <f aca="false">1 - J802</f>
        <v>0.5</v>
      </c>
      <c r="N802" s="1" t="n">
        <f aca="false">J802</f>
        <v>0.5</v>
      </c>
      <c r="O802" s="1" t="s">
        <v>1517</v>
      </c>
    </row>
    <row r="803" customFormat="false" ht="15" hidden="false" customHeight="true" outlineLevel="0" collapsed="false">
      <c r="B803" s="1" t="s">
        <v>1518</v>
      </c>
      <c r="C803" s="1" t="n">
        <v>2024</v>
      </c>
      <c r="D803" s="1" t="n">
        <f aca="false">C794</f>
        <v>60</v>
      </c>
      <c r="E803" s="1" t="n">
        <f aca="false">C803 + G803</f>
        <v>2029</v>
      </c>
      <c r="F803" s="1" t="n">
        <f aca="false">E803 + 1 + I803</f>
        <v>2034</v>
      </c>
      <c r="G803" s="1" t="n">
        <f aca="false">INT(D803/12)</f>
        <v>5</v>
      </c>
      <c r="H803" s="1" t="n">
        <f aca="false">D803/12 - INT(D803/12)</f>
        <v>0</v>
      </c>
      <c r="I803" s="1" t="n">
        <f aca="false">INT($C$796/12)</f>
        <v>4</v>
      </c>
      <c r="J803" s="1" t="n">
        <f aca="false">$C$796/12 - INT($C$796/12)</f>
        <v>0.5</v>
      </c>
      <c r="K803" s="1" t="n">
        <f aca="false">1 - H803</f>
        <v>1</v>
      </c>
      <c r="L803" s="1" t="n">
        <f aca="false">H803</f>
        <v>0</v>
      </c>
      <c r="M803" s="1" t="n">
        <f aca="false">1 - J803</f>
        <v>0.5</v>
      </c>
      <c r="N803" s="1" t="n">
        <f aca="false">J803</f>
        <v>0.5</v>
      </c>
      <c r="O803" s="1" t="s">
        <v>1519</v>
      </c>
    </row>
    <row r="804" customFormat="false" ht="15" hidden="false" customHeight="true" outlineLevel="0" collapsed="false">
      <c r="B804" s="1" t="s">
        <v>1520</v>
      </c>
      <c r="C804" s="1" t="n">
        <v>2025</v>
      </c>
      <c r="D804" s="1" t="n">
        <f aca="false">C795</f>
        <v>58</v>
      </c>
      <c r="E804" s="1" t="n">
        <f aca="false">C804 + G804</f>
        <v>2029</v>
      </c>
      <c r="F804" s="1" t="n">
        <f aca="false">E804 + 1 + I804</f>
        <v>2034</v>
      </c>
      <c r="G804" s="1" t="n">
        <f aca="false">INT(D804/12)</f>
        <v>4</v>
      </c>
      <c r="H804" s="1" t="n">
        <f aca="false">D804/12 - INT(D804/12)</f>
        <v>0.833333333333333</v>
      </c>
      <c r="I804" s="1" t="n">
        <f aca="false">INT($C$796/12)</f>
        <v>4</v>
      </c>
      <c r="J804" s="1" t="n">
        <f aca="false">$C$796/12 - INT($C$796/12)</f>
        <v>0.5</v>
      </c>
      <c r="K804" s="1" t="n">
        <f aca="false">1 - H804</f>
        <v>0.166666666666667</v>
      </c>
      <c r="L804" s="1" t="n">
        <f aca="false">H804</f>
        <v>0.833333333333333</v>
      </c>
      <c r="M804" s="1" t="n">
        <f aca="false">1 - J804</f>
        <v>0.5</v>
      </c>
      <c r="N804" s="1" t="n">
        <f aca="false">J804</f>
        <v>0.5</v>
      </c>
      <c r="O804" s="1" t="s">
        <v>1521</v>
      </c>
    </row>
    <row r="806" customFormat="false" ht="15" hidden="false" customHeight="true" outlineLevel="0" collapsed="false">
      <c r="B806" s="1" t="s">
        <v>1522</v>
      </c>
      <c r="D806" s="1" t="s">
        <v>1523</v>
      </c>
      <c r="O806" s="1" t="s">
        <v>1524</v>
      </c>
    </row>
    <row r="807" customFormat="false" ht="15" hidden="false" customHeight="true" outlineLevel="0" collapsed="false">
      <c r="B807" s="1" t="s">
        <v>1525</v>
      </c>
      <c r="C807" s="1" t="s">
        <v>1526</v>
      </c>
      <c r="D807" s="1" t="n">
        <v>2025</v>
      </c>
      <c r="E807" s="1" t="n">
        <v>2026</v>
      </c>
      <c r="F807" s="1" t="n">
        <v>2027</v>
      </c>
      <c r="G807" s="1" t="n">
        <v>2028</v>
      </c>
      <c r="H807" s="1" t="n">
        <v>2029</v>
      </c>
      <c r="I807" s="1" t="n">
        <v>2030</v>
      </c>
      <c r="J807" s="1" t="n">
        <v>2031</v>
      </c>
      <c r="K807" s="1" t="n">
        <v>2032</v>
      </c>
      <c r="L807" s="1" t="n">
        <v>2033</v>
      </c>
      <c r="M807" s="1" t="n">
        <v>2034</v>
      </c>
      <c r="N807" s="1" t="n">
        <v>2035</v>
      </c>
      <c r="O807" s="1" t="s">
        <v>1527</v>
      </c>
    </row>
    <row r="808" customFormat="false" ht="15" hidden="false" customHeight="true" outlineLevel="0" collapsed="false">
      <c r="B808" s="1" t="s">
        <v>1528</v>
      </c>
      <c r="O808" s="1" t="s">
        <v>1529</v>
      </c>
    </row>
    <row r="809" customFormat="false" ht="15" hidden="false" customHeight="true" outlineLevel="0" collapsed="false">
      <c r="B809" s="1" t="s">
        <v>1499</v>
      </c>
      <c r="C809" s="1" t="s">
        <v>1530</v>
      </c>
      <c r="D809" s="1" t="s">
        <v>1531</v>
      </c>
      <c r="E809" s="1" t="s">
        <v>1532</v>
      </c>
      <c r="F809" s="1" t="s">
        <v>1533</v>
      </c>
      <c r="G809" s="1" t="s">
        <v>1534</v>
      </c>
      <c r="H809" s="1" t="s">
        <v>1535</v>
      </c>
      <c r="I809" s="1" t="s">
        <v>1536</v>
      </c>
      <c r="J809" s="1" t="s">
        <v>1537</v>
      </c>
      <c r="K809" s="1" t="s">
        <v>1538</v>
      </c>
      <c r="L809" s="1" t="s">
        <v>1539</v>
      </c>
      <c r="M809" s="1" t="s">
        <v>1540</v>
      </c>
      <c r="N809" s="1" t="s">
        <v>1541</v>
      </c>
    </row>
    <row r="810" customFormat="false" ht="15" hidden="false" customHeight="true" outlineLevel="0" collapsed="false">
      <c r="B810" s="1" t="s">
        <v>1512</v>
      </c>
      <c r="C810" s="1" t="s">
        <v>1542</v>
      </c>
      <c r="D810" s="1" t="n">
        <f aca="false">IF($D$807&lt;$E$800,0,IF($D$807=$E$800,$K$800,1))</f>
        <v>1</v>
      </c>
      <c r="E810" s="1" t="n">
        <f aca="false">IF($E$807&lt;$E$800,0,IF($E$807=$E$800,$K$800,1))</f>
        <v>1</v>
      </c>
      <c r="F810" s="1" t="n">
        <f aca="false">IF($F$807&lt;$E$800,0,IF($F$807=$E$800,$K$800,1))</f>
        <v>1</v>
      </c>
      <c r="G810" s="1" t="n">
        <f aca="false">IF($G$807&lt;$E$800,0,IF($G$807=$E$800,$K$800,1))</f>
        <v>1</v>
      </c>
      <c r="H810" s="1" t="n">
        <f aca="false">IF($H$807&lt;$E$800,0,IF($H$807=$E$800,$K$800,1))</f>
        <v>1</v>
      </c>
      <c r="I810" s="1" t="n">
        <f aca="false">IF($I$807&lt;$E$800,0,IF($I$807=$E$800,$K$800,1))</f>
        <v>1</v>
      </c>
      <c r="J810" s="1" t="n">
        <f aca="false">IF($J$807&lt;$E$800,0,IF($J$807=$E$800,$K$800,1))</f>
        <v>1</v>
      </c>
      <c r="K810" s="1" t="n">
        <f aca="false">IF($K$807&lt;$E$800,0,IF($K$807=$E$800,$K$800,1))</f>
        <v>1</v>
      </c>
      <c r="L810" s="1" t="n">
        <f aca="false">IF($L$807&lt;$E$800,0,IF($L$807=$E$800,$K$800,1))</f>
        <v>1</v>
      </c>
      <c r="M810" s="1" t="n">
        <f aca="false">IF($M$807&lt;$E$800,0,IF($M$807=$E$800,$K$800,1))</f>
        <v>1</v>
      </c>
      <c r="N810" s="1" t="n">
        <f aca="false">IF($N$807&lt;$E$800,0,IF($N$807=$E$800,$K$800,1))</f>
        <v>1</v>
      </c>
    </row>
    <row r="811" customFormat="false" ht="15" hidden="false" customHeight="true" outlineLevel="0" collapsed="false">
      <c r="B811" s="1" t="s">
        <v>1514</v>
      </c>
      <c r="C811" s="1" t="s">
        <v>1542</v>
      </c>
      <c r="D811" s="1" t="n">
        <f aca="false">IF($D$807&lt;$E$801,0,IF($D$807=$E$801,$K$801,1))</f>
        <v>0</v>
      </c>
      <c r="E811" s="1" t="n">
        <f aca="false">IF($E$807&lt;$E$801,0,IF($E$807=$E$801,$K$801,1))</f>
        <v>0.666666666666667</v>
      </c>
      <c r="F811" s="1" t="n">
        <f aca="false">IF($F$807&lt;$E$801,0,IF($F$807=$E$801,$K$801,1))</f>
        <v>1</v>
      </c>
      <c r="G811" s="1" t="n">
        <f aca="false">IF($G$807&lt;$E$801,0,IF($G$807=$E$801,$K$801,1))</f>
        <v>1</v>
      </c>
      <c r="H811" s="1" t="n">
        <f aca="false">IF($H$807&lt;$E$801,0,IF($H$807=$E$801,$K$801,1))</f>
        <v>1</v>
      </c>
      <c r="I811" s="1" t="n">
        <f aca="false">IF($I$807&lt;$E$801,0,IF($I$807=$E$801,$K$801,1))</f>
        <v>1</v>
      </c>
      <c r="J811" s="1" t="n">
        <f aca="false">IF($J$807&lt;$E$801,0,IF($J$807=$E$801,$K$801,1))</f>
        <v>1</v>
      </c>
      <c r="K811" s="1" t="n">
        <f aca="false">IF($K$807&lt;$E$801,0,IF($K$807=$E$801,$K$801,1))</f>
        <v>1</v>
      </c>
      <c r="L811" s="1" t="n">
        <f aca="false">IF($L$807&lt;$E$801,0,IF($L$807=$E$801,$K$801,1))</f>
        <v>1</v>
      </c>
      <c r="M811" s="1" t="n">
        <f aca="false">IF($M$807&lt;$E$801,0,IF($M$807=$E$801,$K$801,1))</f>
        <v>1</v>
      </c>
      <c r="N811" s="1" t="n">
        <f aca="false">IF($N$807&lt;$E$801,0,IF($N$807=$E$801,$K$801,1))</f>
        <v>1</v>
      </c>
    </row>
    <row r="812" customFormat="false" ht="15" hidden="false" customHeight="true" outlineLevel="0" collapsed="false">
      <c r="B812" s="1" t="s">
        <v>1516</v>
      </c>
      <c r="C812" s="1" t="s">
        <v>1542</v>
      </c>
      <c r="D812" s="1" t="n">
        <f aca="false">IF($D$807&lt;$E$802,0,IF($D$807=$E$802,$K$802,1))</f>
        <v>0</v>
      </c>
      <c r="E812" s="1" t="n">
        <f aca="false">IF($E$807&lt;$E$802,0,IF($E$807=$E$802,$K$802,1))</f>
        <v>0</v>
      </c>
      <c r="F812" s="1" t="n">
        <f aca="false">IF($F$807&lt;$E$802,0,IF($F$807=$E$802,$K$802,1))</f>
        <v>0</v>
      </c>
      <c r="G812" s="1" t="n">
        <f aca="false">IF($G$807&lt;$E$802,0,IF($G$807=$E$802,$K$802,1))</f>
        <v>0.583333333333333</v>
      </c>
      <c r="H812" s="1" t="n">
        <f aca="false">IF($H$807&lt;$E$802,0,IF($H$807=$E$802,$K$802,1))</f>
        <v>1</v>
      </c>
      <c r="I812" s="1" t="n">
        <f aca="false">IF($I$807&lt;$E$802,0,IF($I$807=$E$802,$K$802,1))</f>
        <v>1</v>
      </c>
      <c r="J812" s="1" t="n">
        <f aca="false">IF($J$807&lt;$E$802,0,IF($J$807=$E$802,$K$802,1))</f>
        <v>1</v>
      </c>
      <c r="K812" s="1" t="n">
        <f aca="false">IF($K$807&lt;$E$802,0,IF($K$807=$E$802,$K$802,1))</f>
        <v>1</v>
      </c>
      <c r="L812" s="1" t="n">
        <f aca="false">IF($L$807&lt;$E$802,0,IF($L$807=$E$802,$K$802,1))</f>
        <v>1</v>
      </c>
      <c r="M812" s="1" t="n">
        <f aca="false">IF($M$807&lt;$E$802,0,IF($M$807=$E$802,$K$802,1))</f>
        <v>1</v>
      </c>
      <c r="N812" s="1" t="n">
        <f aca="false">IF($N$807&lt;$E$802,0,IF($N$807=$E$802,$K$802,1))</f>
        <v>1</v>
      </c>
    </row>
    <row r="813" customFormat="false" ht="15" hidden="false" customHeight="true" outlineLevel="0" collapsed="false">
      <c r="B813" s="1" t="s">
        <v>1518</v>
      </c>
      <c r="C813" s="1" t="s">
        <v>1542</v>
      </c>
      <c r="D813" s="1" t="n">
        <f aca="false">IF($D$807&lt;$E$803,0,IF($D$807=$E$803,$K$803,1))</f>
        <v>0</v>
      </c>
      <c r="E813" s="1" t="n">
        <f aca="false">IF($E$807&lt;$E$803,0,IF($E$807=$E$803,$K$803,1))</f>
        <v>0</v>
      </c>
      <c r="F813" s="1" t="n">
        <f aca="false">IF($F$807&lt;$E$803,0,IF($F$807=$E$803,$K$803,1))</f>
        <v>0</v>
      </c>
      <c r="G813" s="1" t="n">
        <f aca="false">IF($G$807&lt;$E$803,0,IF($G$807=$E$803,$K$803,1))</f>
        <v>0</v>
      </c>
      <c r="H813" s="1" t="n">
        <f aca="false">IF($H$807&lt;$E$803,0,IF($H$807=$E$803,$K$803,1))</f>
        <v>1</v>
      </c>
      <c r="I813" s="1" t="n">
        <f aca="false">IF($I$807&lt;$E$803,0,IF($I$807=$E$803,$K$803,1))</f>
        <v>1</v>
      </c>
      <c r="J813" s="1" t="n">
        <f aca="false">IF($J$807&lt;$E$803,0,IF($J$807=$E$803,$K$803,1))</f>
        <v>1</v>
      </c>
      <c r="K813" s="1" t="n">
        <f aca="false">IF($K$807&lt;$E$803,0,IF($K$807=$E$803,$K$803,1))</f>
        <v>1</v>
      </c>
      <c r="L813" s="1" t="n">
        <f aca="false">IF($L$807&lt;$E$803,0,IF($L$807=$E$803,$K$803,1))</f>
        <v>1</v>
      </c>
      <c r="M813" s="1" t="n">
        <f aca="false">IF($M$807&lt;$E$803,0,IF($M$807=$E$803,$K$803,1))</f>
        <v>1</v>
      </c>
      <c r="N813" s="1" t="n">
        <f aca="false">IF($N$807&lt;$E$803,0,IF($N$807=$E$803,$K$803,1))</f>
        <v>1</v>
      </c>
    </row>
    <row r="814" customFormat="false" ht="15" hidden="false" customHeight="true" outlineLevel="0" collapsed="false">
      <c r="B814" s="1" t="s">
        <v>1520</v>
      </c>
      <c r="C814" s="1" t="s">
        <v>1542</v>
      </c>
      <c r="D814" s="1" t="n">
        <f aca="false">IF($D$807&lt;$E$804,0,IF($D$807=$E$804,$K$804,1))</f>
        <v>0</v>
      </c>
      <c r="E814" s="1" t="n">
        <f aca="false">IF($E$807&lt;$E$804,0,IF($E$807=$E$804,$K$804,1))</f>
        <v>0</v>
      </c>
      <c r="F814" s="1" t="n">
        <f aca="false">IF($F$807&lt;$E$804,0,IF($F$807=$E$804,$K$804,1))</f>
        <v>0</v>
      </c>
      <c r="G814" s="1" t="n">
        <f aca="false">IF($G$807&lt;$E$804,0,IF($G$807=$E$804,$K$804,1))</f>
        <v>0</v>
      </c>
      <c r="H814" s="1" t="n">
        <f aca="false">IF($H$807&lt;$E$804,0,IF($H$807=$E$804,$K$804,1))</f>
        <v>0.166666666666667</v>
      </c>
      <c r="I814" s="1" t="n">
        <f aca="false">IF($I$807&lt;$E$804,0,IF($I$807=$E$804,$K$804,1))</f>
        <v>1</v>
      </c>
      <c r="J814" s="1" t="n">
        <f aca="false">IF($J$807&lt;$E$804,0,IF($J$807=$E$804,$K$804,1))</f>
        <v>1</v>
      </c>
      <c r="K814" s="1" t="n">
        <f aca="false">IF($K$807&lt;$E$804,0,IF($K$807=$E$804,$K$804,1))</f>
        <v>1</v>
      </c>
      <c r="L814" s="1" t="n">
        <f aca="false">IF($L$807&lt;$E$804,0,IF($L$807=$E$804,$K$804,1))</f>
        <v>1</v>
      </c>
      <c r="M814" s="1" t="n">
        <f aca="false">IF($M$807&lt;$E$804,0,IF($M$807=$E$804,$K$804,1))</f>
        <v>1</v>
      </c>
      <c r="N814" s="1" t="n">
        <f aca="false">IF($N$807&lt;$E$804,0,IF($N$807=$E$804,$K$804,1))</f>
        <v>1</v>
      </c>
    </row>
    <row r="815" customFormat="false" ht="15" hidden="false" customHeight="true" outlineLevel="0" collapsed="false">
      <c r="B815" s="1" t="s">
        <v>1543</v>
      </c>
    </row>
    <row r="816" customFormat="false" ht="15" hidden="false" customHeight="true" outlineLevel="0" collapsed="false">
      <c r="B816" s="1" t="s">
        <v>1512</v>
      </c>
      <c r="C816" s="1" t="s">
        <v>1544</v>
      </c>
      <c r="D816" s="1" t="n">
        <f aca="false">IF($D$807&lt;$F$800,0,IF($D$807=$F$800,$M$800,1))</f>
        <v>0</v>
      </c>
      <c r="E816" s="1" t="n">
        <f aca="false">IF($E$807&lt;$F$800,0,IF($E$807=$F$800,$M$800,1))</f>
        <v>0</v>
      </c>
      <c r="F816" s="1" t="n">
        <f aca="false">IF($F$807&lt;$F$800,0,IF($F$807=$F$800,$M$800,1))</f>
        <v>0</v>
      </c>
      <c r="G816" s="1" t="n">
        <f aca="false">IF($G$807&lt;$F$800,0,IF($G$807=$F$800,$M$800,1))</f>
        <v>0</v>
      </c>
      <c r="H816" s="1" t="n">
        <f aca="false">IF($H$807&lt;$F$800,0,IF($H$807=$F$800,$M$800,1))</f>
        <v>0.5</v>
      </c>
      <c r="I816" s="1" t="n">
        <f aca="false">IF($I$807&lt;$F$800,0,IF($I$807=$F$800,$M$800,1))</f>
        <v>1</v>
      </c>
      <c r="J816" s="1" t="n">
        <f aca="false">IF($J$807&lt;$F$800,0,IF($J$807=$F$800,$M$800,1))</f>
        <v>1</v>
      </c>
      <c r="K816" s="1" t="n">
        <f aca="false">IF($K$807&lt;$F$800,0,IF($K$807=$F$800,$M$800,1))</f>
        <v>1</v>
      </c>
      <c r="L816" s="1" t="n">
        <f aca="false">IF($L$807&lt;$F$800,0,IF($L$807=$F$800,$M$800,1))</f>
        <v>1</v>
      </c>
      <c r="M816" s="1" t="n">
        <f aca="false">IF($M$807&lt;$F$800,0,IF($M$807=$F$800,$M$800,1))</f>
        <v>1</v>
      </c>
      <c r="N816" s="1" t="n">
        <f aca="false">IF($N$807&lt;$F$800,0,IF($N$807=$F$800,$M$800,1))</f>
        <v>1</v>
      </c>
    </row>
    <row r="817" customFormat="false" ht="15" hidden="false" customHeight="true" outlineLevel="0" collapsed="false">
      <c r="B817" s="1" t="s">
        <v>1514</v>
      </c>
      <c r="C817" s="1" t="s">
        <v>1544</v>
      </c>
      <c r="D817" s="1" t="n">
        <f aca="false">IF($D$807&lt;$F$801,0,IF($D$807=$F$801,$M$801,1))</f>
        <v>0</v>
      </c>
      <c r="E817" s="1" t="n">
        <f aca="false">IF($E$807&lt;$F$801,0,IF($E$807=$F$801,$M$801,1))</f>
        <v>0</v>
      </c>
      <c r="F817" s="1" t="n">
        <f aca="false">IF($F$807&lt;$F$801,0,IF($F$807=$F$801,$M$801,1))</f>
        <v>0</v>
      </c>
      <c r="G817" s="1" t="n">
        <f aca="false">IF($G$807&lt;$F$801,0,IF($G$807=$F$801,$M$801,1))</f>
        <v>0</v>
      </c>
      <c r="H817" s="1" t="n">
        <f aca="false">IF($H$807&lt;$F$801,0,IF($H$807=$F$801,$M$801,1))</f>
        <v>0</v>
      </c>
      <c r="I817" s="1" t="n">
        <f aca="false">IF($I$807&lt;$F$801,0,IF($I$807=$F$801,$M$801,1))</f>
        <v>0</v>
      </c>
      <c r="J817" s="1" t="n">
        <f aca="false">IF($J$807&lt;$F$801,0,IF($J$807=$F$801,$M$801,1))</f>
        <v>0.5</v>
      </c>
      <c r="K817" s="1" t="n">
        <f aca="false">IF($K$807&lt;$F$801,0,IF($K$807=$F$801,$M$801,1))</f>
        <v>1</v>
      </c>
      <c r="L817" s="1" t="n">
        <f aca="false">IF($L$807&lt;$F$801,0,IF($L$807=$F$801,$M$801,1))</f>
        <v>1</v>
      </c>
      <c r="M817" s="1" t="n">
        <f aca="false">IF($M$807&lt;$F$801,0,IF($M$807=$F$801,$M$801,1))</f>
        <v>1</v>
      </c>
      <c r="N817" s="1" t="n">
        <f aca="false">IF($N$807&lt;$F$801,0,IF($N$807=$F$801,$M$801,1))</f>
        <v>1</v>
      </c>
    </row>
    <row r="818" customFormat="false" ht="15" hidden="false" customHeight="true" outlineLevel="0" collapsed="false">
      <c r="B818" s="1" t="s">
        <v>1516</v>
      </c>
      <c r="C818" s="1" t="s">
        <v>1544</v>
      </c>
      <c r="D818" s="1" t="n">
        <f aca="false">IF($D$807&lt;$F$802,0,IF($D$807=$F$802,$M$802,1))</f>
        <v>0</v>
      </c>
      <c r="E818" s="1" t="n">
        <f aca="false">IF($E$807&lt;$F$802,0,IF($E$807=$F$802,$M$802,1))</f>
        <v>0</v>
      </c>
      <c r="F818" s="1" t="n">
        <f aca="false">IF($F$807&lt;$F$802,0,IF($F$807=$F$802,$M$802,1))</f>
        <v>0</v>
      </c>
      <c r="G818" s="1" t="n">
        <f aca="false">IF($G$807&lt;$F$802,0,IF($G$807=$F$802,$M$802,1))</f>
        <v>0</v>
      </c>
      <c r="H818" s="1" t="n">
        <f aca="false">IF($H$807&lt;$F$802,0,IF($H$807=$F$802,$M$802,1))</f>
        <v>0</v>
      </c>
      <c r="I818" s="1" t="n">
        <f aca="false">IF($I$807&lt;$F$802,0,IF($I$807=$F$802,$M$802,1))</f>
        <v>0</v>
      </c>
      <c r="J818" s="1" t="n">
        <f aca="false">IF($J$807&lt;$F$802,0,IF($J$807=$F$802,$M$802,1))</f>
        <v>0</v>
      </c>
      <c r="K818" s="1" t="n">
        <f aca="false">IF($K$807&lt;$F$802,0,IF($K$807=$F$802,$M$802,1))</f>
        <v>0</v>
      </c>
      <c r="L818" s="1" t="n">
        <f aca="false">IF($L$807&lt;$F$802,0,IF($L$807=$F$802,$M$802,1))</f>
        <v>0.5</v>
      </c>
      <c r="M818" s="1" t="n">
        <f aca="false">IF($M$807&lt;$F$802,0,IF($M$807=$F$802,$M$802,1))</f>
        <v>1</v>
      </c>
      <c r="N818" s="1" t="n">
        <f aca="false">IF($N$807&lt;$F$802,0,IF($N$807=$F$802,$M$802,1))</f>
        <v>1</v>
      </c>
    </row>
    <row r="819" customFormat="false" ht="15" hidden="false" customHeight="true" outlineLevel="0" collapsed="false">
      <c r="B819" s="1" t="s">
        <v>1518</v>
      </c>
      <c r="C819" s="1" t="s">
        <v>1544</v>
      </c>
      <c r="D819" s="1" t="n">
        <f aca="false">IF($D$807&lt;$F$803,0,IF($D$807=$F$803,$M$803,1))</f>
        <v>0</v>
      </c>
      <c r="E819" s="1" t="n">
        <f aca="false">IF($E$807&lt;$F$803,0,IF($E$807=$F$803,$M$803,1))</f>
        <v>0</v>
      </c>
      <c r="F819" s="1" t="n">
        <f aca="false">IF($F$807&lt;$F$803,0,IF($F$807=$F$803,$M$803,1))</f>
        <v>0</v>
      </c>
      <c r="G819" s="1" t="n">
        <f aca="false">IF($G$807&lt;$F$803,0,IF($G$807=$F$803,$M$803,1))</f>
        <v>0</v>
      </c>
      <c r="H819" s="1" t="n">
        <f aca="false">IF($H$807&lt;$F$803,0,IF($H$807=$F$803,$M$803,1))</f>
        <v>0</v>
      </c>
      <c r="I819" s="1" t="n">
        <f aca="false">IF($I$807&lt;$F$803,0,IF($I$807=$F$803,$M$803,1))</f>
        <v>0</v>
      </c>
      <c r="J819" s="1" t="n">
        <f aca="false">IF($J$807&lt;$F$803,0,IF($J$807=$F$803,$M$803,1))</f>
        <v>0</v>
      </c>
      <c r="K819" s="1" t="n">
        <f aca="false">IF($K$807&lt;$F$803,0,IF($K$807=$F$803,$M$803,1))</f>
        <v>0</v>
      </c>
      <c r="L819" s="1" t="n">
        <f aca="false">IF($L$807&lt;$F$803,0,IF($L$807=$F$803,$M$803,1))</f>
        <v>0</v>
      </c>
      <c r="M819" s="1" t="n">
        <f aca="false">IF($M$807&lt;$F$803,0,IF($M$807=$F$803,$M$803,1))</f>
        <v>0.5</v>
      </c>
      <c r="N819" s="1" t="n">
        <f aca="false">IF($N$807&lt;$F$803,0,IF($N$807=$F$803,$M$803,1))</f>
        <v>1</v>
      </c>
    </row>
    <row r="820" customFormat="false" ht="15" hidden="false" customHeight="true" outlineLevel="0" collapsed="false">
      <c r="B820" s="1" t="s">
        <v>1520</v>
      </c>
      <c r="C820" s="1" t="s">
        <v>1544</v>
      </c>
      <c r="D820" s="1" t="n">
        <f aca="false">IF($D$807&lt;$F$804,0,IF($D$807=$F$804,$M$804,1))</f>
        <v>0</v>
      </c>
      <c r="E820" s="1" t="n">
        <f aca="false">IF($E$807&lt;$F$804,0,IF($E$807=$F$804,$M$804,1))</f>
        <v>0</v>
      </c>
      <c r="F820" s="1" t="n">
        <f aca="false">IF($F$807&lt;$F$804,0,IF($F$807=$F$804,$M$804,1))</f>
        <v>0</v>
      </c>
      <c r="G820" s="1" t="n">
        <f aca="false">IF($G$807&lt;$F$804,0,IF($G$807=$F$804,$M$804,1))</f>
        <v>0</v>
      </c>
      <c r="H820" s="1" t="n">
        <f aca="false">IF($H$807&lt;$F$804,0,IF($H$807=$F$804,$M$804,1))</f>
        <v>0</v>
      </c>
      <c r="I820" s="1" t="n">
        <f aca="false">IF($I$807&lt;$F$804,0,IF($I$807=$F$804,$M$804,1))</f>
        <v>0</v>
      </c>
      <c r="J820" s="1" t="n">
        <f aca="false">IF($J$807&lt;$F$804,0,IF($J$807=$F$804,$M$804,1))</f>
        <v>0</v>
      </c>
      <c r="K820" s="1" t="n">
        <f aca="false">IF($K$807&lt;$F$804,0,IF($K$807=$F$804,$M$804,1))</f>
        <v>0</v>
      </c>
      <c r="L820" s="1" t="n">
        <f aca="false">IF($L$807&lt;$F$804,0,IF($L$807=$F$804,$M$804,1))</f>
        <v>0</v>
      </c>
      <c r="M820" s="1" t="n">
        <f aca="false">IF($M$807&lt;$F$804,0,IF($M$807=$F$804,$M$804,1))</f>
        <v>0.5</v>
      </c>
      <c r="N820" s="1" t="n">
        <f aca="false">IF($N$807&lt;$F$804,0,IF($N$807=$F$804,$M$804,1))</f>
        <v>1</v>
      </c>
    </row>
    <row r="822" customFormat="false" ht="15" hidden="false" customHeight="true" outlineLevel="0" collapsed="false">
      <c r="B822" s="1" t="s">
        <v>1545</v>
      </c>
      <c r="O822" s="1" t="s">
        <v>1546</v>
      </c>
    </row>
    <row r="823" customFormat="false" ht="15" hidden="false" customHeight="true" outlineLevel="0" collapsed="false">
      <c r="B823" s="1" t="s">
        <v>1499</v>
      </c>
      <c r="C823" s="1" t="s">
        <v>1547</v>
      </c>
      <c r="D823" s="1" t="s">
        <v>1548</v>
      </c>
    </row>
    <row r="824" customFormat="false" ht="15" hidden="false" customHeight="true" outlineLevel="0" collapsed="false">
      <c r="B824" s="1" t="s">
        <v>1512</v>
      </c>
      <c r="C824" s="43" t="n">
        <f aca="false">IF(E800&lt;=$E$807,$C$32,IF(E800=$F$807,$C$33,IF(E800=$G$807,$C$34,IF(E800=$H$807,$C$35,IF(E800=$I$807,$C$36,$C$704)))))</f>
        <v>0.185</v>
      </c>
      <c r="D824" s="43" t="n">
        <f aca="false">IF(F800&lt;=$E$807,$C$32,IF(F800=$F$807,$C$33,IF(F800=$G$807,$C$34,IF(F800=$H$807,$C$35,IF(F800=$I$807,$C$36,$C$704)))))</f>
        <v>0.05</v>
      </c>
      <c r="O824" s="1" t="s">
        <v>1549</v>
      </c>
    </row>
    <row r="825" customFormat="false" ht="15" hidden="false" customHeight="true" outlineLevel="0" collapsed="false">
      <c r="B825" s="1" t="s">
        <v>1514</v>
      </c>
      <c r="C825" s="43" t="n">
        <f aca="false">IF(E801&lt;=$E$807,$C$32,IF(E801=$F$807,$C$33,IF(E801=$G$807,$C$34,IF(E801=$H$807,$C$35,IF(E801=$I$807,$C$36,$C$704)))))</f>
        <v>0.185</v>
      </c>
      <c r="D825" s="43" t="n">
        <f aca="false">IF(F801&lt;=$E$807,$C$32,IF(F801=$F$807,$C$33,IF(F801=$G$807,$C$34,IF(F801=$H$807,$C$35,IF(F801=$I$807,$C$36,$C$704)))))</f>
        <v>0.02</v>
      </c>
      <c r="O825" s="1" t="s">
        <v>1550</v>
      </c>
    </row>
    <row r="826" customFormat="false" ht="15" hidden="false" customHeight="true" outlineLevel="0" collapsed="false">
      <c r="B826" s="1" t="s">
        <v>1516</v>
      </c>
      <c r="C826" s="43" t="n">
        <f aca="false">IF(E802&lt;=$E$807,$C$32,IF(E802=$F$807,$C$33,IF(E802=$G$807,$C$34,IF(E802=$H$807,$C$35,IF(E802=$I$807,$C$36,$C$704)))))</f>
        <v>0.1</v>
      </c>
      <c r="D826" s="43" t="n">
        <f aca="false">IF(F802&lt;=$E$807,$C$32,IF(F802=$F$807,$C$33,IF(F802=$G$807,$C$34,IF(F802=$H$807,$C$35,IF(F802=$I$807,$C$36,$C$704)))))</f>
        <v>0.02</v>
      </c>
      <c r="O826" s="1" t="s">
        <v>1550</v>
      </c>
    </row>
    <row r="827" customFormat="false" ht="15" hidden="false" customHeight="true" outlineLevel="0" collapsed="false">
      <c r="B827" s="1" t="s">
        <v>1518</v>
      </c>
      <c r="C827" s="43" t="n">
        <f aca="false">IF(E803&lt;=$E$807,$C$32,IF(E803=$F$807,$C$33,IF(E803=$G$807,$C$34,IF(E803=$H$807,$C$35,IF(E803=$I$807,$C$36,$C$704)))))</f>
        <v>0.05</v>
      </c>
      <c r="D827" s="43" t="n">
        <f aca="false">IF(F803&lt;=$E$807,$C$32,IF(F803=$F$807,$C$33,IF(F803=$G$807,$C$34,IF(F803=$H$807,$C$35,IF(F803=$I$807,$C$36,$C$704)))))</f>
        <v>0.02</v>
      </c>
      <c r="O827" s="1" t="s">
        <v>1550</v>
      </c>
    </row>
    <row r="828" customFormat="false" ht="15" hidden="false" customHeight="true" outlineLevel="0" collapsed="false">
      <c r="B828" s="1" t="s">
        <v>1520</v>
      </c>
      <c r="C828" s="43" t="n">
        <f aca="false">IF(E804&lt;=$E$807,$C$32,IF(E804=$F$807,$C$33,IF(E804=$G$807,$C$34,IF(E804=$H$807,$C$35,IF(E804=$I$807,$C$36,$C$704)))))</f>
        <v>0.05</v>
      </c>
      <c r="D828" s="43" t="n">
        <f aca="false">IF(F804&lt;=$E$807,$C$32,IF(F804=$F$807,$C$33,IF(F804=$G$807,$C$34,IF(F804=$H$807,$C$35,IF(F804=$I$807,$C$36,$C$704)))))</f>
        <v>0.02</v>
      </c>
      <c r="O828" s="1" t="s">
        <v>1550</v>
      </c>
    </row>
  </sheetData>
  <mergeCells count="1">
    <mergeCell ref="B1:O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P9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3" topLeftCell="D14" activePane="bottomRight" state="frozen"/>
      <selection pane="topLeft" activeCell="A1" activeCellId="0" sqref="A1"/>
      <selection pane="topRight" activeCell="D1" activeCellId="0" sqref="D1"/>
      <selection pane="bottomLeft" activeCell="A14" activeCellId="0" sqref="A14"/>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1" width="1.7"/>
    <col collapsed="false" customWidth="true" hidden="false" outlineLevel="0" max="3" min="3" style="1" width="46"/>
    <col collapsed="false" customWidth="true" hidden="false" outlineLevel="0" max="15" min="4" style="1" width="12.3"/>
    <col collapsed="false" customWidth="true" hidden="false" outlineLevel="0" max="16" min="16" style="1" width="26"/>
  </cols>
  <sheetData>
    <row r="2" customFormat="false" ht="21.75" hidden="false" customHeight="true" outlineLevel="0" collapsed="false">
      <c r="C2" s="46" t="str">
        <f aca="false">"Financial Statement Model - "&amp;Cover!$D$5</f>
        <v>Financial Statement Model - GATX Corporation</v>
      </c>
      <c r="D2" s="47"/>
      <c r="E2" s="47"/>
      <c r="F2" s="47"/>
      <c r="G2" s="47"/>
      <c r="H2" s="47"/>
      <c r="I2" s="47"/>
      <c r="J2" s="47"/>
      <c r="K2" s="47"/>
      <c r="L2" s="47"/>
      <c r="M2" s="47"/>
      <c r="N2" s="47"/>
      <c r="O2" s="47"/>
      <c r="P2" s="47"/>
    </row>
    <row r="3" customFormat="false" ht="15" hidden="false" customHeight="true" outlineLevel="0" collapsed="false">
      <c r="C3" s="48" t="s">
        <v>1</v>
      </c>
    </row>
    <row r="5" customFormat="false" ht="15" hidden="false" customHeight="true" outlineLevel="0" collapsed="false">
      <c r="C5" s="4" t="s">
        <v>2</v>
      </c>
      <c r="D5" s="49" t="str">
        <f aca="false">Cover!$D$5</f>
        <v>GATX Corporation</v>
      </c>
    </row>
    <row r="6" customFormat="false" ht="15" hidden="false" customHeight="true" outlineLevel="0" collapsed="false">
      <c r="C6" s="4" t="s">
        <v>4</v>
      </c>
      <c r="D6" s="49" t="str">
        <f aca="false">Cover!$D$6</f>
        <v>GATX</v>
      </c>
    </row>
    <row r="7" customFormat="false" ht="15" hidden="false" customHeight="true" outlineLevel="0" collapsed="false">
      <c r="C7" s="4" t="s">
        <v>1551</v>
      </c>
      <c r="D7" s="49" t="n">
        <f aca="false">Cover!$D$7</f>
        <v>1</v>
      </c>
    </row>
    <row r="8" customFormat="false" ht="15" hidden="false" customHeight="true" outlineLevel="0" collapsed="false">
      <c r="C8" s="4" t="s">
        <v>7</v>
      </c>
      <c r="D8" s="6" t="n">
        <f aca="false">Cover!$D$8</f>
        <v>162.78</v>
      </c>
    </row>
    <row r="9" customFormat="false" ht="15" hidden="false" customHeight="true" outlineLevel="0" collapsed="false">
      <c r="C9" s="4" t="s">
        <v>8</v>
      </c>
      <c r="D9" s="50" t="n">
        <f aca="false">Cover!$D$9</f>
        <v>46303</v>
      </c>
    </row>
    <row r="10" customFormat="false" ht="15" hidden="false" customHeight="true" outlineLevel="0" collapsed="false">
      <c r="C10" s="4" t="s">
        <v>9</v>
      </c>
      <c r="D10" s="50" t="n">
        <f aca="false">Cover!$D$10</f>
        <v>46022</v>
      </c>
    </row>
    <row r="11" customFormat="false" ht="15" hidden="false" customHeight="true" outlineLevel="0" collapsed="false">
      <c r="C11" s="4" t="s">
        <v>1552</v>
      </c>
      <c r="D11" s="8" t="n">
        <f aca="false">Cover!$D$11</f>
        <v>35.8</v>
      </c>
    </row>
    <row r="13" customFormat="false" ht="15" hidden="false" customHeight="true" outlineLevel="0" collapsed="false">
      <c r="C13" s="51" t="s">
        <v>1553</v>
      </c>
      <c r="D13" s="51"/>
      <c r="E13" s="51"/>
      <c r="F13" s="51"/>
      <c r="G13" s="51"/>
      <c r="H13" s="51"/>
      <c r="I13" s="51"/>
      <c r="J13" s="51"/>
      <c r="K13" s="51"/>
      <c r="L13" s="51"/>
      <c r="M13" s="51"/>
      <c r="N13" s="51"/>
      <c r="O13" s="51"/>
      <c r="P13" s="51"/>
    </row>
    <row r="14" customFormat="false" ht="14.25" hidden="false" customHeight="true" outlineLevel="0" collapsed="false">
      <c r="C14" s="11"/>
      <c r="D14" s="11"/>
      <c r="E14" s="11"/>
      <c r="F14" s="11"/>
      <c r="G14" s="11"/>
      <c r="H14" s="11"/>
      <c r="I14" s="11"/>
      <c r="J14" s="11"/>
      <c r="K14" s="11"/>
      <c r="L14" s="11"/>
      <c r="M14" s="11"/>
      <c r="N14" s="11"/>
      <c r="O14" s="11"/>
      <c r="P14" s="11"/>
    </row>
    <row r="15" customFormat="false" ht="14.25" hidden="false" customHeight="true" outlineLevel="0" collapsed="false">
      <c r="A15" s="22" t="s">
        <v>11</v>
      </c>
      <c r="C15" s="52" t="s">
        <v>1554</v>
      </c>
      <c r="D15" s="53" t="s">
        <v>1555</v>
      </c>
      <c r="E15" s="53" t="s">
        <v>1556</v>
      </c>
      <c r="F15" s="53" t="s">
        <v>1557</v>
      </c>
      <c r="G15" s="53" t="s">
        <v>1558</v>
      </c>
      <c r="H15" s="53" t="s">
        <v>1559</v>
      </c>
      <c r="I15" s="53" t="s">
        <v>1531</v>
      </c>
      <c r="J15" s="54"/>
      <c r="K15" s="54"/>
      <c r="L15" s="54"/>
      <c r="M15" s="54"/>
      <c r="N15" s="54"/>
      <c r="O15" s="54"/>
      <c r="P15" s="54"/>
    </row>
    <row r="16" customFormat="false" ht="14.25" hidden="false" customHeight="true" outlineLevel="0" collapsed="false">
      <c r="C16" s="17" t="s">
        <v>1560</v>
      </c>
      <c r="D16" s="31" t="n">
        <v>1087.5</v>
      </c>
      <c r="E16" s="31" t="n">
        <v>1140.5</v>
      </c>
      <c r="F16" s="31" t="n">
        <v>1154.6</v>
      </c>
      <c r="G16" s="31" t="n">
        <v>1251.4</v>
      </c>
      <c r="H16" s="31" t="n">
        <v>1381.1</v>
      </c>
      <c r="I16" s="31" t="n">
        <v>1486.2</v>
      </c>
      <c r="J16" s="11"/>
      <c r="K16" s="11"/>
      <c r="L16" s="11"/>
      <c r="M16" s="11"/>
      <c r="N16" s="11"/>
      <c r="O16" s="11"/>
      <c r="P16" s="25" t="s">
        <v>1561</v>
      </c>
    </row>
    <row r="17" customFormat="false" ht="14.25" hidden="false" customHeight="true" outlineLevel="0" collapsed="false">
      <c r="C17" s="17" t="s">
        <v>1562</v>
      </c>
      <c r="D17" s="31" t="n">
        <v>0</v>
      </c>
      <c r="E17" s="31" t="n">
        <v>0</v>
      </c>
      <c r="F17" s="31" t="n">
        <v>1.5</v>
      </c>
      <c r="G17" s="31" t="n">
        <v>37.6</v>
      </c>
      <c r="H17" s="31" t="n">
        <v>64.6</v>
      </c>
      <c r="I17" s="31" t="n">
        <v>86.7</v>
      </c>
      <c r="J17" s="11"/>
      <c r="K17" s="11"/>
      <c r="L17" s="11"/>
      <c r="M17" s="11"/>
      <c r="N17" s="11"/>
      <c r="O17" s="11"/>
      <c r="P17" s="11"/>
    </row>
    <row r="18" customFormat="false" ht="14.25" hidden="false" customHeight="true" outlineLevel="0" collapsed="false">
      <c r="C18" s="17" t="s">
        <v>1563</v>
      </c>
      <c r="D18" s="31" t="n">
        <v>15.6</v>
      </c>
      <c r="E18" s="31" t="n">
        <v>19.1</v>
      </c>
      <c r="F18" s="31" t="n">
        <v>18.9</v>
      </c>
      <c r="G18" s="31" t="n">
        <v>6.9</v>
      </c>
      <c r="H18" s="31" t="n">
        <v>0</v>
      </c>
      <c r="I18" s="31" t="n">
        <v>0</v>
      </c>
      <c r="J18" s="11"/>
      <c r="K18" s="11"/>
      <c r="L18" s="11"/>
      <c r="M18" s="11"/>
      <c r="N18" s="11"/>
      <c r="O18" s="11"/>
      <c r="P18" s="11"/>
    </row>
    <row r="19" customFormat="false" ht="14.25" hidden="false" customHeight="true" outlineLevel="0" collapsed="false">
      <c r="C19" s="17" t="s">
        <v>1564</v>
      </c>
      <c r="D19" s="31" t="n">
        <v>106.1</v>
      </c>
      <c r="E19" s="31" t="n">
        <v>97.8</v>
      </c>
      <c r="F19" s="31" t="n">
        <v>98</v>
      </c>
      <c r="G19" s="31" t="n">
        <v>115</v>
      </c>
      <c r="H19" s="31" t="n">
        <v>139.8</v>
      </c>
      <c r="I19" s="31" t="n">
        <v>167.5</v>
      </c>
      <c r="J19" s="11"/>
      <c r="K19" s="11"/>
      <c r="L19" s="11"/>
      <c r="M19" s="11"/>
      <c r="N19" s="11"/>
      <c r="O19" s="11"/>
      <c r="P19" s="11"/>
    </row>
    <row r="20" customFormat="false" ht="14.25" hidden="false" customHeight="true" outlineLevel="0" collapsed="false">
      <c r="C20" s="55" t="s">
        <v>1565</v>
      </c>
      <c r="D20" s="56" t="n">
        <v>1209.2</v>
      </c>
      <c r="E20" s="56" t="n">
        <v>1257.4</v>
      </c>
      <c r="F20" s="56" t="n">
        <v>1273</v>
      </c>
      <c r="G20" s="56" t="n">
        <v>1410.9</v>
      </c>
      <c r="H20" s="56" t="n">
        <v>1585.5</v>
      </c>
      <c r="I20" s="56" t="n">
        <v>1740.4</v>
      </c>
      <c r="J20" s="11"/>
      <c r="K20" s="11"/>
      <c r="L20" s="11"/>
      <c r="M20" s="11"/>
      <c r="N20" s="11"/>
      <c r="O20" s="11"/>
      <c r="P20" s="11"/>
    </row>
    <row r="21" customFormat="false" ht="14.25" hidden="false" customHeight="true" outlineLevel="0" collapsed="false">
      <c r="C21" s="17" t="s">
        <v>1566</v>
      </c>
      <c r="D21" s="31" t="n">
        <v>-315.5</v>
      </c>
      <c r="E21" s="31" t="n">
        <v>-297.1</v>
      </c>
      <c r="F21" s="31" t="n">
        <v>-292.7</v>
      </c>
      <c r="G21" s="31" t="n">
        <v>-344.8</v>
      </c>
      <c r="H21" s="31" t="n">
        <v>-381.6</v>
      </c>
      <c r="I21" s="31" t="n">
        <v>-427.7</v>
      </c>
      <c r="J21" s="11"/>
      <c r="K21" s="11"/>
      <c r="L21" s="11"/>
      <c r="M21" s="11"/>
      <c r="N21" s="11"/>
      <c r="O21" s="11"/>
      <c r="P21" s="11"/>
    </row>
    <row r="22" customFormat="false" ht="14.25" hidden="false" customHeight="true" outlineLevel="0" collapsed="false">
      <c r="C22" s="17" t="s">
        <v>1567</v>
      </c>
      <c r="D22" s="31" t="n">
        <v>-19.7</v>
      </c>
      <c r="E22" s="31" t="n">
        <v>-17.5</v>
      </c>
      <c r="F22" s="31" t="n">
        <v>-14.1</v>
      </c>
      <c r="G22" s="31" t="n">
        <v>-6.5</v>
      </c>
      <c r="H22" s="31" t="n">
        <v>0</v>
      </c>
      <c r="I22" s="31" t="n">
        <v>0</v>
      </c>
      <c r="J22" s="11"/>
      <c r="K22" s="11"/>
      <c r="L22" s="11"/>
      <c r="M22" s="11"/>
      <c r="N22" s="11"/>
      <c r="O22" s="11"/>
      <c r="P22" s="11"/>
    </row>
    <row r="23" customFormat="false" ht="14.25" hidden="false" customHeight="true" outlineLevel="0" collapsed="false">
      <c r="C23" s="17" t="s">
        <v>1568</v>
      </c>
      <c r="D23" s="31" t="n">
        <v>-330.5</v>
      </c>
      <c r="E23" s="31" t="n">
        <v>-364.4</v>
      </c>
      <c r="F23" s="31" t="n">
        <v>-357.5</v>
      </c>
      <c r="G23" s="31" t="n">
        <v>-376.3</v>
      </c>
      <c r="H23" s="31" t="n">
        <v>-402.4</v>
      </c>
      <c r="I23" s="31" t="n">
        <v>-431.8</v>
      </c>
      <c r="J23" s="11"/>
      <c r="K23" s="11"/>
      <c r="L23" s="11"/>
      <c r="M23" s="11"/>
      <c r="N23" s="11"/>
      <c r="O23" s="11"/>
      <c r="P23" s="11"/>
    </row>
    <row r="24" customFormat="false" ht="14.25" hidden="false" customHeight="true" outlineLevel="0" collapsed="false">
      <c r="C24" s="17" t="s">
        <v>1569</v>
      </c>
      <c r="D24" s="31" t="n">
        <v>-49.3</v>
      </c>
      <c r="E24" s="31" t="n">
        <v>-39.2</v>
      </c>
      <c r="F24" s="31" t="n">
        <v>-36.1</v>
      </c>
      <c r="G24" s="31" t="n">
        <v>-36</v>
      </c>
      <c r="H24" s="31" t="n">
        <v>-33.9</v>
      </c>
      <c r="I24" s="31" t="n">
        <v>-28.9</v>
      </c>
      <c r="J24" s="11"/>
      <c r="K24" s="11"/>
      <c r="L24" s="11"/>
      <c r="M24" s="11"/>
      <c r="N24" s="11"/>
      <c r="O24" s="11"/>
      <c r="P24" s="11"/>
    </row>
    <row r="25" customFormat="false" ht="14.25" hidden="false" customHeight="true" outlineLevel="0" collapsed="false">
      <c r="C25" s="17" t="s">
        <v>1570</v>
      </c>
      <c r="D25" s="31" t="n">
        <v>-35.3</v>
      </c>
      <c r="E25" s="31" t="n">
        <v>-44</v>
      </c>
      <c r="F25" s="31" t="n">
        <v>-37.4</v>
      </c>
      <c r="G25" s="31" t="n">
        <v>-46.6</v>
      </c>
      <c r="H25" s="31" t="n">
        <v>-57.7</v>
      </c>
      <c r="I25" s="31" t="n">
        <v>-65.3</v>
      </c>
      <c r="J25" s="11"/>
      <c r="K25" s="11"/>
      <c r="L25" s="11"/>
      <c r="M25" s="11"/>
      <c r="N25" s="11"/>
      <c r="O25" s="11"/>
      <c r="P25" s="11"/>
    </row>
    <row r="26" customFormat="false" ht="14.25" hidden="false" customHeight="true" outlineLevel="0" collapsed="false">
      <c r="C26" s="17" t="s">
        <v>1571</v>
      </c>
      <c r="D26" s="31" t="n">
        <v>-172</v>
      </c>
      <c r="E26" s="31" t="n">
        <v>-198.3</v>
      </c>
      <c r="F26" s="31" t="n">
        <v>-195</v>
      </c>
      <c r="G26" s="31" t="n">
        <v>-212.7</v>
      </c>
      <c r="H26" s="31" t="n">
        <v>-236.3</v>
      </c>
      <c r="I26" s="31" t="n">
        <v>-252.6</v>
      </c>
      <c r="J26" s="11"/>
      <c r="K26" s="11"/>
      <c r="L26" s="11"/>
      <c r="M26" s="11"/>
      <c r="N26" s="11"/>
      <c r="O26" s="11"/>
      <c r="P26" s="11"/>
    </row>
    <row r="27" customFormat="false" ht="14.25" hidden="false" customHeight="true" outlineLevel="0" collapsed="false">
      <c r="C27" s="55" t="s">
        <v>1572</v>
      </c>
      <c r="D27" s="56" t="n">
        <v>-922.3</v>
      </c>
      <c r="E27" s="56" t="n">
        <v>-960.5</v>
      </c>
      <c r="F27" s="56" t="n">
        <v>-932.8</v>
      </c>
      <c r="G27" s="56" t="n">
        <v>-1022.9</v>
      </c>
      <c r="H27" s="56" t="n">
        <v>-1111.9</v>
      </c>
      <c r="I27" s="56" t="n">
        <v>-1206.3</v>
      </c>
      <c r="J27" s="11"/>
      <c r="K27" s="11"/>
      <c r="L27" s="11"/>
      <c r="M27" s="11"/>
      <c r="N27" s="11"/>
      <c r="O27" s="11"/>
      <c r="P27" s="11"/>
    </row>
    <row r="28" customFormat="false" ht="14.25" hidden="false" customHeight="true" outlineLevel="0" collapsed="false">
      <c r="C28" s="17" t="s">
        <v>1573</v>
      </c>
      <c r="D28" s="31" t="n">
        <v>41.7</v>
      </c>
      <c r="E28" s="31" t="n">
        <v>105.9</v>
      </c>
      <c r="F28" s="31" t="n">
        <v>77.9</v>
      </c>
      <c r="G28" s="31" t="n">
        <v>130.3</v>
      </c>
      <c r="H28" s="31" t="n">
        <v>138.3</v>
      </c>
      <c r="I28" s="31" t="n">
        <v>136.9</v>
      </c>
      <c r="J28" s="11"/>
      <c r="K28" s="11"/>
      <c r="L28" s="11"/>
      <c r="M28" s="11"/>
      <c r="N28" s="11"/>
      <c r="O28" s="11"/>
      <c r="P28" s="11"/>
    </row>
    <row r="29" customFormat="false" ht="14.25" hidden="false" customHeight="true" outlineLevel="0" collapsed="false">
      <c r="C29" s="17" t="s">
        <v>1574</v>
      </c>
      <c r="D29" s="31" t="n">
        <v>-190.3</v>
      </c>
      <c r="E29" s="31" t="n">
        <v>-204</v>
      </c>
      <c r="F29" s="31" t="n">
        <v>-214</v>
      </c>
      <c r="G29" s="31" t="n">
        <v>-263.4</v>
      </c>
      <c r="H29" s="31" t="n">
        <v>-341</v>
      </c>
      <c r="I29" s="31" t="n">
        <v>-391.5</v>
      </c>
      <c r="J29" s="11"/>
      <c r="K29" s="11"/>
      <c r="L29" s="11"/>
      <c r="M29" s="11"/>
      <c r="N29" s="11"/>
      <c r="O29" s="11"/>
      <c r="P29" s="11"/>
    </row>
    <row r="30" customFormat="false" ht="14.25" hidden="false" customHeight="true" outlineLevel="0" collapsed="false">
      <c r="C30" s="17" t="s">
        <v>1575</v>
      </c>
      <c r="D30" s="31" t="n">
        <v>-13</v>
      </c>
      <c r="E30" s="31" t="n">
        <v>-3.7</v>
      </c>
      <c r="F30" s="31" t="n">
        <v>-27</v>
      </c>
      <c r="G30" s="31" t="n">
        <v>-9.4</v>
      </c>
      <c r="H30" s="31" t="n">
        <v>-9.5</v>
      </c>
      <c r="I30" s="33" t="n">
        <v>-0.4</v>
      </c>
      <c r="J30" s="11"/>
      <c r="K30" s="11"/>
      <c r="L30" s="11"/>
      <c r="M30" s="11"/>
      <c r="N30" s="11"/>
      <c r="O30" s="11"/>
      <c r="P30" s="11"/>
    </row>
    <row r="31" customFormat="false" ht="14.25" hidden="false" customHeight="true" outlineLevel="0" collapsed="false">
      <c r="C31" s="55" t="s">
        <v>1576</v>
      </c>
      <c r="D31" s="56" t="n">
        <v>125.3</v>
      </c>
      <c r="E31" s="56" t="n">
        <v>195.1</v>
      </c>
      <c r="F31" s="56" t="n">
        <v>177.1</v>
      </c>
      <c r="G31" s="56" t="n">
        <v>245.5</v>
      </c>
      <c r="H31" s="56" t="n">
        <v>261.4</v>
      </c>
      <c r="I31" s="56" t="n">
        <v>279.1</v>
      </c>
      <c r="J31" s="11"/>
      <c r="K31" s="11"/>
      <c r="L31" s="11"/>
      <c r="M31" s="11"/>
      <c r="N31" s="11"/>
      <c r="O31" s="11"/>
      <c r="P31" s="11"/>
    </row>
    <row r="32" customFormat="false" ht="14.25" hidden="false" customHeight="true" outlineLevel="0" collapsed="false">
      <c r="C32" s="17" t="s">
        <v>1577</v>
      </c>
      <c r="D32" s="31" t="n">
        <v>-25</v>
      </c>
      <c r="E32" s="31" t="n">
        <v>-53.2</v>
      </c>
      <c r="F32" s="31" t="n">
        <v>-54.8</v>
      </c>
      <c r="G32" s="31" t="n">
        <v>-58.7</v>
      </c>
      <c r="H32" s="31" t="n">
        <v>-60</v>
      </c>
      <c r="I32" s="31" t="n">
        <v>-63.1</v>
      </c>
      <c r="J32" s="11"/>
      <c r="K32" s="11"/>
      <c r="L32" s="11"/>
      <c r="M32" s="11"/>
      <c r="N32" s="11"/>
      <c r="O32" s="11"/>
      <c r="P32" s="11"/>
    </row>
    <row r="33" customFormat="false" ht="14.25" hidden="false" customHeight="true" outlineLevel="0" collapsed="false">
      <c r="C33" s="17" t="s">
        <v>1578</v>
      </c>
      <c r="D33" s="31" t="n">
        <v>49.9</v>
      </c>
      <c r="E33" s="31" t="n">
        <v>1.2</v>
      </c>
      <c r="F33" s="31" t="n">
        <v>33.6</v>
      </c>
      <c r="G33" s="31" t="n">
        <v>72.4</v>
      </c>
      <c r="H33" s="31" t="n">
        <v>82.8</v>
      </c>
      <c r="I33" s="31" t="n">
        <v>117.3</v>
      </c>
      <c r="J33" s="11"/>
      <c r="K33" s="11"/>
      <c r="L33" s="11"/>
      <c r="M33" s="11"/>
      <c r="N33" s="11"/>
      <c r="O33" s="11"/>
      <c r="P33" s="11"/>
    </row>
    <row r="34" customFormat="false" ht="14.25" hidden="false" customHeight="true" outlineLevel="0" collapsed="false">
      <c r="C34" s="55" t="s">
        <v>1579</v>
      </c>
      <c r="D34" s="56" t="n">
        <v>150.2</v>
      </c>
      <c r="E34" s="56" t="n">
        <v>143.1</v>
      </c>
      <c r="F34" s="56" t="n">
        <v>155.9</v>
      </c>
      <c r="G34" s="56" t="n">
        <v>259.2</v>
      </c>
      <c r="H34" s="56" t="n">
        <v>284.2</v>
      </c>
      <c r="I34" s="56" t="n">
        <v>333.3</v>
      </c>
      <c r="J34" s="11"/>
      <c r="K34" s="11"/>
      <c r="L34" s="11"/>
      <c r="M34" s="11"/>
      <c r="N34" s="11"/>
      <c r="O34" s="11"/>
      <c r="P34" s="11"/>
    </row>
    <row r="35" customFormat="false" ht="14.25" hidden="false" customHeight="true" outlineLevel="0" collapsed="false">
      <c r="C35" s="55" t="s">
        <v>1580</v>
      </c>
      <c r="D35" s="56" t="n">
        <v>150.2</v>
      </c>
      <c r="E35" s="56" t="n">
        <v>143.1</v>
      </c>
      <c r="F35" s="56" t="n">
        <v>155.9</v>
      </c>
      <c r="G35" s="56" t="n">
        <v>259.2</v>
      </c>
      <c r="H35" s="56" t="n">
        <v>284.2</v>
      </c>
      <c r="I35" s="56" t="n">
        <v>333.3</v>
      </c>
      <c r="J35" s="11"/>
      <c r="K35" s="11"/>
      <c r="L35" s="11"/>
      <c r="M35" s="11"/>
      <c r="N35" s="11"/>
      <c r="O35" s="11"/>
      <c r="P35" s="11"/>
    </row>
    <row r="36" customFormat="false" ht="14.25" hidden="false" customHeight="true" outlineLevel="0" collapsed="false">
      <c r="C36" s="17" t="s">
        <v>1581</v>
      </c>
      <c r="D36" s="57" t="n">
        <v>4.28</v>
      </c>
      <c r="E36" s="57" t="n">
        <v>4.02</v>
      </c>
      <c r="F36" s="57" t="n">
        <v>4.36</v>
      </c>
      <c r="G36" s="57" t="n">
        <v>7.12</v>
      </c>
      <c r="H36" s="57" t="n">
        <v>7.78</v>
      </c>
      <c r="I36" s="57" t="n">
        <v>9.12</v>
      </c>
      <c r="J36" s="11"/>
      <c r="K36" s="11"/>
      <c r="L36" s="11"/>
      <c r="M36" s="11"/>
      <c r="N36" s="11"/>
      <c r="O36" s="11"/>
      <c r="P36" s="11"/>
    </row>
    <row r="37" customFormat="false" ht="14.25" hidden="false" customHeight="true" outlineLevel="0" collapsed="false">
      <c r="C37" s="11"/>
      <c r="D37" s="11"/>
      <c r="E37" s="11"/>
      <c r="F37" s="11"/>
      <c r="G37" s="11"/>
      <c r="H37" s="11"/>
      <c r="I37" s="11"/>
      <c r="J37" s="11"/>
      <c r="K37" s="11"/>
      <c r="L37" s="11"/>
      <c r="M37" s="11"/>
      <c r="N37" s="11"/>
      <c r="O37" s="11"/>
      <c r="P37" s="11"/>
    </row>
    <row r="38" customFormat="false" ht="14.25" hidden="false" customHeight="true" outlineLevel="0" collapsed="false">
      <c r="C38" s="11"/>
      <c r="D38" s="11"/>
      <c r="E38" s="11"/>
      <c r="F38" s="11"/>
      <c r="G38" s="11"/>
      <c r="H38" s="11"/>
      <c r="I38" s="11"/>
      <c r="J38" s="11"/>
      <c r="K38" s="11"/>
      <c r="L38" s="11"/>
      <c r="M38" s="11"/>
      <c r="N38" s="11"/>
      <c r="O38" s="11"/>
      <c r="P38" s="11"/>
    </row>
    <row r="39" customFormat="false" ht="14.25" hidden="false" customHeight="true" outlineLevel="0" collapsed="false">
      <c r="C39" s="21" t="s">
        <v>1582</v>
      </c>
      <c r="D39" s="58" t="s">
        <v>1555</v>
      </c>
      <c r="E39" s="58" t="s">
        <v>1556</v>
      </c>
      <c r="F39" s="58" t="s">
        <v>1557</v>
      </c>
      <c r="G39" s="58" t="s">
        <v>1558</v>
      </c>
      <c r="H39" s="58" t="s">
        <v>1559</v>
      </c>
      <c r="I39" s="58" t="s">
        <v>1531</v>
      </c>
      <c r="J39" s="11"/>
      <c r="K39" s="11"/>
      <c r="L39" s="11"/>
      <c r="M39" s="11"/>
      <c r="N39" s="11"/>
      <c r="O39" s="11"/>
      <c r="P39" s="11"/>
    </row>
    <row r="40" customFormat="false" ht="14.25" hidden="false" customHeight="true" outlineLevel="0" collapsed="false">
      <c r="C40" s="17" t="s">
        <v>1583</v>
      </c>
      <c r="D40" s="31" t="n">
        <v>292.2</v>
      </c>
      <c r="E40" s="31" t="n">
        <v>344.3</v>
      </c>
      <c r="F40" s="31" t="n">
        <v>303.7</v>
      </c>
      <c r="G40" s="31" t="n">
        <v>450.7</v>
      </c>
      <c r="H40" s="31" t="n">
        <v>401.6</v>
      </c>
      <c r="I40" s="31" t="n">
        <v>743</v>
      </c>
      <c r="J40" s="11"/>
      <c r="K40" s="11"/>
      <c r="L40" s="11"/>
      <c r="M40" s="11"/>
      <c r="N40" s="11"/>
      <c r="O40" s="11"/>
      <c r="P40" s="25" t="s">
        <v>1584</v>
      </c>
    </row>
    <row r="41" customFormat="false" ht="14.25" hidden="false" customHeight="true" outlineLevel="0" collapsed="false">
      <c r="C41" s="17" t="s">
        <v>1585</v>
      </c>
      <c r="D41" s="33" t="n">
        <v>0.4</v>
      </c>
      <c r="E41" s="33" t="n">
        <v>0.2</v>
      </c>
      <c r="F41" s="33" t="n">
        <v>0.3</v>
      </c>
      <c r="G41" s="33" t="n">
        <v>0.1</v>
      </c>
      <c r="H41" s="33" t="n">
        <v>0.2</v>
      </c>
      <c r="I41" s="31" t="n">
        <v>4241.9</v>
      </c>
      <c r="J41" s="11"/>
      <c r="K41" s="11"/>
      <c r="L41" s="11"/>
      <c r="M41" s="11"/>
      <c r="N41" s="11"/>
      <c r="O41" s="11"/>
      <c r="P41" s="11"/>
    </row>
    <row r="42" customFormat="false" ht="14.25" hidden="false" customHeight="true" outlineLevel="0" collapsed="false">
      <c r="C42" s="17" t="s">
        <v>1586</v>
      </c>
      <c r="D42" s="31" t="n">
        <v>0</v>
      </c>
      <c r="E42" s="31" t="n">
        <v>0</v>
      </c>
      <c r="F42" s="31" t="n">
        <v>148.5</v>
      </c>
      <c r="G42" s="31" t="n">
        <v>0</v>
      </c>
      <c r="H42" s="31" t="n">
        <v>0</v>
      </c>
      <c r="I42" s="31" t="n">
        <v>0</v>
      </c>
      <c r="J42" s="11"/>
      <c r="K42" s="11"/>
      <c r="L42" s="11"/>
      <c r="M42" s="11"/>
      <c r="N42" s="11"/>
      <c r="O42" s="11"/>
      <c r="P42" s="11"/>
    </row>
    <row r="43" customFormat="false" ht="14.25" hidden="false" customHeight="true" outlineLevel="0" collapsed="false">
      <c r="C43" s="17" t="s">
        <v>1587</v>
      </c>
      <c r="D43" s="31" t="n">
        <v>142.2</v>
      </c>
      <c r="E43" s="31" t="n">
        <v>163.8</v>
      </c>
      <c r="F43" s="31" t="n">
        <v>162</v>
      </c>
      <c r="G43" s="31" t="n">
        <v>218.4</v>
      </c>
      <c r="H43" s="31" t="n">
        <v>199.1</v>
      </c>
      <c r="I43" s="31" t="n">
        <v>207.2</v>
      </c>
      <c r="J43" s="11"/>
      <c r="K43" s="11"/>
      <c r="L43" s="11"/>
      <c r="M43" s="11"/>
      <c r="N43" s="11"/>
      <c r="O43" s="11"/>
      <c r="P43" s="11"/>
    </row>
    <row r="44" customFormat="false" ht="14.25" hidden="false" customHeight="true" outlineLevel="0" collapsed="false">
      <c r="C44" s="17" t="s">
        <v>1588</v>
      </c>
      <c r="D44" s="59" t="n">
        <v>10484</v>
      </c>
      <c r="E44" s="59" t="n">
        <v>11163.6</v>
      </c>
      <c r="F44" s="59" t="n">
        <v>11675</v>
      </c>
      <c r="G44" s="59" t="n">
        <v>13081.9</v>
      </c>
      <c r="H44" s="59" t="n">
        <v>14330.6</v>
      </c>
      <c r="I44" s="59" t="n">
        <v>15662.6</v>
      </c>
      <c r="J44" s="11"/>
      <c r="K44" s="11"/>
      <c r="L44" s="11"/>
      <c r="M44" s="11"/>
      <c r="N44" s="11"/>
      <c r="O44" s="11"/>
      <c r="P44" s="11"/>
    </row>
    <row r="45" customFormat="false" ht="14.25" hidden="false" customHeight="true" outlineLevel="0" collapsed="false">
      <c r="C45" s="17" t="s">
        <v>1589</v>
      </c>
      <c r="D45" s="31" t="n">
        <v>-3313.3</v>
      </c>
      <c r="E45" s="31" t="n">
        <v>-3378.8</v>
      </c>
      <c r="F45" s="31" t="n">
        <v>-3424.7</v>
      </c>
      <c r="G45" s="31" t="n">
        <v>-3670.7</v>
      </c>
      <c r="H45" s="31" t="n">
        <v>-3880.9</v>
      </c>
      <c r="I45" s="31" t="n">
        <v>-4251.7</v>
      </c>
      <c r="J45" s="11"/>
      <c r="K45" s="11"/>
      <c r="L45" s="11"/>
      <c r="M45" s="11"/>
      <c r="N45" s="11"/>
      <c r="O45" s="11"/>
      <c r="P45" s="11"/>
    </row>
    <row r="46" customFormat="false" ht="14.25" hidden="false" customHeight="true" outlineLevel="0" collapsed="false">
      <c r="C46" s="55" t="s">
        <v>1590</v>
      </c>
      <c r="D46" s="60" t="n">
        <v>7170.7</v>
      </c>
      <c r="E46" s="60" t="n">
        <v>7784.8</v>
      </c>
      <c r="F46" s="60" t="n">
        <v>8250.3</v>
      </c>
      <c r="G46" s="60" t="n">
        <v>9411.2</v>
      </c>
      <c r="H46" s="60" t="n">
        <v>10449.7</v>
      </c>
      <c r="I46" s="60" t="n">
        <v>11410.9</v>
      </c>
      <c r="J46" s="11"/>
      <c r="K46" s="11"/>
      <c r="L46" s="11"/>
      <c r="M46" s="11"/>
      <c r="N46" s="11"/>
      <c r="O46" s="11"/>
      <c r="P46" s="11"/>
    </row>
    <row r="47" customFormat="false" ht="14.25" hidden="false" customHeight="true" outlineLevel="0" collapsed="false">
      <c r="C47" s="17" t="s">
        <v>1591</v>
      </c>
      <c r="D47" s="31" t="n">
        <v>335.9</v>
      </c>
      <c r="E47" s="31" t="n">
        <v>270.7</v>
      </c>
      <c r="F47" s="31" t="n">
        <v>243.5</v>
      </c>
      <c r="G47" s="31" t="n">
        <v>212</v>
      </c>
      <c r="H47" s="31" t="n">
        <v>165.4</v>
      </c>
      <c r="I47" s="31" t="n">
        <v>137.4</v>
      </c>
      <c r="J47" s="11"/>
      <c r="K47" s="11"/>
      <c r="L47" s="11"/>
      <c r="M47" s="11"/>
      <c r="N47" s="11"/>
      <c r="O47" s="11"/>
      <c r="P47" s="11"/>
    </row>
    <row r="48" customFormat="false" ht="14.25" hidden="false" customHeight="true" outlineLevel="0" collapsed="false">
      <c r="C48" s="17" t="s">
        <v>1592</v>
      </c>
      <c r="D48" s="31" t="n">
        <v>37.5</v>
      </c>
      <c r="E48" s="31" t="n">
        <v>1.5</v>
      </c>
      <c r="F48" s="31" t="n">
        <v>0</v>
      </c>
      <c r="G48" s="31" t="n">
        <v>0</v>
      </c>
      <c r="H48" s="31" t="n">
        <v>0</v>
      </c>
      <c r="I48" s="31" t="n">
        <v>0</v>
      </c>
      <c r="J48" s="11"/>
      <c r="K48" s="11"/>
      <c r="L48" s="11"/>
      <c r="M48" s="11"/>
      <c r="N48" s="11"/>
      <c r="O48" s="11"/>
      <c r="P48" s="11"/>
    </row>
    <row r="49" customFormat="false" ht="14.25" hidden="false" customHeight="true" outlineLevel="0" collapsed="false">
      <c r="C49" s="17" t="s">
        <v>1593</v>
      </c>
      <c r="D49" s="31" t="n">
        <v>584.7</v>
      </c>
      <c r="E49" s="31" t="n">
        <v>588.4</v>
      </c>
      <c r="F49" s="31" t="n">
        <v>575.1</v>
      </c>
      <c r="G49" s="31" t="n">
        <v>627</v>
      </c>
      <c r="H49" s="31" t="n">
        <v>663.3</v>
      </c>
      <c r="I49" s="31" t="n">
        <v>732.3</v>
      </c>
      <c r="J49" s="11"/>
      <c r="K49" s="11"/>
      <c r="L49" s="11"/>
      <c r="M49" s="11"/>
      <c r="N49" s="11"/>
      <c r="O49" s="11"/>
      <c r="P49" s="11"/>
    </row>
    <row r="50" customFormat="false" ht="14.25" hidden="false" customHeight="true" outlineLevel="0" collapsed="false">
      <c r="C50" s="17" t="s">
        <v>1594</v>
      </c>
      <c r="D50" s="31" t="n">
        <v>143.7</v>
      </c>
      <c r="E50" s="31" t="n">
        <v>123</v>
      </c>
      <c r="F50" s="31" t="n">
        <v>117.2</v>
      </c>
      <c r="G50" s="31" t="n">
        <v>120</v>
      </c>
      <c r="H50" s="31" t="n">
        <v>114.1</v>
      </c>
      <c r="I50" s="31" t="n">
        <v>126.3</v>
      </c>
      <c r="J50" s="11"/>
      <c r="K50" s="11"/>
      <c r="L50" s="11"/>
      <c r="M50" s="11"/>
      <c r="N50" s="11"/>
      <c r="O50" s="11"/>
      <c r="P50" s="11"/>
    </row>
    <row r="51" customFormat="false" ht="14.25" hidden="false" customHeight="true" outlineLevel="0" collapsed="false">
      <c r="C51" s="17" t="s">
        <v>1595</v>
      </c>
      <c r="D51" s="31" t="n">
        <v>230.3</v>
      </c>
      <c r="E51" s="31" t="n">
        <v>265</v>
      </c>
      <c r="F51" s="31" t="n">
        <v>271.4</v>
      </c>
      <c r="G51" s="31" t="n">
        <v>286.6</v>
      </c>
      <c r="H51" s="31" t="n">
        <v>303.1</v>
      </c>
      <c r="I51" s="31" t="n">
        <v>400.5</v>
      </c>
      <c r="J51" s="11"/>
      <c r="K51" s="11"/>
      <c r="L51" s="11"/>
      <c r="M51" s="11"/>
      <c r="N51" s="11"/>
      <c r="O51" s="11"/>
      <c r="P51" s="11"/>
    </row>
    <row r="52" customFormat="false" ht="14.25" hidden="false" customHeight="true" outlineLevel="0" collapsed="false">
      <c r="C52" s="55" t="s">
        <v>1596</v>
      </c>
      <c r="D52" s="56" t="n">
        <v>8937.6</v>
      </c>
      <c r="E52" s="56" t="n">
        <v>9541.7</v>
      </c>
      <c r="F52" s="56" t="n">
        <v>10072</v>
      </c>
      <c r="G52" s="56" t="n">
        <v>11326</v>
      </c>
      <c r="H52" s="56" t="n">
        <v>12296.5</v>
      </c>
      <c r="I52" s="56" t="n">
        <v>17999.5</v>
      </c>
      <c r="J52" s="11"/>
      <c r="K52" s="11"/>
      <c r="L52" s="11"/>
      <c r="M52" s="11"/>
      <c r="N52" s="11"/>
      <c r="O52" s="11"/>
      <c r="P52" s="11"/>
    </row>
    <row r="53" customFormat="false" ht="14.25" hidden="false" customHeight="true" outlineLevel="0" collapsed="false">
      <c r="C53" s="17" t="s">
        <v>1597</v>
      </c>
      <c r="D53" s="31" t="n">
        <v>147.3</v>
      </c>
      <c r="E53" s="31" t="n">
        <v>215.8</v>
      </c>
      <c r="F53" s="31" t="n">
        <v>202.2</v>
      </c>
      <c r="G53" s="31" t="n">
        <v>239.6</v>
      </c>
      <c r="H53" s="31" t="n">
        <v>217.1</v>
      </c>
      <c r="I53" s="31" t="n">
        <v>318.4</v>
      </c>
      <c r="J53" s="11"/>
      <c r="K53" s="11"/>
      <c r="L53" s="11"/>
      <c r="M53" s="11"/>
      <c r="N53" s="11"/>
      <c r="O53" s="11"/>
      <c r="P53" s="11"/>
    </row>
    <row r="54" customFormat="false" ht="14.25" hidden="false" customHeight="true" outlineLevel="0" collapsed="false">
      <c r="C54" s="17" t="s">
        <v>1598</v>
      </c>
      <c r="D54" s="59" t="n">
        <v>23.6</v>
      </c>
      <c r="E54" s="59" t="n">
        <v>18.1</v>
      </c>
      <c r="F54" s="59" t="n">
        <v>17.3</v>
      </c>
      <c r="G54" s="59" t="n">
        <v>11</v>
      </c>
      <c r="H54" s="59" t="n">
        <v>10.4</v>
      </c>
      <c r="I54" s="59" t="n">
        <v>82.2</v>
      </c>
      <c r="J54" s="11"/>
      <c r="K54" s="11"/>
      <c r="L54" s="11"/>
      <c r="M54" s="11"/>
      <c r="N54" s="11"/>
      <c r="O54" s="11"/>
      <c r="P54" s="11"/>
    </row>
    <row r="55" customFormat="false" ht="14.25" hidden="false" customHeight="true" outlineLevel="0" collapsed="false">
      <c r="C55" s="17" t="s">
        <v>1599</v>
      </c>
      <c r="D55" s="31" t="n">
        <v>5329</v>
      </c>
      <c r="E55" s="31" t="n">
        <v>5887.5</v>
      </c>
      <c r="F55" s="31" t="n">
        <v>6431.5</v>
      </c>
      <c r="G55" s="31" t="n">
        <v>7388.1</v>
      </c>
      <c r="H55" s="31" t="n">
        <v>8215.3</v>
      </c>
      <c r="I55" s="31" t="n">
        <v>12451.7</v>
      </c>
      <c r="J55" s="11"/>
      <c r="K55" s="11"/>
      <c r="L55" s="11"/>
      <c r="M55" s="11"/>
      <c r="N55" s="11"/>
      <c r="O55" s="11"/>
      <c r="P55" s="11"/>
    </row>
    <row r="56" customFormat="false" ht="14.25" hidden="false" customHeight="true" outlineLevel="0" collapsed="false">
      <c r="C56" s="55" t="s">
        <v>1600</v>
      </c>
      <c r="D56" s="56" t="n">
        <v>5352.6</v>
      </c>
      <c r="E56" s="56" t="n">
        <v>5905.6</v>
      </c>
      <c r="F56" s="56" t="n">
        <v>6448.8</v>
      </c>
      <c r="G56" s="56" t="n">
        <v>7399.1</v>
      </c>
      <c r="H56" s="56" t="n">
        <v>8225.7</v>
      </c>
      <c r="I56" s="56" t="n">
        <v>12533.9</v>
      </c>
      <c r="J56" s="11"/>
      <c r="K56" s="11"/>
      <c r="L56" s="11"/>
      <c r="M56" s="11"/>
      <c r="N56" s="11"/>
      <c r="O56" s="11"/>
      <c r="P56" s="11"/>
    </row>
    <row r="57" customFormat="false" ht="14.25" hidden="false" customHeight="true" outlineLevel="0" collapsed="false">
      <c r="C57" s="17" t="s">
        <v>1601</v>
      </c>
      <c r="D57" s="31" t="n">
        <v>348.6</v>
      </c>
      <c r="E57" s="31" t="n">
        <v>286.2</v>
      </c>
      <c r="F57" s="31" t="n">
        <v>257.9</v>
      </c>
      <c r="G57" s="31" t="n">
        <v>226.8</v>
      </c>
      <c r="H57" s="31" t="n">
        <v>180</v>
      </c>
      <c r="I57" s="31" t="n">
        <v>154.3</v>
      </c>
      <c r="J57" s="11"/>
      <c r="K57" s="11"/>
      <c r="L57" s="11"/>
      <c r="M57" s="11"/>
      <c r="N57" s="11"/>
      <c r="O57" s="11"/>
      <c r="P57" s="11"/>
    </row>
    <row r="58" customFormat="false" ht="14.25" hidden="false" customHeight="true" outlineLevel="0" collapsed="false">
      <c r="C58" s="17" t="s">
        <v>1602</v>
      </c>
      <c r="D58" s="31" t="n">
        <v>33.3</v>
      </c>
      <c r="E58" s="31" t="n">
        <v>1.5</v>
      </c>
      <c r="F58" s="31" t="n">
        <v>0</v>
      </c>
      <c r="G58" s="31" t="n">
        <v>0</v>
      </c>
      <c r="H58" s="31" t="n">
        <v>0</v>
      </c>
      <c r="I58" s="31" t="n">
        <v>0</v>
      </c>
      <c r="J58" s="11"/>
      <c r="K58" s="11"/>
      <c r="L58" s="11"/>
      <c r="M58" s="11"/>
      <c r="N58" s="11"/>
      <c r="O58" s="11"/>
      <c r="P58" s="11"/>
    </row>
    <row r="59" customFormat="false" ht="14.25" hidden="false" customHeight="true" outlineLevel="0" collapsed="false">
      <c r="C59" s="17" t="s">
        <v>1603</v>
      </c>
      <c r="D59" s="31" t="n">
        <v>962.8</v>
      </c>
      <c r="E59" s="31" t="n">
        <v>1001</v>
      </c>
      <c r="F59" s="31" t="n">
        <v>1031.5</v>
      </c>
      <c r="G59" s="31" t="n">
        <v>1081.1</v>
      </c>
      <c r="H59" s="31" t="n">
        <v>1127.3</v>
      </c>
      <c r="I59" s="31" t="n">
        <v>1195.7</v>
      </c>
      <c r="J59" s="11"/>
      <c r="K59" s="11"/>
      <c r="L59" s="11"/>
      <c r="M59" s="11"/>
      <c r="N59" s="11"/>
      <c r="O59" s="11"/>
      <c r="P59" s="11"/>
    </row>
    <row r="60" customFormat="false" ht="14.25" hidden="false" customHeight="true" outlineLevel="0" collapsed="false">
      <c r="C60" s="17" t="s">
        <v>1604</v>
      </c>
      <c r="D60" s="59" t="n">
        <v>135.6</v>
      </c>
      <c r="E60" s="59" t="n">
        <v>112.4</v>
      </c>
      <c r="F60" s="59" t="n">
        <v>102</v>
      </c>
      <c r="G60" s="59" t="n">
        <v>106.4</v>
      </c>
      <c r="H60" s="59" t="n">
        <v>107.5</v>
      </c>
      <c r="I60" s="59" t="n">
        <v>162.1</v>
      </c>
      <c r="J60" s="11"/>
      <c r="K60" s="11"/>
      <c r="L60" s="11"/>
      <c r="M60" s="11"/>
      <c r="N60" s="11"/>
      <c r="O60" s="11"/>
      <c r="P60" s="11"/>
    </row>
    <row r="61" customFormat="false" ht="14.25" hidden="false" customHeight="true" outlineLevel="0" collapsed="false">
      <c r="C61" s="55" t="s">
        <v>1605</v>
      </c>
      <c r="D61" s="60" t="n">
        <v>6980.2</v>
      </c>
      <c r="E61" s="60" t="n">
        <v>7522.5</v>
      </c>
      <c r="F61" s="60" t="n">
        <v>8042.4</v>
      </c>
      <c r="G61" s="60" t="n">
        <v>9053</v>
      </c>
      <c r="H61" s="60" t="n">
        <v>9857.6</v>
      </c>
      <c r="I61" s="60" t="n">
        <v>14364.4</v>
      </c>
      <c r="J61" s="11"/>
      <c r="K61" s="11"/>
      <c r="L61" s="11"/>
      <c r="M61" s="11"/>
      <c r="N61" s="11"/>
      <c r="O61" s="11"/>
      <c r="P61" s="11"/>
    </row>
    <row r="62" customFormat="false" ht="14.25" hidden="false" customHeight="true" outlineLevel="0" collapsed="false">
      <c r="C62" s="17" t="s">
        <v>1606</v>
      </c>
      <c r="D62" s="31" t="n">
        <v>41.9</v>
      </c>
      <c r="E62" s="31" t="n">
        <v>42.2</v>
      </c>
      <c r="F62" s="31" t="n">
        <v>42.4</v>
      </c>
      <c r="G62" s="31" t="n">
        <v>42.5</v>
      </c>
      <c r="H62" s="31" t="n">
        <v>42.7</v>
      </c>
      <c r="I62" s="31" t="n">
        <v>42.9</v>
      </c>
      <c r="J62" s="11"/>
      <c r="K62" s="11"/>
      <c r="L62" s="11"/>
      <c r="M62" s="11"/>
      <c r="N62" s="11"/>
      <c r="O62" s="11"/>
      <c r="P62" s="11"/>
    </row>
    <row r="63" customFormat="false" ht="14.25" hidden="false" customHeight="true" outlineLevel="0" collapsed="false">
      <c r="C63" s="17" t="s">
        <v>1607</v>
      </c>
      <c r="D63" s="31" t="n">
        <v>735.4</v>
      </c>
      <c r="E63" s="31" t="n">
        <v>763.8</v>
      </c>
      <c r="F63" s="31" t="n">
        <v>792.2</v>
      </c>
      <c r="G63" s="31" t="n">
        <v>816.1</v>
      </c>
      <c r="H63" s="31" t="n">
        <v>847.1</v>
      </c>
      <c r="I63" s="31" t="n">
        <v>875.4</v>
      </c>
      <c r="J63" s="11"/>
      <c r="K63" s="11"/>
      <c r="L63" s="11"/>
      <c r="M63" s="11"/>
      <c r="N63" s="11"/>
      <c r="O63" s="11"/>
      <c r="P63" s="11"/>
    </row>
    <row r="64" customFormat="false" ht="14.25" hidden="false" customHeight="true" outlineLevel="0" collapsed="false">
      <c r="C64" s="17" t="s">
        <v>1608</v>
      </c>
      <c r="D64" s="31" t="n">
        <v>2682.1</v>
      </c>
      <c r="E64" s="31" t="n">
        <v>2751.5</v>
      </c>
      <c r="F64" s="31" t="n">
        <v>2831.5</v>
      </c>
      <c r="G64" s="31" t="n">
        <v>3009.5</v>
      </c>
      <c r="H64" s="31" t="n">
        <v>3208.1</v>
      </c>
      <c r="I64" s="31" t="n">
        <v>3451.2</v>
      </c>
      <c r="J64" s="11"/>
      <c r="K64" s="11"/>
      <c r="L64" s="11"/>
      <c r="M64" s="11"/>
      <c r="N64" s="11"/>
      <c r="O64" s="11"/>
      <c r="P64" s="11"/>
    </row>
    <row r="65" customFormat="false" ht="14.25" hidden="false" customHeight="true" outlineLevel="0" collapsed="false">
      <c r="C65" s="17" t="s">
        <v>1609</v>
      </c>
      <c r="D65" s="31" t="n">
        <v>-137.5</v>
      </c>
      <c r="E65" s="31" t="n">
        <v>-160.6</v>
      </c>
      <c r="F65" s="31" t="n">
        <v>-211.6</v>
      </c>
      <c r="G65" s="31" t="n">
        <v>-167.6</v>
      </c>
      <c r="H65" s="31" t="n">
        <v>-209.6</v>
      </c>
      <c r="I65" s="31" t="n">
        <v>-104.6</v>
      </c>
      <c r="J65" s="11"/>
      <c r="K65" s="11"/>
      <c r="L65" s="11"/>
      <c r="M65" s="11"/>
      <c r="N65" s="11"/>
      <c r="O65" s="11"/>
      <c r="P65" s="11"/>
    </row>
    <row r="66" customFormat="false" ht="14.25" hidden="false" customHeight="true" outlineLevel="0" collapsed="false">
      <c r="C66" s="17" t="s">
        <v>1610</v>
      </c>
      <c r="D66" s="31" t="n">
        <v>-1364.5</v>
      </c>
      <c r="E66" s="31" t="n">
        <v>-1377.7</v>
      </c>
      <c r="F66" s="31" t="n">
        <v>-1424.9</v>
      </c>
      <c r="G66" s="31" t="n">
        <v>-1427.5</v>
      </c>
      <c r="H66" s="31" t="n">
        <v>-1449.4</v>
      </c>
      <c r="I66" s="31" t="n">
        <v>-1514.4</v>
      </c>
      <c r="J66" s="11"/>
      <c r="K66" s="11"/>
      <c r="L66" s="11"/>
      <c r="M66" s="11"/>
      <c r="N66" s="11"/>
      <c r="O66" s="11"/>
      <c r="P66" s="11"/>
    </row>
    <row r="67" customFormat="false" ht="14.25" hidden="false" customHeight="true" outlineLevel="0" collapsed="false">
      <c r="C67" s="55" t="s">
        <v>1611</v>
      </c>
      <c r="D67" s="56" t="n">
        <v>1957.4</v>
      </c>
      <c r="E67" s="56" t="n">
        <v>2019.2</v>
      </c>
      <c r="F67" s="56" t="n">
        <v>2029.6</v>
      </c>
      <c r="G67" s="56" t="n">
        <v>2273</v>
      </c>
      <c r="H67" s="56" t="n">
        <v>2438.9</v>
      </c>
      <c r="I67" s="56" t="n">
        <v>2750.5</v>
      </c>
      <c r="J67" s="11"/>
      <c r="K67" s="11"/>
      <c r="L67" s="11"/>
      <c r="M67" s="11"/>
      <c r="N67" s="11"/>
      <c r="O67" s="11"/>
      <c r="P67" s="11"/>
    </row>
    <row r="68" customFormat="false" ht="14.25" hidden="false" customHeight="true" outlineLevel="0" collapsed="false">
      <c r="C68" s="17" t="s">
        <v>1612</v>
      </c>
      <c r="D68" s="31" t="n">
        <v>0</v>
      </c>
      <c r="E68" s="31" t="n">
        <v>0</v>
      </c>
      <c r="F68" s="31" t="n">
        <v>0</v>
      </c>
      <c r="G68" s="31" t="n">
        <v>0</v>
      </c>
      <c r="H68" s="31" t="n">
        <v>0</v>
      </c>
      <c r="I68" s="31" t="n">
        <v>884.6</v>
      </c>
      <c r="J68" s="11"/>
      <c r="K68" s="11"/>
      <c r="L68" s="11"/>
      <c r="M68" s="11"/>
      <c r="N68" s="11"/>
      <c r="O68" s="11"/>
      <c r="P68" s="11"/>
    </row>
    <row r="69" customFormat="false" ht="14.25" hidden="false" customHeight="true" outlineLevel="0" collapsed="false">
      <c r="C69" s="55" t="s">
        <v>1613</v>
      </c>
      <c r="D69" s="56" t="n">
        <v>1957.4</v>
      </c>
      <c r="E69" s="56" t="n">
        <v>2019.2</v>
      </c>
      <c r="F69" s="56" t="n">
        <v>2029.6</v>
      </c>
      <c r="G69" s="56" t="n">
        <v>2273</v>
      </c>
      <c r="H69" s="56" t="n">
        <v>2438.9</v>
      </c>
      <c r="I69" s="56" t="n">
        <v>3635.1</v>
      </c>
      <c r="J69" s="11"/>
      <c r="K69" s="11"/>
      <c r="L69" s="11"/>
      <c r="M69" s="11"/>
      <c r="N69" s="11"/>
      <c r="O69" s="11"/>
      <c r="P69" s="11"/>
    </row>
    <row r="70" customFormat="false" ht="14.25" hidden="false" customHeight="true" outlineLevel="0" collapsed="false">
      <c r="C70" s="55" t="s">
        <v>1614</v>
      </c>
      <c r="D70" s="60" t="n">
        <v>8937.6</v>
      </c>
      <c r="E70" s="60" t="n">
        <v>9541.7</v>
      </c>
      <c r="F70" s="60" t="n">
        <v>10072</v>
      </c>
      <c r="G70" s="60" t="n">
        <v>11326</v>
      </c>
      <c r="H70" s="60" t="n">
        <v>12296.5</v>
      </c>
      <c r="I70" s="60" t="n">
        <v>17999.5</v>
      </c>
      <c r="J70" s="11"/>
      <c r="K70" s="11"/>
      <c r="L70" s="11"/>
      <c r="M70" s="11"/>
      <c r="N70" s="11"/>
      <c r="O70" s="11"/>
      <c r="P70" s="11"/>
    </row>
    <row r="71" customFormat="false" ht="14.25" hidden="false" customHeight="true" outlineLevel="0" collapsed="false">
      <c r="C71" s="11"/>
      <c r="D71" s="11"/>
      <c r="E71" s="11"/>
      <c r="F71" s="11"/>
      <c r="G71" s="11"/>
      <c r="H71" s="11"/>
      <c r="I71" s="11"/>
      <c r="J71" s="11"/>
      <c r="K71" s="11"/>
      <c r="L71" s="11"/>
      <c r="M71" s="11"/>
      <c r="N71" s="11"/>
      <c r="O71" s="11"/>
      <c r="P71" s="11"/>
    </row>
    <row r="72" customFormat="false" ht="14.25" hidden="false" customHeight="true" outlineLevel="0" collapsed="false">
      <c r="C72" s="11"/>
      <c r="D72" s="11"/>
      <c r="E72" s="11"/>
      <c r="F72" s="11"/>
      <c r="G72" s="11"/>
      <c r="H72" s="11"/>
      <c r="I72" s="11"/>
      <c r="J72" s="11"/>
      <c r="K72" s="11"/>
      <c r="L72" s="11"/>
      <c r="M72" s="11"/>
      <c r="N72" s="11"/>
      <c r="O72" s="11"/>
      <c r="P72" s="11"/>
    </row>
    <row r="73" customFormat="false" ht="14.25" hidden="false" customHeight="true" outlineLevel="0" collapsed="false">
      <c r="A73" s="22" t="s">
        <v>11</v>
      </c>
      <c r="C73" s="52" t="s">
        <v>1615</v>
      </c>
      <c r="D73" s="53" t="s">
        <v>1555</v>
      </c>
      <c r="E73" s="53" t="s">
        <v>1556</v>
      </c>
      <c r="F73" s="53" t="s">
        <v>1557</v>
      </c>
      <c r="G73" s="53" t="s">
        <v>1558</v>
      </c>
      <c r="H73" s="53" t="s">
        <v>1559</v>
      </c>
      <c r="I73" s="53" t="s">
        <v>1531</v>
      </c>
      <c r="J73" s="54"/>
      <c r="K73" s="54"/>
      <c r="L73" s="54"/>
      <c r="M73" s="54"/>
      <c r="N73" s="54"/>
      <c r="O73" s="54"/>
      <c r="P73" s="54"/>
    </row>
    <row r="74" customFormat="false" ht="14.25" hidden="false" customHeight="true" outlineLevel="0" collapsed="false">
      <c r="C74" s="17" t="s">
        <v>1616</v>
      </c>
      <c r="D74" s="31" t="n">
        <v>150.2</v>
      </c>
      <c r="E74" s="31" t="n">
        <v>143.1</v>
      </c>
      <c r="F74" s="31" t="n">
        <v>155.9</v>
      </c>
      <c r="G74" s="31" t="n">
        <v>259.2</v>
      </c>
      <c r="H74" s="31" t="n">
        <v>284.2</v>
      </c>
      <c r="I74" s="31" t="n">
        <v>333.3</v>
      </c>
      <c r="J74" s="11"/>
      <c r="K74" s="11"/>
      <c r="L74" s="11"/>
      <c r="M74" s="11"/>
      <c r="N74" s="11"/>
      <c r="O74" s="11"/>
      <c r="P74" s="25" t="s">
        <v>1617</v>
      </c>
    </row>
    <row r="75" customFormat="false" ht="14.25" hidden="false" customHeight="true" outlineLevel="0" collapsed="false">
      <c r="C75" s="17" t="s">
        <v>1618</v>
      </c>
      <c r="D75" s="31" t="n">
        <v>345.6</v>
      </c>
      <c r="E75" s="31" t="n">
        <v>380</v>
      </c>
      <c r="F75" s="31" t="n">
        <v>373</v>
      </c>
      <c r="G75" s="31" t="n">
        <v>392.1</v>
      </c>
      <c r="H75" s="31" t="n">
        <v>421.4</v>
      </c>
      <c r="I75" s="31" t="n">
        <v>452.3</v>
      </c>
      <c r="J75" s="11"/>
      <c r="K75" s="11"/>
      <c r="L75" s="11"/>
      <c r="M75" s="11"/>
      <c r="N75" s="11"/>
      <c r="O75" s="11"/>
      <c r="P75" s="11"/>
    </row>
    <row r="76" customFormat="false" ht="14.25" hidden="false" customHeight="true" outlineLevel="0" collapsed="false">
      <c r="C76" s="17" t="s">
        <v>1619</v>
      </c>
      <c r="D76" s="31" t="n">
        <v>37.7</v>
      </c>
      <c r="E76" s="31" t="n">
        <v>-15.9</v>
      </c>
      <c r="F76" s="31" t="n">
        <v>-92.1</v>
      </c>
      <c r="G76" s="31" t="n">
        <v>-130.9</v>
      </c>
      <c r="H76" s="31" t="n">
        <v>-137.8</v>
      </c>
      <c r="I76" s="31" t="n">
        <v>-140</v>
      </c>
      <c r="J76" s="11"/>
      <c r="K76" s="11"/>
      <c r="L76" s="11"/>
      <c r="M76" s="11"/>
      <c r="N76" s="11"/>
      <c r="O76" s="11"/>
      <c r="P76" s="11"/>
    </row>
    <row r="77" customFormat="false" ht="14.25" hidden="false" customHeight="true" outlineLevel="0" collapsed="false">
      <c r="C77" s="17" t="s">
        <v>1620</v>
      </c>
      <c r="D77" s="31" t="n">
        <v>0</v>
      </c>
      <c r="E77" s="31" t="n">
        <v>0</v>
      </c>
      <c r="F77" s="31" t="n">
        <v>0</v>
      </c>
      <c r="G77" s="31" t="n">
        <v>0</v>
      </c>
      <c r="H77" s="31" t="n">
        <v>0</v>
      </c>
      <c r="I77" s="31" t="n">
        <v>-11.8</v>
      </c>
      <c r="J77" s="11"/>
      <c r="K77" s="11"/>
      <c r="L77" s="11"/>
      <c r="M77" s="11"/>
      <c r="N77" s="11"/>
      <c r="O77" s="11"/>
      <c r="P77" s="11"/>
    </row>
    <row r="78" customFormat="false" ht="14.25" hidden="false" customHeight="true" outlineLevel="0" collapsed="false">
      <c r="C78" s="55" t="s">
        <v>1621</v>
      </c>
      <c r="D78" s="56" t="n">
        <v>533.5</v>
      </c>
      <c r="E78" s="56" t="n">
        <v>507.2</v>
      </c>
      <c r="F78" s="56" t="n">
        <v>436.8</v>
      </c>
      <c r="G78" s="56" t="n">
        <v>520.4</v>
      </c>
      <c r="H78" s="56" t="n">
        <v>602.1</v>
      </c>
      <c r="I78" s="56" t="n">
        <v>648.1</v>
      </c>
      <c r="J78" s="11"/>
      <c r="K78" s="11"/>
      <c r="L78" s="11"/>
      <c r="M78" s="11"/>
      <c r="N78" s="11"/>
      <c r="O78" s="11"/>
      <c r="P78" s="11"/>
    </row>
    <row r="79" customFormat="false" ht="14.25" hidden="false" customHeight="true" outlineLevel="0" collapsed="false">
      <c r="C79" s="17" t="s">
        <v>1622</v>
      </c>
      <c r="D79" s="31" t="n">
        <v>-1255.8</v>
      </c>
      <c r="E79" s="31" t="n">
        <v>-1131.9</v>
      </c>
      <c r="F79" s="31" t="n">
        <v>-1064</v>
      </c>
      <c r="G79" s="31" t="n">
        <v>-1665</v>
      </c>
      <c r="H79" s="31" t="n">
        <v>-1674.4</v>
      </c>
      <c r="I79" s="31" t="n">
        <v>-1316.7</v>
      </c>
      <c r="J79" s="11"/>
      <c r="K79" s="11"/>
      <c r="L79" s="11"/>
      <c r="M79" s="11"/>
      <c r="N79" s="11"/>
      <c r="O79" s="11"/>
      <c r="P79" s="11"/>
    </row>
    <row r="80" customFormat="false" ht="14.25" hidden="false" customHeight="true" outlineLevel="0" collapsed="false">
      <c r="C80" s="17" t="s">
        <v>1623</v>
      </c>
      <c r="D80" s="31" t="n">
        <v>31.1</v>
      </c>
      <c r="E80" s="31" t="n">
        <v>54.7</v>
      </c>
      <c r="F80" s="31" t="n">
        <v>26</v>
      </c>
      <c r="G80" s="31" t="n">
        <v>272.8</v>
      </c>
      <c r="H80" s="31" t="n">
        <v>230.6</v>
      </c>
      <c r="I80" s="31" t="n">
        <v>275</v>
      </c>
      <c r="J80" s="11"/>
      <c r="K80" s="11"/>
      <c r="L80" s="11"/>
      <c r="M80" s="11"/>
      <c r="N80" s="11"/>
      <c r="O80" s="11"/>
      <c r="P80" s="11"/>
    </row>
    <row r="81" customFormat="false" ht="14.25" hidden="false" customHeight="true" outlineLevel="0" collapsed="false">
      <c r="C81" s="17" t="s">
        <v>1624</v>
      </c>
      <c r="D81" s="31" t="n">
        <v>0</v>
      </c>
      <c r="E81" s="31" t="n">
        <v>0</v>
      </c>
      <c r="F81" s="31" t="n">
        <v>0</v>
      </c>
      <c r="G81" s="31" t="n">
        <v>20.2</v>
      </c>
      <c r="H81" s="31" t="n">
        <v>24.9</v>
      </c>
      <c r="I81" s="31" t="n">
        <v>36.8</v>
      </c>
      <c r="J81" s="11"/>
      <c r="K81" s="11"/>
      <c r="L81" s="11"/>
      <c r="M81" s="11"/>
      <c r="N81" s="11"/>
      <c r="O81" s="11"/>
      <c r="P81" s="11"/>
    </row>
    <row r="82" customFormat="false" ht="14.25" hidden="false" customHeight="true" outlineLevel="0" collapsed="false">
      <c r="C82" s="17" t="s">
        <v>1625</v>
      </c>
      <c r="D82" s="31" t="n">
        <v>151.2</v>
      </c>
      <c r="E82" s="31" t="n">
        <v>159.5</v>
      </c>
      <c r="F82" s="31" t="n">
        <v>133.1</v>
      </c>
      <c r="G82" s="31" t="n">
        <v>152.7</v>
      </c>
      <c r="H82" s="31" t="n">
        <v>2.2</v>
      </c>
      <c r="I82" s="31" t="n">
        <v>-11.9</v>
      </c>
      <c r="J82" s="11"/>
      <c r="K82" s="11"/>
      <c r="L82" s="11"/>
      <c r="M82" s="11"/>
      <c r="N82" s="11"/>
      <c r="O82" s="11"/>
      <c r="P82" s="11"/>
    </row>
    <row r="83" customFormat="false" ht="14.25" hidden="false" customHeight="true" outlineLevel="0" collapsed="false">
      <c r="C83" s="55" t="s">
        <v>1626</v>
      </c>
      <c r="D83" s="56" t="n">
        <v>-1073.5</v>
      </c>
      <c r="E83" s="56" t="n">
        <v>-917.7</v>
      </c>
      <c r="F83" s="56" t="n">
        <v>-904.9</v>
      </c>
      <c r="G83" s="56" t="n">
        <v>-1219.3</v>
      </c>
      <c r="H83" s="56" t="n">
        <v>-1416.7</v>
      </c>
      <c r="I83" s="56" t="n">
        <v>-1016.8</v>
      </c>
      <c r="J83" s="11"/>
      <c r="K83" s="11"/>
      <c r="L83" s="11"/>
      <c r="M83" s="11"/>
      <c r="N83" s="11"/>
      <c r="O83" s="11"/>
      <c r="P83" s="11"/>
    </row>
    <row r="84" customFormat="false" ht="14.25" hidden="false" customHeight="true" outlineLevel="0" collapsed="false">
      <c r="C84" s="17" t="s">
        <v>1627</v>
      </c>
      <c r="D84" s="31" t="n">
        <v>0</v>
      </c>
      <c r="E84" s="31" t="n">
        <v>0</v>
      </c>
      <c r="F84" s="31" t="n">
        <v>0</v>
      </c>
      <c r="G84" s="31" t="n">
        <v>1420</v>
      </c>
      <c r="H84" s="31" t="n">
        <v>1295.6</v>
      </c>
      <c r="I84" s="31" t="n">
        <v>4841.5</v>
      </c>
      <c r="J84" s="11"/>
      <c r="K84" s="11"/>
      <c r="L84" s="11"/>
      <c r="M84" s="11"/>
      <c r="N84" s="11"/>
      <c r="O84" s="11"/>
      <c r="P84" s="11"/>
    </row>
    <row r="85" customFormat="false" ht="14.25" hidden="false" customHeight="true" outlineLevel="0" collapsed="false">
      <c r="C85" s="17" t="s">
        <v>1628</v>
      </c>
      <c r="D85" s="31" t="n">
        <v>0</v>
      </c>
      <c r="E85" s="31" t="n">
        <v>0</v>
      </c>
      <c r="F85" s="31" t="n">
        <v>0</v>
      </c>
      <c r="G85" s="31" t="n">
        <v>-500</v>
      </c>
      <c r="H85" s="31" t="n">
        <v>-413.5</v>
      </c>
      <c r="I85" s="31" t="n">
        <v>-733.4</v>
      </c>
      <c r="J85" s="11"/>
      <c r="K85" s="11"/>
      <c r="L85" s="11"/>
      <c r="M85" s="11"/>
      <c r="N85" s="11"/>
      <c r="O85" s="11"/>
      <c r="P85" s="11"/>
    </row>
    <row r="86" customFormat="false" ht="14.25" hidden="false" customHeight="true" outlineLevel="0" collapsed="false">
      <c r="C86" s="55" t="s">
        <v>1629</v>
      </c>
      <c r="D86" s="56" t="n">
        <v>0</v>
      </c>
      <c r="E86" s="56" t="n">
        <v>0</v>
      </c>
      <c r="F86" s="56" t="n">
        <v>0</v>
      </c>
      <c r="G86" s="56" t="n">
        <v>-7.1</v>
      </c>
      <c r="H86" s="56" t="n">
        <v>0</v>
      </c>
      <c r="I86" s="56" t="n">
        <v>70.4</v>
      </c>
      <c r="J86" s="11"/>
      <c r="K86" s="11"/>
      <c r="L86" s="11"/>
      <c r="M86" s="11"/>
      <c r="N86" s="11"/>
      <c r="O86" s="11"/>
      <c r="P86" s="11"/>
    </row>
    <row r="87" customFormat="false" ht="14.25" hidden="false" customHeight="true" outlineLevel="0" collapsed="false">
      <c r="C87" s="17" t="s">
        <v>1630</v>
      </c>
      <c r="D87" s="31" t="n">
        <v>0</v>
      </c>
      <c r="E87" s="31" t="n">
        <v>0</v>
      </c>
      <c r="F87" s="31" t="n">
        <v>0</v>
      </c>
      <c r="G87" s="31" t="n">
        <v>0</v>
      </c>
      <c r="H87" s="31" t="n">
        <v>-30.4</v>
      </c>
      <c r="I87" s="31" t="n">
        <v>0</v>
      </c>
      <c r="J87" s="11"/>
      <c r="K87" s="11"/>
      <c r="L87" s="11"/>
      <c r="M87" s="11"/>
      <c r="N87" s="11"/>
      <c r="O87" s="11"/>
      <c r="P87" s="11"/>
    </row>
    <row r="88" customFormat="false" ht="14.25" hidden="false" customHeight="true" outlineLevel="0" collapsed="false">
      <c r="C88" s="17" t="s">
        <v>1631</v>
      </c>
      <c r="D88" s="31" t="n">
        <v>0</v>
      </c>
      <c r="E88" s="31" t="n">
        <v>0</v>
      </c>
      <c r="F88" s="31" t="n">
        <v>0</v>
      </c>
      <c r="G88" s="31" t="n">
        <v>-2.6</v>
      </c>
      <c r="H88" s="31" t="n">
        <v>-21.9</v>
      </c>
      <c r="I88" s="31" t="n">
        <v>-65</v>
      </c>
      <c r="J88" s="11"/>
      <c r="K88" s="11"/>
      <c r="L88" s="11"/>
      <c r="M88" s="11"/>
      <c r="N88" s="11"/>
      <c r="O88" s="11"/>
      <c r="P88" s="11"/>
    </row>
    <row r="89" customFormat="false" ht="14.25" hidden="false" customHeight="true" outlineLevel="0" collapsed="false">
      <c r="C89" s="17" t="s">
        <v>1632</v>
      </c>
      <c r="D89" s="31" t="n">
        <v>-73.6</v>
      </c>
      <c r="E89" s="31" t="n">
        <v>-76.4</v>
      </c>
      <c r="F89" s="31" t="n">
        <v>-76.8</v>
      </c>
      <c r="G89" s="31" t="n">
        <v>-80.6</v>
      </c>
      <c r="H89" s="31" t="n">
        <v>-84.8</v>
      </c>
      <c r="I89" s="31" t="n">
        <v>-89.8</v>
      </c>
      <c r="J89" s="11"/>
      <c r="K89" s="11"/>
      <c r="L89" s="11"/>
      <c r="M89" s="11"/>
      <c r="N89" s="11"/>
      <c r="O89" s="11"/>
      <c r="P89" s="11"/>
    </row>
    <row r="90" customFormat="false" ht="14.25" hidden="false" customHeight="true" outlineLevel="0" collapsed="false">
      <c r="C90" s="17" t="s">
        <v>1633</v>
      </c>
      <c r="D90" s="31" t="n">
        <v>0</v>
      </c>
      <c r="E90" s="31" t="n">
        <v>0</v>
      </c>
      <c r="F90" s="31" t="n">
        <v>0</v>
      </c>
      <c r="G90" s="31" t="n">
        <v>0</v>
      </c>
      <c r="H90" s="31" t="n">
        <v>0</v>
      </c>
      <c r="I90" s="31" t="n">
        <v>899</v>
      </c>
      <c r="J90" s="11"/>
      <c r="K90" s="11"/>
      <c r="L90" s="11"/>
      <c r="M90" s="11"/>
      <c r="N90" s="11"/>
      <c r="O90" s="11"/>
      <c r="P90" s="11"/>
    </row>
    <row r="91" customFormat="false" ht="14.25" hidden="false" customHeight="true" outlineLevel="0" collapsed="false">
      <c r="C91" s="17" t="s">
        <v>1634</v>
      </c>
      <c r="D91" s="31" t="n">
        <v>578</v>
      </c>
      <c r="E91" s="31" t="n">
        <v>539.5</v>
      </c>
      <c r="F91" s="31" t="n">
        <v>432.4</v>
      </c>
      <c r="G91" s="31" t="n">
        <v>14.4</v>
      </c>
      <c r="H91" s="31" t="n">
        <v>25.5</v>
      </c>
      <c r="I91" s="31" t="n">
        <v>22.1</v>
      </c>
      <c r="J91" s="11"/>
      <c r="K91" s="11"/>
      <c r="L91" s="11"/>
      <c r="M91" s="11"/>
      <c r="N91" s="11"/>
      <c r="O91" s="11"/>
      <c r="P91" s="11"/>
    </row>
    <row r="92" customFormat="false" ht="14.25" hidden="false" customHeight="true" outlineLevel="0" collapsed="false">
      <c r="C92" s="55" t="s">
        <v>1635</v>
      </c>
      <c r="D92" s="56" t="n">
        <v>504.4</v>
      </c>
      <c r="E92" s="56" t="n">
        <v>463.1</v>
      </c>
      <c r="F92" s="56" t="n">
        <v>355.6</v>
      </c>
      <c r="G92" s="56" t="n">
        <v>844.1</v>
      </c>
      <c r="H92" s="56" t="n">
        <v>770.5</v>
      </c>
      <c r="I92" s="56" t="n">
        <v>4944.8</v>
      </c>
      <c r="J92" s="11"/>
      <c r="K92" s="11"/>
      <c r="L92" s="11"/>
      <c r="M92" s="11"/>
      <c r="N92" s="11"/>
      <c r="O92" s="11"/>
      <c r="P92" s="11"/>
    </row>
    <row r="93" customFormat="false" ht="14.25" hidden="false" customHeight="true" outlineLevel="0" collapsed="false">
      <c r="C93" s="17" t="s">
        <v>1636</v>
      </c>
      <c r="D93" s="31" t="n">
        <v>3.5</v>
      </c>
      <c r="E93" s="31" t="n">
        <v>-8.7</v>
      </c>
      <c r="F93" s="31" t="n">
        <v>-12.6</v>
      </c>
      <c r="G93" s="31" t="n">
        <v>1.6</v>
      </c>
      <c r="H93" s="31" t="n">
        <v>-4.9</v>
      </c>
      <c r="I93" s="31" t="n">
        <v>7</v>
      </c>
      <c r="J93" s="11"/>
      <c r="K93" s="11"/>
      <c r="L93" s="11"/>
      <c r="M93" s="11"/>
      <c r="N93" s="11"/>
      <c r="O93" s="11"/>
      <c r="P93" s="11"/>
    </row>
    <row r="94" customFormat="false" ht="14.25" hidden="false" customHeight="true" outlineLevel="0" collapsed="false">
      <c r="C94" s="55" t="s">
        <v>1637</v>
      </c>
      <c r="D94" s="56" t="n">
        <v>-32.1</v>
      </c>
      <c r="E94" s="56" t="n">
        <v>43.9</v>
      </c>
      <c r="F94" s="56" t="n">
        <v>-125.1</v>
      </c>
      <c r="G94" s="56" t="n">
        <v>146.8</v>
      </c>
      <c r="H94" s="56" t="n">
        <v>-49</v>
      </c>
      <c r="I94" s="56" t="n">
        <v>4583.1</v>
      </c>
      <c r="J94" s="11"/>
      <c r="K94" s="11"/>
      <c r="L94" s="11"/>
      <c r="M94" s="11"/>
      <c r="N94" s="11"/>
      <c r="O94" s="11"/>
      <c r="P94" s="11"/>
    </row>
    <row r="95" customFormat="false" ht="14.25" hidden="false" customHeight="true" outlineLevel="0" collapsed="false">
      <c r="C95" s="17" t="s">
        <v>1638</v>
      </c>
      <c r="D95" s="31" t="n">
        <v>291.6</v>
      </c>
      <c r="E95" s="31" t="n">
        <v>292.6</v>
      </c>
      <c r="F95" s="31" t="n">
        <v>344.5</v>
      </c>
      <c r="G95" s="31" t="n">
        <v>303.8</v>
      </c>
      <c r="H95" s="31" t="n">
        <v>450.8</v>
      </c>
      <c r="I95" s="31" t="n">
        <v>401.8</v>
      </c>
      <c r="J95" s="11"/>
      <c r="K95" s="11"/>
      <c r="L95" s="11"/>
      <c r="M95" s="11"/>
      <c r="N95" s="11"/>
      <c r="O95" s="11"/>
      <c r="P95" s="11"/>
    </row>
    <row r="96" customFormat="false" ht="14.25" hidden="false" customHeight="true" outlineLevel="0" collapsed="false">
      <c r="C96" s="55" t="s">
        <v>1639</v>
      </c>
      <c r="D96" s="56" t="n">
        <v>292.6</v>
      </c>
      <c r="E96" s="56" t="n">
        <v>344.5</v>
      </c>
      <c r="F96" s="56" t="n">
        <v>304</v>
      </c>
      <c r="G96" s="56" t="n">
        <v>450.7</v>
      </c>
      <c r="H96" s="56" t="n">
        <v>401.8</v>
      </c>
      <c r="I96" s="56" t="n">
        <v>4984.9</v>
      </c>
      <c r="J96" s="11"/>
      <c r="K96" s="11"/>
      <c r="L96" s="11"/>
      <c r="M96" s="11"/>
      <c r="N96" s="11"/>
      <c r="O96" s="11"/>
      <c r="P96" s="11"/>
    </row>
  </sheetData>
  <mergeCells count="1">
    <mergeCell ref="C13:P1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P1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3" topLeftCell="D14" activePane="bottomRight" state="frozen"/>
      <selection pane="topLeft" activeCell="A1" activeCellId="0" sqref="A1"/>
      <selection pane="topRight" activeCell="D1" activeCellId="0" sqref="D1"/>
      <selection pane="bottomLeft" activeCell="A14" activeCellId="0" sqref="A14"/>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1" width="1.7"/>
    <col collapsed="false" customWidth="true" hidden="false" outlineLevel="0" max="3" min="3" style="1" width="46"/>
    <col collapsed="false" customWidth="true" hidden="false" outlineLevel="0" max="16" min="4" style="1" width="12.3"/>
  </cols>
  <sheetData>
    <row r="2" customFormat="false" ht="21.75" hidden="false" customHeight="true" outlineLevel="0" collapsed="false">
      <c r="C2" s="46" t="str">
        <f aca="false">"Financial Statement Model - "&amp;Cover!$D$5</f>
        <v>Financial Statement Model - GATX Corporation</v>
      </c>
      <c r="D2" s="47"/>
      <c r="E2" s="47"/>
      <c r="F2" s="47"/>
      <c r="G2" s="47"/>
      <c r="H2" s="47"/>
      <c r="I2" s="47"/>
      <c r="J2" s="47"/>
      <c r="K2" s="47"/>
      <c r="L2" s="47"/>
      <c r="M2" s="47"/>
      <c r="N2" s="47"/>
      <c r="O2" s="47"/>
      <c r="P2" s="47"/>
    </row>
    <row r="3" customFormat="false" ht="15" hidden="false" customHeight="true" outlineLevel="0" collapsed="false">
      <c r="C3" s="48" t="s">
        <v>1</v>
      </c>
    </row>
    <row r="5" customFormat="false" ht="15" hidden="false" customHeight="true" outlineLevel="0" collapsed="false">
      <c r="C5" s="4" t="s">
        <v>2</v>
      </c>
      <c r="D5" s="49" t="str">
        <f aca="false">Cover!$D$5</f>
        <v>GATX Corporation</v>
      </c>
    </row>
    <row r="6" customFormat="false" ht="15" hidden="false" customHeight="true" outlineLevel="0" collapsed="false">
      <c r="C6" s="4" t="s">
        <v>4</v>
      </c>
      <c r="D6" s="49" t="str">
        <f aca="false">Cover!$D$6</f>
        <v>GATX</v>
      </c>
    </row>
    <row r="7" customFormat="false" ht="15" hidden="false" customHeight="true" outlineLevel="0" collapsed="false">
      <c r="C7" s="4" t="s">
        <v>1551</v>
      </c>
      <c r="D7" s="49" t="n">
        <f aca="false">Cover!$D$7</f>
        <v>1</v>
      </c>
    </row>
    <row r="8" customFormat="false" ht="15" hidden="false" customHeight="true" outlineLevel="0" collapsed="false">
      <c r="C8" s="4" t="s">
        <v>7</v>
      </c>
      <c r="D8" s="6" t="n">
        <f aca="false">Cover!$D$8</f>
        <v>162.78</v>
      </c>
    </row>
    <row r="9" customFormat="false" ht="15" hidden="false" customHeight="true" outlineLevel="0" collapsed="false">
      <c r="C9" s="4" t="s">
        <v>8</v>
      </c>
      <c r="D9" s="50" t="n">
        <f aca="false">Cover!$D$9</f>
        <v>46303</v>
      </c>
    </row>
    <row r="10" customFormat="false" ht="15" hidden="false" customHeight="true" outlineLevel="0" collapsed="false">
      <c r="C10" s="4" t="s">
        <v>9</v>
      </c>
      <c r="D10" s="50" t="n">
        <f aca="false">Cover!$D$10</f>
        <v>46022</v>
      </c>
    </row>
    <row r="11" customFormat="false" ht="15" hidden="false" customHeight="true" outlineLevel="0" collapsed="false">
      <c r="C11" s="4" t="s">
        <v>1552</v>
      </c>
      <c r="D11" s="8" t="n">
        <f aca="false">Cover!$D$11</f>
        <v>35.8</v>
      </c>
    </row>
    <row r="13" customFormat="false" ht="15" hidden="false" customHeight="true" outlineLevel="0" collapsed="false">
      <c r="C13" s="51" t="s">
        <v>1640</v>
      </c>
      <c r="D13" s="51"/>
      <c r="E13" s="51"/>
      <c r="F13" s="51"/>
      <c r="G13" s="51"/>
      <c r="H13" s="51"/>
      <c r="I13" s="51"/>
      <c r="J13" s="51"/>
      <c r="K13" s="51"/>
      <c r="L13" s="51"/>
      <c r="M13" s="51"/>
      <c r="N13" s="51"/>
      <c r="O13" s="51"/>
      <c r="P13" s="51"/>
    </row>
    <row r="14" customFormat="false" ht="14.25" hidden="false" customHeight="true" outlineLevel="0" collapsed="false">
      <c r="C14" s="11"/>
      <c r="D14" s="11"/>
      <c r="E14" s="11"/>
      <c r="F14" s="11"/>
      <c r="G14" s="11"/>
      <c r="H14" s="11"/>
      <c r="I14" s="11"/>
      <c r="J14" s="11"/>
      <c r="K14" s="11"/>
      <c r="L14" s="11"/>
      <c r="M14" s="11"/>
      <c r="N14" s="11"/>
      <c r="O14" s="11"/>
      <c r="P14" s="11"/>
    </row>
    <row r="15" customFormat="false" ht="14.25" hidden="false" customHeight="true" outlineLevel="0" collapsed="false">
      <c r="C15" s="11"/>
      <c r="D15" s="58" t="s">
        <v>1531</v>
      </c>
      <c r="E15" s="58" t="s">
        <v>1532</v>
      </c>
      <c r="F15" s="58" t="s">
        <v>1533</v>
      </c>
      <c r="G15" s="11" t="s">
        <v>1534</v>
      </c>
      <c r="H15" s="11" t="s">
        <v>1535</v>
      </c>
      <c r="I15" s="11" t="s">
        <v>1536</v>
      </c>
      <c r="J15" s="11" t="s">
        <v>1537</v>
      </c>
      <c r="K15" s="11" t="s">
        <v>1538</v>
      </c>
      <c r="L15" s="11" t="s">
        <v>1539</v>
      </c>
      <c r="M15" s="11" t="s">
        <v>1540</v>
      </c>
      <c r="N15" s="11" t="s">
        <v>1541</v>
      </c>
      <c r="O15" s="11"/>
      <c r="P15" s="11"/>
    </row>
    <row r="16" customFormat="false" ht="14.25" hidden="false" customHeight="true" outlineLevel="0" collapsed="false">
      <c r="A16" s="22" t="s">
        <v>11</v>
      </c>
      <c r="C16" s="52" t="s">
        <v>1641</v>
      </c>
      <c r="D16" s="54"/>
      <c r="E16" s="54"/>
      <c r="F16" s="54"/>
      <c r="G16" s="54"/>
      <c r="H16" s="54"/>
      <c r="I16" s="54"/>
      <c r="J16" s="54"/>
      <c r="K16" s="54"/>
      <c r="L16" s="54"/>
      <c r="M16" s="54"/>
      <c r="N16" s="54"/>
      <c r="O16" s="54"/>
      <c r="P16" s="54"/>
    </row>
    <row r="17" customFormat="false" ht="14.25" hidden="false" customHeight="true" outlineLevel="0" collapsed="false">
      <c r="C17" s="55" t="s">
        <v>1642</v>
      </c>
      <c r="D17" s="61" t="n">
        <f aca="false">'Segment P&amp;L'!D36</f>
        <v>1740.4</v>
      </c>
      <c r="E17" s="61" t="n">
        <f aca="false">'Segment P&amp;L'!E36</f>
        <v>2385.45465384829</v>
      </c>
      <c r="F17" s="61" t="n">
        <f aca="false">'Segment P&amp;L'!F36</f>
        <v>2471.47905200311</v>
      </c>
      <c r="G17" s="42" t="n">
        <f aca="false">'Segment P&amp;L'!G36</f>
        <v>2553.71160919839</v>
      </c>
      <c r="H17" s="42" t="n">
        <f aca="false">'Segment P&amp;L'!H36</f>
        <v>2622.88062791535</v>
      </c>
      <c r="I17" s="42" t="n">
        <f aca="false">'Segment P&amp;L'!I36</f>
        <v>2673.49375612723</v>
      </c>
      <c r="J17" s="42" t="n">
        <f aca="false">'Segment P&amp;L'!J36</f>
        <v>2715.56937599861</v>
      </c>
      <c r="K17" s="42" t="n">
        <f aca="false">'Segment P&amp;L'!K36</f>
        <v>2762.92488591932</v>
      </c>
      <c r="L17" s="42" t="n">
        <f aca="false">'Segment P&amp;L'!L36</f>
        <v>2811.62859432273</v>
      </c>
      <c r="M17" s="42" t="n">
        <f aca="false">'Segment P&amp;L'!M36</f>
        <v>2861.73236546795</v>
      </c>
      <c r="N17" s="42" t="n">
        <f aca="false">'Segment P&amp;L'!N36</f>
        <v>2913.28200360693</v>
      </c>
      <c r="O17" s="11"/>
      <c r="P17" s="11"/>
    </row>
    <row r="18" customFormat="false" ht="14.25" hidden="false" customHeight="true" outlineLevel="0" collapsed="false">
      <c r="C18" s="17" t="s">
        <v>1643</v>
      </c>
      <c r="D18" s="31" t="n">
        <v>-427.7</v>
      </c>
      <c r="E18" s="42" t="n">
        <f aca="false">-E17*Drivers!$C$128</f>
        <v>-599.540716833325</v>
      </c>
      <c r="F18" s="42" t="n">
        <f aca="false">-F17*Drivers!$C$128</f>
        <v>-621.161387447079</v>
      </c>
      <c r="G18" s="42" t="n">
        <f aca="false">-G17*Drivers!$C$128</f>
        <v>-641.829047680468</v>
      </c>
      <c r="H18" s="42" t="n">
        <f aca="false">-H17*Drivers!$C$128</f>
        <v>-659.213424699467</v>
      </c>
      <c r="I18" s="42" t="n">
        <f aca="false">-I17*Drivers!$C$128</f>
        <v>-671.934115541515</v>
      </c>
      <c r="J18" s="42" t="n">
        <f aca="false">-J17*Drivers!$C$128</f>
        <v>-682.509058669524</v>
      </c>
      <c r="K18" s="42" t="n">
        <f aca="false">-K17*Drivers!$C$128</f>
        <v>-694.411006299538</v>
      </c>
      <c r="L18" s="42" t="n">
        <f aca="false">-L17*Drivers!$C$128</f>
        <v>-706.651799140228</v>
      </c>
      <c r="M18" s="42" t="n">
        <f aca="false">-M17*Drivers!$C$128</f>
        <v>-719.244472331479</v>
      </c>
      <c r="N18" s="42" t="n">
        <f aca="false">-N17*Drivers!$C$128</f>
        <v>-732.200537940391</v>
      </c>
      <c r="O18" s="11"/>
      <c r="P18" s="11"/>
    </row>
    <row r="19" customFormat="false" ht="14.25" hidden="false" customHeight="true" outlineLevel="0" collapsed="false">
      <c r="C19" s="17" t="s">
        <v>1644</v>
      </c>
      <c r="D19" s="31" t="n">
        <v>-431.8</v>
      </c>
      <c r="E19" s="42" t="n">
        <f aca="false">-Drivers!$C$124</f>
        <v>-671.4</v>
      </c>
      <c r="F19" s="42" t="n">
        <f aca="false">-Drivers!$C$125</f>
        <v>-720</v>
      </c>
      <c r="G19" s="42" t="n">
        <f aca="false">-Drivers!$C$303</f>
        <v>-720</v>
      </c>
      <c r="H19" s="42" t="n">
        <f aca="false">-Drivers!$C$304</f>
        <v>-720</v>
      </c>
      <c r="I19" s="42" t="n">
        <f aca="false">-Drivers!$C$305</f>
        <v>-720</v>
      </c>
      <c r="J19" s="42" t="n">
        <f aca="false">-Drivers!$C$558</f>
        <v>-720</v>
      </c>
      <c r="K19" s="42" t="n">
        <f aca="false">-Drivers!$C$559</f>
        <v>-732.835297066934</v>
      </c>
      <c r="L19" s="42" t="n">
        <f aca="false">-Drivers!$C$560</f>
        <v>-743.923178741539</v>
      </c>
      <c r="M19" s="42" t="n">
        <f aca="false">-Drivers!$C$561</f>
        <v>-755.12193923289</v>
      </c>
      <c r="N19" s="42" t="n">
        <f aca="false">-Drivers!$C$562</f>
        <v>-766.432687329155</v>
      </c>
      <c r="O19" s="11"/>
      <c r="P19" s="11"/>
    </row>
    <row r="20" customFormat="false" ht="14.25" hidden="false" customHeight="true" outlineLevel="0" collapsed="false">
      <c r="C20" s="17" t="s">
        <v>1569</v>
      </c>
      <c r="D20" s="31" t="n">
        <v>-28.9</v>
      </c>
      <c r="E20" s="42" t="n">
        <f aca="false">-Drivers!$C$129</f>
        <v>-29.6</v>
      </c>
      <c r="F20" s="42" t="n">
        <f aca="false">-Drivers!$C$129</f>
        <v>-29.6</v>
      </c>
      <c r="G20" s="42" t="n">
        <f aca="false">-Drivers!$C$129</f>
        <v>-29.6</v>
      </c>
      <c r="H20" s="42" t="n">
        <f aca="false">-Drivers!$C$129</f>
        <v>-29.6</v>
      </c>
      <c r="I20" s="42" t="n">
        <f aca="false">-Drivers!$C$129</f>
        <v>-29.6</v>
      </c>
      <c r="J20" s="42" t="n">
        <f aca="false">-Drivers!$C$129</f>
        <v>-29.6</v>
      </c>
      <c r="K20" s="42" t="n">
        <f aca="false">-Drivers!$C$129</f>
        <v>-29.6</v>
      </c>
      <c r="L20" s="42" t="n">
        <f aca="false">-Drivers!$C$129</f>
        <v>-29.6</v>
      </c>
      <c r="M20" s="42" t="n">
        <f aca="false">-Drivers!$C$129</f>
        <v>-29.6</v>
      </c>
      <c r="N20" s="42" t="n">
        <f aca="false">-Drivers!$C$129</f>
        <v>-29.6</v>
      </c>
      <c r="O20" s="11"/>
      <c r="P20" s="11"/>
    </row>
    <row r="21" customFormat="false" ht="14.25" hidden="false" customHeight="true" outlineLevel="0" collapsed="false">
      <c r="C21" s="17" t="s">
        <v>1570</v>
      </c>
      <c r="D21" s="31" t="n">
        <v>-65.3</v>
      </c>
      <c r="E21" s="42" t="n">
        <f aca="false">-E17*Drivers!$C$130</f>
        <v>-95.4181861539315</v>
      </c>
      <c r="F21" s="42" t="n">
        <f aca="false">-F17*Drivers!$C$130</f>
        <v>-98.8591620801245</v>
      </c>
      <c r="G21" s="42" t="n">
        <f aca="false">-G17*Drivers!$C$130</f>
        <v>-102.148464367936</v>
      </c>
      <c r="H21" s="42" t="n">
        <f aca="false">-H17*Drivers!$C$130</f>
        <v>-104.915225116614</v>
      </c>
      <c r="I21" s="42" t="n">
        <f aca="false">-I17*Drivers!$C$130</f>
        <v>-106.939750245089</v>
      </c>
      <c r="J21" s="42" t="n">
        <f aca="false">-J17*Drivers!$C$130</f>
        <v>-108.622775039944</v>
      </c>
      <c r="K21" s="42" t="n">
        <f aca="false">-K17*Drivers!$C$130</f>
        <v>-110.516995436773</v>
      </c>
      <c r="L21" s="42" t="n">
        <f aca="false">-L17*Drivers!$C$130</f>
        <v>-112.465143772909</v>
      </c>
      <c r="M21" s="42" t="n">
        <f aca="false">-M17*Drivers!$C$130</f>
        <v>-114.469294618718</v>
      </c>
      <c r="N21" s="42" t="n">
        <f aca="false">-N17*Drivers!$C$130</f>
        <v>-116.531280144277</v>
      </c>
      <c r="O21" s="11"/>
      <c r="P21" s="11"/>
    </row>
    <row r="22" customFormat="false" ht="14.25" hidden="false" customHeight="true" outlineLevel="0" collapsed="false">
      <c r="C22" s="17" t="s">
        <v>1571</v>
      </c>
      <c r="D22" s="31" t="n">
        <v>-252.6</v>
      </c>
      <c r="E22" s="42" t="n">
        <f aca="false">-E17*Drivers!$C$127</f>
        <v>-288.640013115643</v>
      </c>
      <c r="F22" s="42" t="n">
        <f aca="false">-F17*Drivers!$C$127</f>
        <v>-299.048965292377</v>
      </c>
      <c r="G22" s="42" t="n">
        <f aca="false">-G17*Drivers!$C$127</f>
        <v>-308.999104713005</v>
      </c>
      <c r="H22" s="42" t="n">
        <f aca="false">-H17*Drivers!$C$127</f>
        <v>-317.368555977757</v>
      </c>
      <c r="I22" s="42" t="n">
        <f aca="false">-I17*Drivers!$C$127</f>
        <v>-323.492744491395</v>
      </c>
      <c r="J22" s="42" t="n">
        <f aca="false">-J17*Drivers!$C$127</f>
        <v>-328.583894495831</v>
      </c>
      <c r="K22" s="42" t="n">
        <f aca="false">-K17*Drivers!$C$127</f>
        <v>-334.313911196238</v>
      </c>
      <c r="L22" s="42" t="n">
        <f aca="false">-L17*Drivers!$C$127</f>
        <v>-340.20705991305</v>
      </c>
      <c r="M22" s="42" t="n">
        <f aca="false">-M17*Drivers!$C$127</f>
        <v>-346.269616221622</v>
      </c>
      <c r="N22" s="42" t="n">
        <f aca="false">-N17*Drivers!$C$127</f>
        <v>-352.507122436439</v>
      </c>
      <c r="O22" s="11"/>
      <c r="P22" s="11"/>
    </row>
    <row r="23" customFormat="false" ht="14.25" hidden="false" customHeight="true" outlineLevel="0" collapsed="false">
      <c r="C23" s="17" t="s">
        <v>1645</v>
      </c>
      <c r="D23" s="31" t="n">
        <v>136.9</v>
      </c>
      <c r="E23" s="42" t="n">
        <f aca="false">'Disposition Engine'!D44+'GABX Mini P&amp;L'!G22</f>
        <v>210.5</v>
      </c>
      <c r="F23" s="42" t="n">
        <f aca="false">'Disposition Engine'!E44+'GABX Mini P&amp;L'!H22</f>
        <v>210.5</v>
      </c>
      <c r="G23" s="42" t="n">
        <f aca="false">'Disposition Engine'!F44+'GABX Mini P&amp;L'!I22</f>
        <v>210.499264</v>
      </c>
      <c r="H23" s="42" t="n">
        <f aca="false">'Disposition Engine'!G44+'GABX Mini P&amp;L'!J22</f>
        <v>210.499264</v>
      </c>
      <c r="I23" s="42" t="n">
        <f aca="false">'Disposition Engine'!H44+'GABX Mini P&amp;L'!K22</f>
        <v>210.499264</v>
      </c>
      <c r="J23" s="42" t="n">
        <f aca="false">'Disposition Engine'!I44+'GABX Mini P&amp;L'!L22</f>
        <v>217.86673824</v>
      </c>
      <c r="K23" s="42" t="n">
        <f aca="false">'Disposition Engine'!J44+'GABX Mini P&amp;L'!M22</f>
        <v>220.4024615784</v>
      </c>
      <c r="L23" s="42" t="n">
        <f aca="false">'Disposition Engine'!K44+'GABX Mini P&amp;L'!N22</f>
        <v>223.026935233644</v>
      </c>
      <c r="M23" s="42" t="n">
        <f aca="false">'Disposition Engine'!L44+'GABX Mini P&amp;L'!O22</f>
        <v>225.743265466821</v>
      </c>
      <c r="N23" s="42" t="n">
        <f aca="false">'Disposition Engine'!M44+'GABX Mini P&amp;L'!P22</f>
        <v>228.55466725816</v>
      </c>
      <c r="O23" s="11"/>
      <c r="P23" s="11"/>
    </row>
    <row r="24" customFormat="false" ht="14.25" hidden="false" customHeight="true" outlineLevel="0" collapsed="false">
      <c r="C24" s="17" t="s">
        <v>1646</v>
      </c>
      <c r="D24" s="42" t="n">
        <f aca="false">'Debt &amp; Interest'!D31</f>
        <v>-391.5</v>
      </c>
      <c r="E24" s="42" t="n">
        <f aca="false">'Debt &amp; Interest'!E31</f>
        <v>-588.82599</v>
      </c>
      <c r="F24" s="42" t="n">
        <f aca="false">'Debt &amp; Interest'!F31</f>
        <v>-615.70826</v>
      </c>
      <c r="G24" s="42" t="n">
        <f aca="false">'Debt &amp; Interest'!G31</f>
        <v>-642.39824</v>
      </c>
      <c r="H24" s="42" t="n">
        <f aca="false">'Debt &amp; Interest'!H31</f>
        <v>-669.29324</v>
      </c>
      <c r="I24" s="42" t="n">
        <f aca="false">'Debt &amp; Interest'!I31</f>
        <v>-715.76368</v>
      </c>
      <c r="J24" s="42" t="n">
        <f aca="false">'Debt &amp; Interest'!J31</f>
        <v>-727.515906481672</v>
      </c>
      <c r="K24" s="42" t="n">
        <f aca="false">'Debt &amp; Interest'!K31</f>
        <v>-739.771592478908</v>
      </c>
      <c r="L24" s="42" t="n">
        <f aca="false">'Debt &amp; Interest'!L31</f>
        <v>-749.387564824669</v>
      </c>
      <c r="M24" s="42" t="n">
        <f aca="false">'Debt &amp; Interest'!M31</f>
        <v>-758.674606345337</v>
      </c>
      <c r="N24" s="42" t="n">
        <f aca="false">'Debt &amp; Interest'!N31</f>
        <v>-767.654064565949</v>
      </c>
      <c r="O24" s="11"/>
      <c r="P24" s="11"/>
    </row>
    <row r="25" customFormat="false" ht="14.25" hidden="false" customHeight="true" outlineLevel="0" collapsed="false">
      <c r="C25" s="17" t="s">
        <v>1647</v>
      </c>
      <c r="D25" s="33" t="n">
        <v>-0.4</v>
      </c>
      <c r="E25" s="42" t="n">
        <f aca="false">Drivers!$C$142</f>
        <v>10.4</v>
      </c>
      <c r="F25" s="42" t="n">
        <f aca="false">Drivers!$C$143</f>
        <v>10</v>
      </c>
      <c r="G25" s="42" t="n">
        <f aca="false">Drivers!$C$312</f>
        <v>10</v>
      </c>
      <c r="H25" s="42" t="n">
        <f aca="false">Drivers!$C$313</f>
        <v>10</v>
      </c>
      <c r="I25" s="42" t="n">
        <f aca="false">Drivers!$C$314</f>
        <v>10</v>
      </c>
      <c r="J25" s="42" t="n">
        <f aca="false">Drivers!$C$548</f>
        <v>10</v>
      </c>
      <c r="K25" s="42" t="n">
        <f aca="false">Drivers!$C$549</f>
        <v>10</v>
      </c>
      <c r="L25" s="42" t="n">
        <f aca="false">Drivers!$C$550</f>
        <v>10</v>
      </c>
      <c r="M25" s="42" t="n">
        <f aca="false">Drivers!$C$551</f>
        <v>10</v>
      </c>
      <c r="N25" s="42" t="n">
        <f aca="false">Drivers!$C$552</f>
        <v>10</v>
      </c>
      <c r="O25" s="11"/>
      <c r="P25" s="11"/>
    </row>
    <row r="26" customFormat="false" ht="14.25" hidden="false" customHeight="true" outlineLevel="0" collapsed="false">
      <c r="C26" s="55" t="s">
        <v>1576</v>
      </c>
      <c r="D26" s="62" t="n">
        <f aca="false">D17+D18+D19+D20+D21+D22+D23+D24+D25</f>
        <v>279.1</v>
      </c>
      <c r="E26" s="62" t="n">
        <f aca="false">E17+E18+E19+E20+E21+E22+E23+E24+E25</f>
        <v>332.929747745388</v>
      </c>
      <c r="F26" s="62" t="n">
        <f aca="false">F17+F18+F19+F20+F21+F22+F23+F24+F25</f>
        <v>307.601277183533</v>
      </c>
      <c r="G26" s="32" t="n">
        <f aca="false">G17+G18+G19+G20+G21+G22+G23+G24+G25</f>
        <v>329.236016436981</v>
      </c>
      <c r="H26" s="32" t="n">
        <f aca="false">H17+H18+H19+H20+H21+H22+H23+H24+H25</f>
        <v>342.989446121511</v>
      </c>
      <c r="I26" s="32" t="n">
        <f aca="false">I17+I18+I19+I20+I21+I22+I23+I24+I25</f>
        <v>326.262729849233</v>
      </c>
      <c r="J26" s="32" t="n">
        <f aca="false">J17+J18+J19+J20+J21+J22+J23+J24+J25</f>
        <v>346.604479551635</v>
      </c>
      <c r="K26" s="32" t="n">
        <f aca="false">K17+K18+K19+K20+K21+K22+K23+K24+K25</f>
        <v>351.878545019333</v>
      </c>
      <c r="L26" s="32" t="n">
        <f aca="false">L17+L18+L19+L20+L21+L22+L23+L24+L25</f>
        <v>362.420783163974</v>
      </c>
      <c r="M26" s="32" t="n">
        <f aca="false">M17+M18+M19+M20+M21+M22+M23+M24+M25</f>
        <v>374.095702184726</v>
      </c>
      <c r="N26" s="32" t="n">
        <f aca="false">N17+N18+N19+N20+N21+N22+N23+N24+N25</f>
        <v>386.910978448881</v>
      </c>
      <c r="O26" s="11"/>
      <c r="P26" s="11"/>
    </row>
    <row r="27" customFormat="false" ht="14.25" hidden="false" customHeight="true" outlineLevel="0" collapsed="false">
      <c r="C27" s="17" t="s">
        <v>1577</v>
      </c>
      <c r="D27" s="31" t="n">
        <v>-63.1</v>
      </c>
      <c r="E27" s="42" t="n">
        <f aca="false">-E26*Drivers!$C$75</f>
        <v>-87.5605236570369</v>
      </c>
      <c r="F27" s="42" t="n">
        <f aca="false">-F26*Drivers!$C$76</f>
        <v>-73.8243065240478</v>
      </c>
      <c r="G27" s="42" t="n">
        <f aca="false">-G26*Drivers!$C$273</f>
        <v>-79.0166439448755</v>
      </c>
      <c r="H27" s="42" t="n">
        <f aca="false">-H26*Drivers!$C$274</f>
        <v>-82.3174670691625</v>
      </c>
      <c r="I27" s="42" t="n">
        <f aca="false">-I26*Drivers!$C$275</f>
        <v>-78.3030551638159</v>
      </c>
      <c r="J27" s="42" t="n">
        <f aca="false">-J26*Drivers!$C$498</f>
        <v>-83.1850750923923</v>
      </c>
      <c r="K27" s="42" t="n">
        <f aca="false">-K26*Drivers!$C$499</f>
        <v>-84.4508508046398</v>
      </c>
      <c r="L27" s="42" t="n">
        <f aca="false">-L26*Drivers!$C$500</f>
        <v>-86.9809879593538</v>
      </c>
      <c r="M27" s="42" t="n">
        <f aca="false">-M26*Drivers!$C$501</f>
        <v>-89.7829685243342</v>
      </c>
      <c r="N27" s="42" t="n">
        <f aca="false">-N26*Drivers!$C$502</f>
        <v>-92.8586348277314</v>
      </c>
      <c r="O27" s="11"/>
      <c r="P27" s="11"/>
    </row>
    <row r="28" customFormat="false" ht="14.25" hidden="false" customHeight="true" outlineLevel="0" collapsed="false">
      <c r="C28" s="17" t="s">
        <v>1648</v>
      </c>
      <c r="D28" s="31" t="n">
        <v>117.3</v>
      </c>
      <c r="E28" s="42" t="n">
        <f aca="false">Drivers!$C$113</f>
        <v>140</v>
      </c>
      <c r="F28" s="42" t="n">
        <f aca="false">Drivers!$C$114</f>
        <v>150</v>
      </c>
      <c r="G28" s="42" t="n">
        <f aca="false">Drivers!$C$294</f>
        <v>150</v>
      </c>
      <c r="H28" s="42" t="n">
        <f aca="false">Drivers!$C$295</f>
        <v>150</v>
      </c>
      <c r="I28" s="42" t="n">
        <f aca="false">Drivers!$C$296</f>
        <v>150</v>
      </c>
      <c r="J28" s="42" t="n">
        <f aca="false">Drivers!$C$528</f>
        <v>150</v>
      </c>
      <c r="K28" s="42" t="n">
        <f aca="false">Drivers!$C$529</f>
        <v>150</v>
      </c>
      <c r="L28" s="42" t="n">
        <f aca="false">Drivers!$C$530</f>
        <v>150</v>
      </c>
      <c r="M28" s="42" t="n">
        <f aca="false">Drivers!$C$531</f>
        <v>150</v>
      </c>
      <c r="N28" s="42" t="n">
        <f aca="false">Drivers!$C$532</f>
        <v>150</v>
      </c>
      <c r="O28" s="11"/>
      <c r="P28" s="11"/>
    </row>
    <row r="29" customFormat="false" ht="14.25" hidden="false" customHeight="true" outlineLevel="0" collapsed="false">
      <c r="C29" s="55" t="s">
        <v>1649</v>
      </c>
      <c r="D29" s="62" t="n">
        <f aca="false">D26+D27+D28</f>
        <v>333.3</v>
      </c>
      <c r="E29" s="62" t="n">
        <f aca="false">E26+E27+E28</f>
        <v>385.369224088351</v>
      </c>
      <c r="F29" s="62" t="n">
        <f aca="false">F26+F27+F28</f>
        <v>383.776970659485</v>
      </c>
      <c r="G29" s="32" t="n">
        <f aca="false">G26+G27+G28</f>
        <v>400.219372492106</v>
      </c>
      <c r="H29" s="32" t="n">
        <f aca="false">H26+H27+H28</f>
        <v>410.671979052348</v>
      </c>
      <c r="I29" s="32" t="n">
        <f aca="false">I26+I27+I28</f>
        <v>397.959674685417</v>
      </c>
      <c r="J29" s="32" t="n">
        <f aca="false">J26+J27+J28</f>
        <v>413.419404459242</v>
      </c>
      <c r="K29" s="32" t="n">
        <f aca="false">K26+K27+K28</f>
        <v>417.427694214693</v>
      </c>
      <c r="L29" s="32" t="n">
        <f aca="false">L26+L27+L28</f>
        <v>425.439795204621</v>
      </c>
      <c r="M29" s="32" t="n">
        <f aca="false">M26+M27+M28</f>
        <v>434.312733660392</v>
      </c>
      <c r="N29" s="32" t="n">
        <f aca="false">N26+N27+N28</f>
        <v>444.052343621149</v>
      </c>
      <c r="O29" s="11"/>
      <c r="P29" s="11"/>
    </row>
    <row r="30" customFormat="false" ht="14.25" hidden="false" customHeight="true" outlineLevel="0" collapsed="false">
      <c r="C30" s="17" t="s">
        <v>1650</v>
      </c>
      <c r="D30" s="31" t="n">
        <v>0</v>
      </c>
      <c r="E30" s="42" t="n">
        <f aca="false">-'GABX Mini P&amp;L'!G27</f>
        <v>-17.0150399999999</v>
      </c>
      <c r="F30" s="42" t="n">
        <f aca="false">-'GABX Mini P&amp;L'!H27</f>
        <v>-25.309790625</v>
      </c>
      <c r="G30" s="42" t="n">
        <f aca="false">-'GABX Mini P&amp;L'!I27</f>
        <v>-29.719232873225</v>
      </c>
      <c r="H30" s="42" t="n">
        <f aca="false">-'GABX Mini P&amp;L'!J27</f>
        <v>-29.0357260137328</v>
      </c>
      <c r="I30" s="42" t="n">
        <f aca="false">-'GABX Mini P&amp;L'!K27</f>
        <v>-23.4407961389506</v>
      </c>
      <c r="J30" s="42" t="n">
        <f aca="false">-'GABX Mini P&amp;L'!L27</f>
        <v>-22.7006654085487</v>
      </c>
      <c r="K30" s="42" t="n">
        <f aca="false">-'GABX Mini P&amp;L'!M27</f>
        <v>-20.4450243560102</v>
      </c>
      <c r="L30" s="42" t="n">
        <f aca="false">-'GABX Mini P&amp;L'!N27</f>
        <v>-16.6290653463767</v>
      </c>
      <c r="M30" s="42" t="n">
        <f aca="false">-'GABX Mini P&amp;L'!O27</f>
        <v>-11.2065992581995</v>
      </c>
      <c r="N30" s="42" t="n">
        <f aca="false">-'GABX Mini P&amp;L'!P27</f>
        <v>-4.1300084157136</v>
      </c>
      <c r="O30" s="11"/>
      <c r="P30" s="11"/>
    </row>
    <row r="31" customFormat="false" ht="14.25" hidden="false" customHeight="true" outlineLevel="0" collapsed="false">
      <c r="C31" s="55" t="s">
        <v>1580</v>
      </c>
      <c r="D31" s="62" t="n">
        <f aca="false">D29+D30</f>
        <v>333.3</v>
      </c>
      <c r="E31" s="62" t="n">
        <f aca="false">E29+E30</f>
        <v>368.354184088351</v>
      </c>
      <c r="F31" s="62" t="n">
        <f aca="false">F29+F30</f>
        <v>358.467180034485</v>
      </c>
      <c r="G31" s="32" t="n">
        <f aca="false">G29+G30</f>
        <v>370.500139618881</v>
      </c>
      <c r="H31" s="32" t="n">
        <f aca="false">H29+H30</f>
        <v>381.636253038615</v>
      </c>
      <c r="I31" s="32" t="n">
        <f aca="false">I29+I30</f>
        <v>374.518878546467</v>
      </c>
      <c r="J31" s="32" t="n">
        <f aca="false">J29+J30</f>
        <v>390.718739050694</v>
      </c>
      <c r="K31" s="32" t="n">
        <f aca="false">K29+K30</f>
        <v>396.982669858683</v>
      </c>
      <c r="L31" s="32" t="n">
        <f aca="false">L29+L30</f>
        <v>408.810729858244</v>
      </c>
      <c r="M31" s="32" t="n">
        <f aca="false">M29+M30</f>
        <v>423.106134402192</v>
      </c>
      <c r="N31" s="32" t="n">
        <f aca="false">N29+N30</f>
        <v>439.922335205436</v>
      </c>
      <c r="O31" s="11"/>
      <c r="P31" s="11"/>
    </row>
    <row r="32" customFormat="false" ht="14.25" hidden="false" customHeight="true" outlineLevel="0" collapsed="false">
      <c r="C32" s="17" t="s">
        <v>1651</v>
      </c>
      <c r="D32" s="31" t="n">
        <v>35.9</v>
      </c>
      <c r="E32" s="42" t="n">
        <f aca="false">Drivers!$C$77</f>
        <v>35.8</v>
      </c>
      <c r="F32" s="42" t="n">
        <f aca="false">Drivers!$C$78</f>
        <v>35.2265200268053</v>
      </c>
      <c r="G32" s="42" t="n">
        <f aca="false">Drivers!$C$276</f>
        <v>34.6724330961823</v>
      </c>
      <c r="H32" s="42" t="n">
        <f aca="false">Drivers!$C$277</f>
        <v>34.1370834047592</v>
      </c>
      <c r="I32" s="42" t="n">
        <f aca="false">Drivers!$C$278</f>
        <v>33.6198373260895</v>
      </c>
      <c r="J32" s="42" t="n">
        <f aca="false">Drivers!$C$503</f>
        <v>33.0984657107244</v>
      </c>
      <c r="K32" s="42" t="n">
        <f aca="false">Drivers!$C$504</f>
        <v>32.5866491416379</v>
      </c>
      <c r="L32" s="42" t="n">
        <f aca="false">Drivers!$C$505</f>
        <v>32.0774065388034</v>
      </c>
      <c r="M32" s="42" t="n">
        <f aca="false">Drivers!$C$506</f>
        <v>31.5681795471438</v>
      </c>
      <c r="N32" s="42" t="n">
        <f aca="false">Drivers!$C$507</f>
        <v>31.0566181607745</v>
      </c>
      <c r="O32" s="11"/>
      <c r="P32" s="11"/>
    </row>
    <row r="33" customFormat="false" ht="14.25" hidden="false" customHeight="true" outlineLevel="0" collapsed="false">
      <c r="C33" s="55" t="s">
        <v>1581</v>
      </c>
      <c r="D33" s="63" t="n">
        <f aca="false">D31/D32</f>
        <v>9.28412256267411</v>
      </c>
      <c r="E33" s="63" t="n">
        <f aca="false">E31/E32</f>
        <v>10.2892230192277</v>
      </c>
      <c r="F33" s="63" t="n">
        <f aca="false">F31/F32</f>
        <v>10.1760599616912</v>
      </c>
      <c r="G33" s="64" t="n">
        <f aca="false">G31/G32</f>
        <v>10.6857265710515</v>
      </c>
      <c r="H33" s="64" t="n">
        <f aca="false">H31/H32</f>
        <v>11.1795213584477</v>
      </c>
      <c r="I33" s="64" t="n">
        <f aca="false">I31/I32</f>
        <v>11.1398182838866</v>
      </c>
      <c r="J33" s="64" t="n">
        <f aca="false">J31/J32</f>
        <v>11.804738698933</v>
      </c>
      <c r="K33" s="64" t="n">
        <f aca="false">K31/K32</f>
        <v>12.1823716250541</v>
      </c>
      <c r="L33" s="64" t="n">
        <f aca="false">L31/L32</f>
        <v>12.7445069277566</v>
      </c>
      <c r="M33" s="64" t="n">
        <f aca="false">M31/M32</f>
        <v>13.4029310676698</v>
      </c>
      <c r="N33" s="64" t="n">
        <f aca="false">N31/N32</f>
        <v>14.1651719104777</v>
      </c>
      <c r="O33" s="11"/>
      <c r="P33" s="11"/>
    </row>
    <row r="34" customFormat="false" ht="14.25" hidden="false" customHeight="true" outlineLevel="0" collapsed="false">
      <c r="C34" s="11"/>
      <c r="D34" s="11"/>
      <c r="E34" s="11"/>
      <c r="F34" s="11"/>
      <c r="G34" s="11"/>
      <c r="H34" s="11"/>
      <c r="I34" s="11"/>
      <c r="J34" s="11"/>
      <c r="K34" s="11"/>
      <c r="L34" s="11"/>
      <c r="M34" s="11"/>
      <c r="N34" s="11"/>
      <c r="O34" s="11"/>
      <c r="P34" s="11"/>
    </row>
    <row r="35" customFormat="false" ht="14.25" hidden="false" customHeight="true" outlineLevel="0" collapsed="false">
      <c r="A35" s="22" t="s">
        <v>11</v>
      </c>
      <c r="C35" s="52" t="s">
        <v>1652</v>
      </c>
      <c r="D35" s="54"/>
      <c r="E35" s="54"/>
      <c r="F35" s="54"/>
      <c r="G35" s="54"/>
      <c r="H35" s="54"/>
      <c r="I35" s="54"/>
      <c r="J35" s="54"/>
      <c r="K35" s="54"/>
      <c r="L35" s="54"/>
      <c r="M35" s="54"/>
      <c r="N35" s="54"/>
      <c r="O35" s="54"/>
      <c r="P35" s="54"/>
    </row>
    <row r="36" customFormat="false" ht="14.25" hidden="false" customHeight="true" outlineLevel="0" collapsed="false">
      <c r="C36" s="17" t="s">
        <v>1583</v>
      </c>
      <c r="D36" s="31" t="n">
        <v>743</v>
      </c>
      <c r="E36" s="31" t="n">
        <v>747.1</v>
      </c>
      <c r="F36" s="31" t="n">
        <v>747.1</v>
      </c>
      <c r="G36" s="31" t="n">
        <v>747.1</v>
      </c>
      <c r="H36" s="31" t="n">
        <v>747.1</v>
      </c>
      <c r="I36" s="31" t="n">
        <v>747.1</v>
      </c>
      <c r="J36" s="31" t="n">
        <f aca="false">I36</f>
        <v>747.1</v>
      </c>
      <c r="K36" s="31" t="n">
        <f aca="false">J36</f>
        <v>747.1</v>
      </c>
      <c r="L36" s="31" t="n">
        <f aca="false">K36</f>
        <v>747.1</v>
      </c>
      <c r="M36" s="31" t="n">
        <f aca="false">L36</f>
        <v>747.1</v>
      </c>
      <c r="N36" s="31" t="n">
        <f aca="false">M36</f>
        <v>747.1</v>
      </c>
      <c r="O36" s="11"/>
      <c r="P36" s="11"/>
    </row>
    <row r="37" customFormat="false" ht="14.25" hidden="false" customHeight="true" outlineLevel="0" collapsed="false">
      <c r="C37" s="17" t="s">
        <v>1585</v>
      </c>
      <c r="D37" s="31" t="n">
        <v>4241.9</v>
      </c>
      <c r="E37" s="33" t="n">
        <v>0.1</v>
      </c>
      <c r="F37" s="33" t="n">
        <v>0.1</v>
      </c>
      <c r="G37" s="33" t="n">
        <v>0.1</v>
      </c>
      <c r="H37" s="33" t="n">
        <v>0.1</v>
      </c>
      <c r="I37" s="33" t="n">
        <v>0.1</v>
      </c>
      <c r="J37" s="33" t="n">
        <v>0.1</v>
      </c>
      <c r="K37" s="33" t="n">
        <v>0.1</v>
      </c>
      <c r="L37" s="33" t="n">
        <v>0.1</v>
      </c>
      <c r="M37" s="33" t="n">
        <v>0.1</v>
      </c>
      <c r="N37" s="33" t="n">
        <v>0.1</v>
      </c>
      <c r="O37" s="11"/>
      <c r="P37" s="11"/>
    </row>
    <row r="38" customFormat="false" ht="14.25" hidden="false" customHeight="true" outlineLevel="0" collapsed="false">
      <c r="C38" s="17" t="s">
        <v>1587</v>
      </c>
      <c r="D38" s="31" t="n">
        <v>207.2</v>
      </c>
      <c r="E38" s="32" t="n">
        <f aca="false">D38*(E17/D17)</f>
        <v>283.995750561575</v>
      </c>
      <c r="F38" s="32" t="n">
        <f aca="false">E38*(F17/E17)</f>
        <v>294.237221084259</v>
      </c>
      <c r="G38" s="32" t="n">
        <f aca="false">F38*(G17/F17)</f>
        <v>304.027261219206</v>
      </c>
      <c r="H38" s="32" t="n">
        <f aca="false">G38*(H17/G17)</f>
        <v>312.262046715732</v>
      </c>
      <c r="I38" s="32" t="n">
        <f aca="false">H38*(I17/H17)</f>
        <v>318.287696086855</v>
      </c>
      <c r="J38" s="32" t="n">
        <f aca="false">I38*(J17/I17)</f>
        <v>323.296928698524</v>
      </c>
      <c r="K38" s="32" t="n">
        <f aca="false">J38*(K17/J17)</f>
        <v>328.934748541992</v>
      </c>
      <c r="L38" s="32" t="n">
        <f aca="false">K38*(L17/K17)</f>
        <v>334.733075582434</v>
      </c>
      <c r="M38" s="32" t="n">
        <f aca="false">L38*(M17/L17)</f>
        <v>340.698084420225</v>
      </c>
      <c r="N38" s="32" t="n">
        <f aca="false">M38*(N17/M17)</f>
        <v>346.835228193149</v>
      </c>
      <c r="O38" s="11"/>
      <c r="P38" s="11"/>
    </row>
    <row r="39" customFormat="false" ht="14.25" hidden="false" customHeight="true" outlineLevel="0" collapsed="false">
      <c r="C39" s="17" t="s">
        <v>1653</v>
      </c>
      <c r="D39" s="31" t="n">
        <v>11410.9</v>
      </c>
      <c r="E39" s="42" t="n">
        <f aca="false">D39+Drivers!$C$123+Drivers!$C$121+E19-Drivers!$C$86</f>
        <v>15830.5</v>
      </c>
      <c r="F39" s="42" t="n">
        <f aca="false">E39+Drivers!$C$122+F19-Drivers!$C$87</f>
        <v>16360.5</v>
      </c>
      <c r="G39" s="42" t="n">
        <f aca="false">F39+Drivers!$C$300+G19-Drivers!$C$288</f>
        <v>16890.5</v>
      </c>
      <c r="H39" s="42" t="n">
        <f aca="false">G39+Drivers!$C$301+H19-Drivers!$C$289</f>
        <v>17420.5</v>
      </c>
      <c r="I39" s="42" t="n">
        <f aca="false">H39+Drivers!$C$302+I19-Drivers!$C$290</f>
        <v>17950.5</v>
      </c>
      <c r="J39" s="42" t="n">
        <f aca="false">I39+Drivers!$C$563+J19-Drivers!$C$553</f>
        <v>18270.5</v>
      </c>
      <c r="K39" s="42" t="n">
        <f aca="false">J39+Drivers!$C$564+K19-Drivers!$C$554</f>
        <v>18546.93475</v>
      </c>
      <c r="L39" s="42" t="n">
        <f aca="false">K39+Drivers!$C$565+L19-Drivers!$C$555</f>
        <v>18826.1338475</v>
      </c>
      <c r="M39" s="42" t="n">
        <f aca="false">L39+Drivers!$C$566+M19-Drivers!$C$556</f>
        <v>19108.124935975</v>
      </c>
      <c r="N39" s="42" t="n">
        <f aca="false">M39+Drivers!$C$567+N19-Drivers!$C$557</f>
        <v>19392.9359353348</v>
      </c>
      <c r="O39" s="11"/>
      <c r="P39" s="11"/>
    </row>
    <row r="40" customFormat="false" ht="14.25" hidden="false" customHeight="true" outlineLevel="0" collapsed="false">
      <c r="C40" s="17" t="s">
        <v>1654</v>
      </c>
      <c r="D40" s="31" t="n">
        <v>137.4</v>
      </c>
      <c r="E40" s="31" t="n">
        <v>127.5</v>
      </c>
      <c r="F40" s="31" t="n">
        <v>120</v>
      </c>
      <c r="G40" s="31" t="n">
        <v>112.5</v>
      </c>
      <c r="H40" s="31" t="n">
        <v>105</v>
      </c>
      <c r="I40" s="31" t="n">
        <v>97.5</v>
      </c>
      <c r="J40" s="31" t="n">
        <v>90</v>
      </c>
      <c r="K40" s="31" t="n">
        <v>82.5</v>
      </c>
      <c r="L40" s="31" t="n">
        <v>75</v>
      </c>
      <c r="M40" s="31" t="n">
        <v>67.5</v>
      </c>
      <c r="N40" s="31" t="n">
        <v>60</v>
      </c>
      <c r="O40" s="11"/>
      <c r="P40" s="11"/>
    </row>
    <row r="41" customFormat="false" ht="14.25" hidden="false" customHeight="true" outlineLevel="0" collapsed="false">
      <c r="C41" s="17" t="s">
        <v>1593</v>
      </c>
      <c r="D41" s="31" t="n">
        <v>732.3</v>
      </c>
      <c r="E41" s="42" t="n">
        <f aca="false">D41+Drivers!$C$113-Drivers!$C$115</f>
        <v>732.3</v>
      </c>
      <c r="F41" s="42" t="n">
        <f aca="false">E41+Drivers!$C$114-Drivers!$C$116</f>
        <v>752.3</v>
      </c>
      <c r="G41" s="42" t="n">
        <f aca="false">F41+Drivers!$C$294-Drivers!$C$297</f>
        <v>772.3</v>
      </c>
      <c r="H41" s="42" t="n">
        <f aca="false">G41+Drivers!$C$295-Drivers!$C$298</f>
        <v>792.3</v>
      </c>
      <c r="I41" s="42" t="n">
        <f aca="false">H41+Drivers!$C$296-Drivers!$C$299</f>
        <v>812.3</v>
      </c>
      <c r="J41" s="42" t="n">
        <f aca="false">I41+Drivers!$C$528-Drivers!$C$533</f>
        <v>832.3</v>
      </c>
      <c r="K41" s="42" t="n">
        <f aca="false">J41+Drivers!$C$529-Drivers!$C$534</f>
        <v>852.3</v>
      </c>
      <c r="L41" s="42" t="n">
        <f aca="false">K41+Drivers!$C$530-Drivers!$C$535</f>
        <v>872.3</v>
      </c>
      <c r="M41" s="42" t="n">
        <f aca="false">L41+Drivers!$C$531-Drivers!$C$536</f>
        <v>892.3</v>
      </c>
      <c r="N41" s="42" t="n">
        <f aca="false">M41+Drivers!$C$532-Drivers!$C$537</f>
        <v>912.3</v>
      </c>
      <c r="O41" s="11"/>
      <c r="P41" s="11"/>
    </row>
    <row r="42" customFormat="false" ht="14.25" hidden="false" customHeight="true" outlineLevel="0" collapsed="false">
      <c r="C42" s="17" t="s">
        <v>1594</v>
      </c>
      <c r="D42" s="31" t="n">
        <v>126.3</v>
      </c>
      <c r="E42" s="31" t="n">
        <v>126.3</v>
      </c>
      <c r="F42" s="31" t="n">
        <v>126.3</v>
      </c>
      <c r="G42" s="31" t="n">
        <v>126.3</v>
      </c>
      <c r="H42" s="31" t="n">
        <v>126.3</v>
      </c>
      <c r="I42" s="31" t="n">
        <v>126.3</v>
      </c>
      <c r="J42" s="31" t="n">
        <v>126.3</v>
      </c>
      <c r="K42" s="31" t="n">
        <v>126.3</v>
      </c>
      <c r="L42" s="31" t="n">
        <v>126.3</v>
      </c>
      <c r="M42" s="31" t="n">
        <v>126.3</v>
      </c>
      <c r="N42" s="31" t="n">
        <v>126.3</v>
      </c>
      <c r="O42" s="11"/>
      <c r="P42" s="11"/>
    </row>
    <row r="43" customFormat="false" ht="14.25" hidden="false" customHeight="true" outlineLevel="0" collapsed="false">
      <c r="C43" s="17" t="s">
        <v>1595</v>
      </c>
      <c r="D43" s="31" t="n">
        <v>400.5</v>
      </c>
      <c r="E43" s="32" t="n">
        <f aca="false">D43</f>
        <v>400.5</v>
      </c>
      <c r="F43" s="32" t="n">
        <f aca="false">E43</f>
        <v>400.5</v>
      </c>
      <c r="G43" s="32" t="n">
        <f aca="false">F43</f>
        <v>400.5</v>
      </c>
      <c r="H43" s="32" t="n">
        <f aca="false">G43</f>
        <v>400.5</v>
      </c>
      <c r="I43" s="32" t="n">
        <f aca="false">H43</f>
        <v>400.5</v>
      </c>
      <c r="J43" s="32" t="n">
        <f aca="false">I43</f>
        <v>400.5</v>
      </c>
      <c r="K43" s="32" t="n">
        <f aca="false">J43</f>
        <v>400.5</v>
      </c>
      <c r="L43" s="32" t="n">
        <f aca="false">K43</f>
        <v>400.5</v>
      </c>
      <c r="M43" s="32" t="n">
        <f aca="false">L43</f>
        <v>400.5</v>
      </c>
      <c r="N43" s="32" t="n">
        <f aca="false">M43</f>
        <v>400.5</v>
      </c>
      <c r="O43" s="11"/>
      <c r="P43" s="11"/>
    </row>
    <row r="44" customFormat="false" ht="14.25" hidden="false" customHeight="true" outlineLevel="0" collapsed="false">
      <c r="C44" s="55" t="s">
        <v>1596</v>
      </c>
      <c r="D44" s="62" t="n">
        <f aca="false">D36+D37+D38+D39+D40+D41+D42+D43</f>
        <v>17999.5</v>
      </c>
      <c r="E44" s="62" t="n">
        <f aca="false">E36+E37+E38+E39+E40+E41+E42+E43</f>
        <v>18248.2957505616</v>
      </c>
      <c r="F44" s="62" t="n">
        <f aca="false">F36+F37+F38+F39+F40+F41+F42+F43</f>
        <v>18801.0372210843</v>
      </c>
      <c r="G44" s="32" t="n">
        <f aca="false">G36+G37+G38+G39+G40+G41+G42+G43</f>
        <v>19353.3272612192</v>
      </c>
      <c r="H44" s="32" t="n">
        <f aca="false">H36+H37+H38+H39+H40+H41+H42+H43</f>
        <v>19904.0620467157</v>
      </c>
      <c r="I44" s="32" t="n">
        <f aca="false">I36+I37+I38+I39+I40+I41+I42+I43</f>
        <v>20452.5876960869</v>
      </c>
      <c r="J44" s="32" t="n">
        <f aca="false">J36+J37+J38+J39+J40+J41+J42+J43</f>
        <v>20790.0969286985</v>
      </c>
      <c r="K44" s="32" t="n">
        <f aca="false">K36+K37+K38+K39+K40+K41+K42+K43</f>
        <v>21084.669498542</v>
      </c>
      <c r="L44" s="32" t="n">
        <f aca="false">L36+L37+L38+L39+L40+L41+L42+L43</f>
        <v>21382.1669230824</v>
      </c>
      <c r="M44" s="32" t="n">
        <f aca="false">M36+M37+M38+M39+M40+M41+M42+M43</f>
        <v>21682.6230203952</v>
      </c>
      <c r="N44" s="32" t="n">
        <f aca="false">N36+N37+N38+N39+N40+N41+N42+N43</f>
        <v>21986.0711635279</v>
      </c>
      <c r="O44" s="11"/>
      <c r="P44" s="11"/>
    </row>
    <row r="45" customFormat="false" ht="14.25" hidden="false" customHeight="true" outlineLevel="0" collapsed="false">
      <c r="C45" s="11"/>
      <c r="D45" s="11"/>
      <c r="E45" s="11"/>
      <c r="F45" s="11"/>
      <c r="G45" s="11"/>
      <c r="H45" s="11"/>
      <c r="I45" s="11"/>
      <c r="J45" s="11"/>
      <c r="K45" s="11"/>
      <c r="L45" s="11"/>
      <c r="M45" s="11"/>
      <c r="N45" s="11"/>
      <c r="O45" s="11"/>
      <c r="P45" s="11"/>
    </row>
    <row r="46" customFormat="false" ht="14.25" hidden="false" customHeight="true" outlineLevel="0" collapsed="false">
      <c r="C46" s="17" t="s">
        <v>1655</v>
      </c>
      <c r="D46" s="31" t="n">
        <v>318.4</v>
      </c>
      <c r="E46" s="32" t="n">
        <f aca="false">D46*(E17/D17)</f>
        <v>436.410458391918</v>
      </c>
      <c r="F46" s="32" t="n">
        <f aca="false">E46*(F17/E17)</f>
        <v>452.148316569634</v>
      </c>
      <c r="G46" s="32" t="n">
        <f aca="false">F46*(G17/F17)</f>
        <v>467.192470908278</v>
      </c>
      <c r="H46" s="32" t="n">
        <f aca="false">G46*(H17/G17)</f>
        <v>479.846697269735</v>
      </c>
      <c r="I46" s="32" t="n">
        <f aca="false">H46*(I17/H17)</f>
        <v>489.106189353546</v>
      </c>
      <c r="J46" s="32" t="n">
        <f aca="false">I46*(J17/I17)</f>
        <v>496.803774602365</v>
      </c>
      <c r="K46" s="32" t="n">
        <f aca="false">J46*(K17/J17)</f>
        <v>505.467296987309</v>
      </c>
      <c r="L46" s="32" t="n">
        <f aca="false">K46*(L17/K17)</f>
        <v>514.377467497331</v>
      </c>
      <c r="M46" s="32" t="n">
        <f aca="false">L46*(M17/L17)</f>
        <v>523.543774514477</v>
      </c>
      <c r="N46" s="32" t="n">
        <f aca="false">M46*(N17/M17)</f>
        <v>532.974597763989</v>
      </c>
      <c r="O46" s="11"/>
      <c r="P46" s="11"/>
    </row>
    <row r="47" customFormat="false" ht="14.25" hidden="false" customHeight="true" outlineLevel="0" collapsed="false">
      <c r="C47" s="17" t="s">
        <v>1656</v>
      </c>
      <c r="D47" s="31" t="n">
        <v>12533.9</v>
      </c>
      <c r="E47" s="42" t="n">
        <f aca="false">'Debt &amp; Interest'!E27</f>
        <v>12516.9559948862</v>
      </c>
      <c r="F47" s="42" t="n">
        <f aca="false">'Debt &amp; Interest'!F27</f>
        <v>13017.9685702222</v>
      </c>
      <c r="G47" s="42" t="n">
        <f aca="false">'Debt &amp; Interest'!G27</f>
        <v>13493.695223489</v>
      </c>
      <c r="H47" s="42" t="n">
        <f aca="false">'Debt &amp; Interest'!H27</f>
        <v>13952.4318435715</v>
      </c>
      <c r="I47" s="42" t="n">
        <f aca="false">'Debt &amp; Interest'!I27</f>
        <v>14418.2542053421</v>
      </c>
      <c r="J47" s="42" t="n">
        <f aca="false">'Debt &amp; Interest'!J27</f>
        <v>14661.1431849434</v>
      </c>
      <c r="K47" s="42" t="n">
        <f aca="false">'Debt &amp; Interest'!K27</f>
        <v>14851.7170713388</v>
      </c>
      <c r="L47" s="42" t="n">
        <f aca="false">'Debt &amp; Interest'!L27</f>
        <v>15035.7720511236</v>
      </c>
      <c r="M47" s="42" t="n">
        <f aca="false">'Debt &amp; Interest'!M27</f>
        <v>15213.7311996419</v>
      </c>
      <c r="N47" s="42" t="n">
        <f aca="false">'Debt &amp; Interest'!N27</f>
        <v>15386.0403928883</v>
      </c>
      <c r="O47" s="11"/>
      <c r="P47" s="11"/>
    </row>
    <row r="48" customFormat="false" ht="14.25" hidden="false" customHeight="true" outlineLevel="0" collapsed="false">
      <c r="C48" s="17" t="s">
        <v>1601</v>
      </c>
      <c r="D48" s="31" t="n">
        <v>154.3</v>
      </c>
      <c r="E48" s="31" t="n">
        <v>143.8</v>
      </c>
      <c r="F48" s="31" t="n">
        <v>135</v>
      </c>
      <c r="G48" s="31" t="n">
        <v>127</v>
      </c>
      <c r="H48" s="31" t="n">
        <v>119</v>
      </c>
      <c r="I48" s="31" t="n">
        <v>111</v>
      </c>
      <c r="J48" s="31" t="n">
        <v>103</v>
      </c>
      <c r="K48" s="31" t="n">
        <v>95</v>
      </c>
      <c r="L48" s="31" t="n">
        <v>87</v>
      </c>
      <c r="M48" s="31" t="n">
        <v>79</v>
      </c>
      <c r="N48" s="31" t="n">
        <v>71</v>
      </c>
      <c r="O48" s="11"/>
      <c r="P48" s="11"/>
    </row>
    <row r="49" customFormat="false" ht="14.25" hidden="false" customHeight="true" outlineLevel="0" collapsed="false">
      <c r="C49" s="17" t="s">
        <v>1603</v>
      </c>
      <c r="D49" s="31" t="n">
        <v>1195.7</v>
      </c>
      <c r="E49" s="42" t="n">
        <f aca="false">D49*(1+Drivers!$C$134)</f>
        <v>1207.657</v>
      </c>
      <c r="F49" s="42" t="n">
        <f aca="false">E49*(1+Drivers!$C$134)</f>
        <v>1219.73357</v>
      </c>
      <c r="G49" s="42" t="n">
        <f aca="false">F49*(1+Drivers!$C$134)</f>
        <v>1231.9309057</v>
      </c>
      <c r="H49" s="42" t="n">
        <f aca="false">G49*(1+Drivers!$C$134)</f>
        <v>1244.250214757</v>
      </c>
      <c r="I49" s="42" t="n">
        <f aca="false">H49*(1+Drivers!$C$134)</f>
        <v>1256.69271690457</v>
      </c>
      <c r="J49" s="42" t="n">
        <f aca="false">I49*(1+Drivers!$C$134)</f>
        <v>1269.25964407362</v>
      </c>
      <c r="K49" s="42" t="n">
        <f aca="false">J49*(1+Drivers!$C$134)</f>
        <v>1281.95224051435</v>
      </c>
      <c r="L49" s="42" t="n">
        <f aca="false">K49*(1+Drivers!$C$134)</f>
        <v>1294.7717629195</v>
      </c>
      <c r="M49" s="42" t="n">
        <f aca="false">L49*(1+Drivers!$C$134)</f>
        <v>1307.71948054869</v>
      </c>
      <c r="N49" s="42" t="n">
        <f aca="false">M49*(1+Drivers!$C$134)</f>
        <v>1320.79667535418</v>
      </c>
      <c r="O49" s="11"/>
      <c r="P49" s="11"/>
    </row>
    <row r="50" customFormat="false" ht="14.25" hidden="false" customHeight="true" outlineLevel="0" collapsed="false">
      <c r="C50" s="17" t="s">
        <v>1604</v>
      </c>
      <c r="D50" s="59" t="n">
        <v>162.1</v>
      </c>
      <c r="E50" s="65" t="n">
        <f aca="false">D50*(E17/D17)</f>
        <v>222.180073195132</v>
      </c>
      <c r="F50" s="65" t="n">
        <f aca="false">E50*(F17/E17)</f>
        <v>230.19234332895</v>
      </c>
      <c r="G50" s="65" t="n">
        <f aca="false">F50*(G17/F17)</f>
        <v>237.851443260779</v>
      </c>
      <c r="H50" s="65" t="n">
        <f aca="false">G50*(H17/G17)</f>
        <v>244.29381164392</v>
      </c>
      <c r="I50" s="65" t="n">
        <f aca="false">H50*(I17/H17)</f>
        <v>249.007893511965</v>
      </c>
      <c r="J50" s="65" t="n">
        <f aca="false">I50*(J17/I17)</f>
        <v>252.926796052272</v>
      </c>
      <c r="K50" s="65" t="n">
        <f aca="false">J50*(K17/J17)</f>
        <v>257.337464954908</v>
      </c>
      <c r="L50" s="65" t="n">
        <f aca="false">K50*(L17/K17)</f>
        <v>261.873704401123</v>
      </c>
      <c r="M50" s="65" t="n">
        <f aca="false">L50*(M17/L17)</f>
        <v>266.540345002502</v>
      </c>
      <c r="N50" s="65" t="n">
        <f aca="false">M50*(N17/M17)</f>
        <v>271.341652944543</v>
      </c>
      <c r="O50" s="11"/>
      <c r="P50" s="11"/>
    </row>
    <row r="51" customFormat="false" ht="14.25" hidden="false" customHeight="true" outlineLevel="0" collapsed="false">
      <c r="C51" s="55" t="s">
        <v>1605</v>
      </c>
      <c r="D51" s="66" t="n">
        <f aca="false">D46+D47+D48+D49+D50</f>
        <v>14364.4</v>
      </c>
      <c r="E51" s="66" t="n">
        <f aca="false">E46+E47+E48+E49+E50</f>
        <v>14527.0035264732</v>
      </c>
      <c r="F51" s="66" t="n">
        <f aca="false">F46+F47+F48+F49+F50</f>
        <v>15055.0428001208</v>
      </c>
      <c r="G51" s="65" t="n">
        <f aca="false">G46+G47+G48+G49+G50</f>
        <v>15557.670043358</v>
      </c>
      <c r="H51" s="65" t="n">
        <f aca="false">H46+H47+H48+H49+H50</f>
        <v>16039.8225672421</v>
      </c>
      <c r="I51" s="65" t="n">
        <f aca="false">I46+I47+I48+I49+I50</f>
        <v>16524.0610051122</v>
      </c>
      <c r="J51" s="65" t="n">
        <f aca="false">J46+J47+J48+J49+J50</f>
        <v>16783.1333996716</v>
      </c>
      <c r="K51" s="65" t="n">
        <f aca="false">K46+K47+K48+K49+K50</f>
        <v>16991.4740737954</v>
      </c>
      <c r="L51" s="65" t="n">
        <f aca="false">L46+L47+L48+L49+L50</f>
        <v>17193.7949859415</v>
      </c>
      <c r="M51" s="65" t="n">
        <f aca="false">M46+M47+M48+M49+M50</f>
        <v>17390.5347997076</v>
      </c>
      <c r="N51" s="65" t="n">
        <f aca="false">N46+N47+N48+N49+N50</f>
        <v>17582.153318951</v>
      </c>
      <c r="O51" s="11"/>
      <c r="P51" s="11"/>
    </row>
    <row r="52" customFormat="false" ht="14.25" hidden="false" customHeight="true" outlineLevel="0" collapsed="false">
      <c r="C52" s="11"/>
      <c r="D52" s="11"/>
      <c r="E52" s="11"/>
      <c r="F52" s="11"/>
      <c r="G52" s="11"/>
      <c r="H52" s="11"/>
      <c r="I52" s="11"/>
      <c r="J52" s="11"/>
      <c r="K52" s="11"/>
      <c r="L52" s="11"/>
      <c r="M52" s="11"/>
      <c r="N52" s="11"/>
      <c r="O52" s="11"/>
      <c r="P52" s="11"/>
    </row>
    <row r="53" customFormat="false" ht="14.25" hidden="false" customHeight="true" outlineLevel="0" collapsed="false">
      <c r="C53" s="17" t="s">
        <v>1606</v>
      </c>
      <c r="D53" s="31" t="n">
        <v>42.9</v>
      </c>
      <c r="E53" s="32" t="n">
        <f aca="false">D53</f>
        <v>42.9</v>
      </c>
      <c r="F53" s="32" t="n">
        <f aca="false">E53</f>
        <v>42.9</v>
      </c>
      <c r="G53" s="32" t="n">
        <f aca="false">F53</f>
        <v>42.9</v>
      </c>
      <c r="H53" s="32" t="n">
        <f aca="false">G53</f>
        <v>42.9</v>
      </c>
      <c r="I53" s="32" t="n">
        <f aca="false">H53</f>
        <v>42.9</v>
      </c>
      <c r="J53" s="32" t="n">
        <f aca="false">I53</f>
        <v>42.9</v>
      </c>
      <c r="K53" s="32" t="n">
        <f aca="false">J53</f>
        <v>42.9</v>
      </c>
      <c r="L53" s="32" t="n">
        <f aca="false">K53</f>
        <v>42.9</v>
      </c>
      <c r="M53" s="32" t="n">
        <f aca="false">L53</f>
        <v>42.9</v>
      </c>
      <c r="N53" s="32" t="n">
        <f aca="false">M53</f>
        <v>42.9</v>
      </c>
      <c r="O53" s="11"/>
      <c r="P53" s="11"/>
    </row>
    <row r="54" customFormat="false" ht="14.25" hidden="false" customHeight="true" outlineLevel="0" collapsed="false">
      <c r="C54" s="17" t="s">
        <v>1607</v>
      </c>
      <c r="D54" s="31" t="n">
        <v>875.4</v>
      </c>
      <c r="E54" s="42" t="n">
        <f aca="false">D54+Drivers!$C$83-('GABX Mini P&amp;L'!G31-IF('GABX Mini P&amp;L'!G30&gt;0,MIN(Drivers!$C$267,MAX(0,(D59+'GABX Mini P&amp;L'!G27)-IF('GABX Mini P&amp;L'!G30&gt;0,MIN(Drivers!$C$84*'GABX Mini P&amp;L'!G30,MAX(0,(D59+'GABX Mini P&amp;L'!G27))),0))),0))</f>
        <v>880</v>
      </c>
      <c r="F54" s="42" t="n">
        <f aca="false">E54+Drivers!$C$83-('GABX Mini P&amp;L'!H31-IF('GABX Mini P&amp;L'!H30&gt;0,MIN(Drivers!$C$268,MAX(0,(E59+'GABX Mini P&amp;L'!H27)-IF('GABX Mini P&amp;L'!H30&gt;0,MIN(Drivers!$C$85*'GABX Mini P&amp;L'!H30,MAX(0,(E59+'GABX Mini P&amp;L'!H27))),0))),0))</f>
        <v>861.663366336634</v>
      </c>
      <c r="G54" s="42" t="n">
        <f aca="false">F54+Drivers!$C$83-('GABX Mini P&amp;L'!I31-IF('GABX Mini P&amp;L'!I30&gt;0,MIN(Drivers!$C$268,MAX(0,(F59+'GABX Mini P&amp;L'!I27)-IF('GABX Mini P&amp;L'!I30&gt;0,MIN(Drivers!$C$285*'GABX Mini P&amp;L'!I30,MAX(0,(F59+'GABX Mini P&amp;L'!I27))),0))),0))</f>
        <v>843.326732673267</v>
      </c>
      <c r="H54" s="42" t="n">
        <f aca="false">G54+Drivers!$C$83-('GABX Mini P&amp;L'!J31-IF('GABX Mini P&amp;L'!J30&gt;0,MIN(Drivers!$C$268,MAX(0,(G59+'GABX Mini P&amp;L'!J27)-IF('GABX Mini P&amp;L'!J30&gt;0,MIN(Drivers!$C$286*'GABX Mini P&amp;L'!J30,MAX(0,(G59+'GABX Mini P&amp;L'!J27))),0))),0))</f>
        <v>824.990099009901</v>
      </c>
      <c r="I54" s="42" t="n">
        <f aca="false">H54+Drivers!$C$83-('GABX Mini P&amp;L'!K31-IF('GABX Mini P&amp;L'!K30&gt;0,MIN(Drivers!$C$268,MAX(0,(H59+'GABX Mini P&amp;L'!K27)-IF('GABX Mini P&amp;L'!K30&gt;0,MIN(Drivers!$C$287*'GABX Mini P&amp;L'!K30,MAX(0,(H59+'GABX Mini P&amp;L'!K27))),0))),0))</f>
        <v>806.653465346535</v>
      </c>
      <c r="J54" s="42" t="n">
        <f aca="false">I54+Drivers!$C$83-('GABX Mini P&amp;L'!L31-IF('GABX Mini P&amp;L'!L30&gt;0,MIN(Drivers!$C$268,MAX(0,(I59+'GABX Mini P&amp;L'!L27)-IF('GABX Mini P&amp;L'!L30&gt;0,MIN(Drivers!$C$518*'GABX Mini P&amp;L'!L30,MAX(0,(I59+'GABX Mini P&amp;L'!L27))),0))),0))</f>
        <v>788.316831683168</v>
      </c>
      <c r="K54" s="42" t="n">
        <f aca="false">J54+Drivers!$C$83-('GABX Mini P&amp;L'!M31-IF('GABX Mini P&amp;L'!M30&gt;0,MIN(Drivers!$C$268,MAX(0,(J59+'GABX Mini P&amp;L'!M27)-IF('GABX Mini P&amp;L'!M30&gt;0,MIN(Drivers!$C$519*'GABX Mini P&amp;L'!M30,MAX(0,(J59+'GABX Mini P&amp;L'!M27))),0))),0))</f>
        <v>769.980198019802</v>
      </c>
      <c r="L54" s="42" t="n">
        <f aca="false">K54+Drivers!$C$83-('GABX Mini P&amp;L'!N31-IF('GABX Mini P&amp;L'!N30&gt;0,MIN(Drivers!$C$268,MAX(0,(K59+'GABX Mini P&amp;L'!N27)-IF('GABX Mini P&amp;L'!N30&gt;0,MIN(Drivers!$C$520*'GABX Mini P&amp;L'!N30,MAX(0,(K59+'GABX Mini P&amp;L'!N27))),0))),0))</f>
        <v>751.643564356436</v>
      </c>
      <c r="M54" s="42" t="n">
        <f aca="false">L54+Drivers!$C$83-('GABX Mini P&amp;L'!O31-IF('GABX Mini P&amp;L'!O30&gt;0,MIN(Drivers!$C$268,MAX(0,(L59+'GABX Mini P&amp;L'!O27)-IF('GABX Mini P&amp;L'!O30&gt;0,MIN(Drivers!$C$521*'GABX Mini P&amp;L'!O30,MAX(0,(L59+'GABX Mini P&amp;L'!O27))),0))),0))</f>
        <v>733.306930693069</v>
      </c>
      <c r="N54" s="42" t="n">
        <f aca="false">M54+Drivers!$C$83-('GABX Mini P&amp;L'!P31-IF('GABX Mini P&amp;L'!P30&gt;0,MIN(Drivers!$C$268,MAX(0,(M59+'GABX Mini P&amp;L'!P27)-IF('GABX Mini P&amp;L'!P30&gt;0,MIN(Drivers!$C$522*'GABX Mini P&amp;L'!P30,MAX(0,(M59+'GABX Mini P&amp;L'!P27))),0))),0))</f>
        <v>643.979968237737</v>
      </c>
      <c r="O54" s="11"/>
      <c r="P54" s="11"/>
    </row>
    <row r="55" customFormat="false" ht="14.25" hidden="false" customHeight="true" outlineLevel="0" collapsed="false">
      <c r="C55" s="17" t="s">
        <v>1608</v>
      </c>
      <c r="D55" s="31" t="n">
        <v>3451.2</v>
      </c>
      <c r="E55" s="42" t="n">
        <f aca="false">D55+E31-Drivers!$C$79*E32</f>
        <v>3725.04218408835</v>
      </c>
      <c r="F55" s="42" t="n">
        <f aca="false">E55+F31-Drivers!$C$80*F32</f>
        <v>3986.98869924939</v>
      </c>
      <c r="G55" s="42" t="n">
        <f aca="false">F55+G31-Drivers!$C$279*G32</f>
        <v>4262.48637218473</v>
      </c>
      <c r="H55" s="42" t="n">
        <f aca="false">G55+H31-Drivers!$C$280*H32</f>
        <v>4550.5870166943</v>
      </c>
      <c r="I55" s="42" t="n">
        <f aca="false">H55+I31-Drivers!$C$281*I32</f>
        <v>4832.98754096729</v>
      </c>
      <c r="J55" s="32" t="n">
        <f aca="false">I55+J31+J86</f>
        <v>5127.60333491452</v>
      </c>
      <c r="K55" s="32" t="n">
        <f aca="false">J55+K31+K86</f>
        <v>5426.94235496734</v>
      </c>
      <c r="L55" s="32" t="n">
        <f aca="false">K55+L31+L86</f>
        <v>5735.20015198</v>
      </c>
      <c r="M55" s="32" t="n">
        <f aca="false">L55+M31+M86</f>
        <v>6054.23719129301</v>
      </c>
      <c r="N55" s="32" t="n">
        <f aca="false">M55+N31+N86</f>
        <v>6385.95424273664</v>
      </c>
      <c r="O55" s="11"/>
      <c r="P55" s="11"/>
    </row>
    <row r="56" customFormat="false" ht="14.25" hidden="false" customHeight="true" outlineLevel="0" collapsed="false">
      <c r="C56" s="17" t="s">
        <v>1609</v>
      </c>
      <c r="D56" s="31" t="n">
        <v>-104.6</v>
      </c>
      <c r="E56" s="32" t="n">
        <f aca="false">D56</f>
        <v>-104.6</v>
      </c>
      <c r="F56" s="32" t="n">
        <f aca="false">E56</f>
        <v>-104.6</v>
      </c>
      <c r="G56" s="32" t="n">
        <f aca="false">F56</f>
        <v>-104.6</v>
      </c>
      <c r="H56" s="32" t="n">
        <f aca="false">G56</f>
        <v>-104.6</v>
      </c>
      <c r="I56" s="32" t="n">
        <f aca="false">H56</f>
        <v>-104.6</v>
      </c>
      <c r="J56" s="32" t="n">
        <f aca="false">I56</f>
        <v>-104.6</v>
      </c>
      <c r="K56" s="32" t="n">
        <f aca="false">J56</f>
        <v>-104.6</v>
      </c>
      <c r="L56" s="32" t="n">
        <f aca="false">K56</f>
        <v>-104.6</v>
      </c>
      <c r="M56" s="32" t="n">
        <f aca="false">L56</f>
        <v>-104.6</v>
      </c>
      <c r="N56" s="32" t="n">
        <f aca="false">M56</f>
        <v>-104.6</v>
      </c>
      <c r="O56" s="11"/>
      <c r="P56" s="11"/>
    </row>
    <row r="57" customFormat="false" ht="14.25" hidden="false" customHeight="true" outlineLevel="0" collapsed="false">
      <c r="C57" s="17" t="s">
        <v>1610</v>
      </c>
      <c r="D57" s="31" t="n">
        <v>-1514.4</v>
      </c>
      <c r="E57" s="42" t="n">
        <f aca="false">D57-Drivers!$C$81</f>
        <v>-1614.4</v>
      </c>
      <c r="F57" s="42" t="n">
        <f aca="false">E57-Drivers!$C$82</f>
        <v>-1714.4</v>
      </c>
      <c r="G57" s="42" t="n">
        <f aca="false">F57-Drivers!$C$282</f>
        <v>-1814.4</v>
      </c>
      <c r="H57" s="42" t="n">
        <f aca="false">G57-Drivers!$C$283</f>
        <v>-1914.4</v>
      </c>
      <c r="I57" s="42" t="n">
        <f aca="false">H57-Drivers!$C$284</f>
        <v>-2014.4</v>
      </c>
      <c r="J57" s="32" t="n">
        <f aca="false">I57+J85</f>
        <v>-2118.72551239262</v>
      </c>
      <c r="K57" s="32" t="n">
        <f aca="false">J57+K85</f>
        <v>-2224.72355217085</v>
      </c>
      <c r="L57" s="32" t="n">
        <f aca="false">K57+L85</f>
        <v>-2333.87979322467</v>
      </c>
      <c r="M57" s="32" t="n">
        <f aca="false">L57+M85</f>
        <v>-2446.85303933827</v>
      </c>
      <c r="N57" s="32" t="n">
        <f aca="false">M57+N85</f>
        <v>-2564.31636639746</v>
      </c>
      <c r="O57" s="11"/>
      <c r="P57" s="11"/>
    </row>
    <row r="58" customFormat="false" ht="14.25" hidden="false" customHeight="true" outlineLevel="0" collapsed="false">
      <c r="C58" s="55" t="s">
        <v>1611</v>
      </c>
      <c r="D58" s="62" t="n">
        <f aca="false">D53+D54+D55+D56+D57</f>
        <v>2750.5</v>
      </c>
      <c r="E58" s="62" t="n">
        <f aca="false">E53+E54+E55+E56+E57</f>
        <v>2928.94218408835</v>
      </c>
      <c r="F58" s="62" t="n">
        <f aca="false">F53+F54+F55+F56+F57</f>
        <v>3072.55206558602</v>
      </c>
      <c r="G58" s="32" t="n">
        <f aca="false">G53+G54+G55+G56+G57</f>
        <v>3229.713104858</v>
      </c>
      <c r="H58" s="32" t="n">
        <f aca="false">H53+H54+H55+H56+H57</f>
        <v>3399.4771157042</v>
      </c>
      <c r="I58" s="32" t="n">
        <f aca="false">I53+I54+I55+I56+I57</f>
        <v>3563.54100631382</v>
      </c>
      <c r="J58" s="32" t="n">
        <f aca="false">J53+J54+J55+J56+J57</f>
        <v>3735.49465420506</v>
      </c>
      <c r="K58" s="32" t="n">
        <f aca="false">K53+K54+K55+K56+K57</f>
        <v>3910.49900081628</v>
      </c>
      <c r="L58" s="32" t="n">
        <f aca="false">L53+L54+L55+L56+L57</f>
        <v>4091.26392311176</v>
      </c>
      <c r="M58" s="32" t="n">
        <f aca="false">M53+M54+M55+M56+M57</f>
        <v>4278.9910826478</v>
      </c>
      <c r="N58" s="32" t="n">
        <f aca="false">N53+N54+N55+N56+N57</f>
        <v>4403.91784457692</v>
      </c>
      <c r="O58" s="11"/>
      <c r="P58" s="11"/>
    </row>
    <row r="59" customFormat="false" ht="14.25" hidden="false" customHeight="true" outlineLevel="0" collapsed="false">
      <c r="C59" s="17" t="s">
        <v>1612</v>
      </c>
      <c r="D59" s="31" t="n">
        <v>884.6</v>
      </c>
      <c r="E59" s="42" t="n">
        <f aca="false">(D59+'GABX Mini P&amp;L'!G27)-IF('GABX Mini P&amp;L'!G30&gt;0,MIN(Drivers!$C$84*'GABX Mini P&amp;L'!G30,MAX(0,(D59+'GABX Mini P&amp;L'!G27))),0)-IF('GABX Mini P&amp;L'!G30&gt;0,MIN(Drivers!$C$267,MAX(0,(D59+'GABX Mini P&amp;L'!G27)-IF('GABX Mini P&amp;L'!G30&gt;0,MIN(Drivers!$C$84*'GABX Mini P&amp;L'!G30,MAX(0,(D59+'GABX Mini P&amp;L'!G27))),0))),0)</f>
        <v>792.35004</v>
      </c>
      <c r="F59" s="42" t="n">
        <f aca="false">(E59+'GABX Mini P&amp;L'!H27)-IF('GABX Mini P&amp;L'!H30&gt;0,MIN(Drivers!$C$85*'GABX Mini P&amp;L'!H30,MAX(0,(E59+'GABX Mini P&amp;L'!H27))),0)-IF('GABX Mini P&amp;L'!H30&gt;0,MIN(Drivers!$C$268,MAX(0,(E59+'GABX Mini P&amp;L'!H27)-IF('GABX Mini P&amp;L'!H30&gt;0,MIN(Drivers!$C$85*'GABX Mini P&amp;L'!H30,MAX(0,(E59+'GABX Mini P&amp;L'!H27))),0))),0)</f>
        <v>673.442355377475</v>
      </c>
      <c r="G59" s="42" t="n">
        <f aca="false">(F59+'GABX Mini P&amp;L'!I27)-IF('GABX Mini P&amp;L'!I30&gt;0,MIN(Drivers!$C$285*'GABX Mini P&amp;L'!I30,MAX(0,(F59+'GABX Mini P&amp;L'!I27))),0)-IF('GABX Mini P&amp;L'!I30&gt;0,MIN(Drivers!$C$268,MAX(0,(F59+'GABX Mini P&amp;L'!I27)-IF('GABX Mini P&amp;L'!I30&gt;0,MIN(Drivers!$C$285*'GABX Mini P&amp;L'!I30,MAX(0,(F59+'GABX Mini P&amp;L'!I27))),0))),0)</f>
        <v>565.944113003175</v>
      </c>
      <c r="H59" s="42" t="n">
        <f aca="false">(G59+'GABX Mini P&amp;L'!J27)-IF('GABX Mini P&amp;L'!J30&gt;0,MIN(Drivers!$C$286*'GABX Mini P&amp;L'!J30,MAX(0,(G59+'GABX Mini P&amp;L'!J27))),0)-IF('GABX Mini P&amp;L'!J30&gt;0,MIN(Drivers!$C$268,MAX(0,(G59+'GABX Mini P&amp;L'!J27)-IF('GABX Mini P&amp;L'!J30&gt;0,MIN(Drivers!$C$286*'GABX Mini P&amp;L'!J30,MAX(0,(G59+'GABX Mini P&amp;L'!J27))),0))),0)</f>
        <v>464.762363769383</v>
      </c>
      <c r="I59" s="42" t="n">
        <f aca="false">(H59+'GABX Mini P&amp;L'!K27)-IF('GABX Mini P&amp;L'!K30&gt;0,MIN(Drivers!$C$287*'GABX Mini P&amp;L'!K30,MAX(0,(H59+'GABX Mini P&amp;L'!K27))),0)-IF('GABX Mini P&amp;L'!K30&gt;0,MIN(Drivers!$C$268,MAX(0,(H59+'GABX Mini P&amp;L'!K27)-IF('GABX Mini P&amp;L'!K30&gt;0,MIN(Drivers!$C$287*'GABX Mini P&amp;L'!K30,MAX(0,(H59+'GABX Mini P&amp;L'!K27))),0))),0)</f>
        <v>364.985684660809</v>
      </c>
      <c r="J59" s="42" t="n">
        <f aca="false">(I59+'GABX Mini P&amp;L'!L27)-IF('GABX Mini P&amp;L'!L30&gt;0,MIN(Drivers!$C$518*'GABX Mini P&amp;L'!L30,MAX(0,(I59+'GABX Mini P&amp;L'!L27))),0)-IF('GABX Mini P&amp;L'!L30&gt;0,MIN(Drivers!$C$268,MAX(0,(I59+'GABX Mini P&amp;L'!L27)-IF('GABX Mini P&amp;L'!L30&gt;0,MIN(Drivers!$C$518*'GABX Mini P&amp;L'!L30,MAX(0,(I59+'GABX Mini P&amp;L'!L27))),0))),0)</f>
        <v>271.468874821833</v>
      </c>
      <c r="K59" s="42" t="n">
        <f aca="false">(J59+'GABX Mini P&amp;L'!M27)-IF('GABX Mini P&amp;L'!M30&gt;0,MIN(Drivers!$C$519*'GABX Mini P&amp;L'!M30,MAX(0,(J59+'GABX Mini P&amp;L'!M27))),0)-IF('GABX Mini P&amp;L'!M30&gt;0,MIN(Drivers!$C$268,MAX(0,(J59+'GABX Mini P&amp;L'!M27)-IF('GABX Mini P&amp;L'!M30&gt;0,MIN(Drivers!$C$519*'GABX Mini P&amp;L'!M30,MAX(0,(J59+'GABX Mini P&amp;L'!M27))),0))),0)</f>
        <v>182.696423930319</v>
      </c>
      <c r="L59" s="42" t="n">
        <f aca="false">(K59+'GABX Mini P&amp;L'!N27)-IF('GABX Mini P&amp;L'!N30&gt;0,MIN(Drivers!$C$520*'GABX Mini P&amp;L'!N30,MAX(0,(K59+'GABX Mini P&amp;L'!N27))),0)-IF('GABX Mini P&amp;L'!N30&gt;0,MIN(Drivers!$C$268,MAX(0,(K59+'GABX Mini P&amp;L'!N27)-IF('GABX Mini P&amp;L'!N30&gt;0,MIN(Drivers!$C$520*'GABX Mini P&amp;L'!N30,MAX(0,(K59+'GABX Mini P&amp;L'!N27))),0))),0)</f>
        <v>97.1080140291706</v>
      </c>
      <c r="M59" s="42" t="n">
        <f aca="false">(L59+'GABX Mini P&amp;L'!O27)-IF('GABX Mini P&amp;L'!O30&gt;0,MIN(Drivers!$C$521*'GABX Mini P&amp;L'!O30,MAX(0,(L59+'GABX Mini P&amp;L'!O27))),0)-IF('GABX Mini P&amp;L'!O30&gt;0,MIN(Drivers!$C$268,MAX(0,(L59+'GABX Mini P&amp;L'!O27)-IF('GABX Mini P&amp;L'!O30&gt;0,MIN(Drivers!$C$521*'GABX Mini P&amp;L'!O30,MAX(0,(L59+'GABX Mini P&amp;L'!O27))),0))),0)</f>
        <v>13.0971380398453</v>
      </c>
      <c r="N59" s="42" t="n">
        <f aca="false">(M59+'GABX Mini P&amp;L'!P27)-IF('GABX Mini P&amp;L'!P30&gt;0,MIN(Drivers!$C$522*'GABX Mini P&amp;L'!P30,MAX(0,(M59+'GABX Mini P&amp;L'!P27))),0)-IF('GABX Mini P&amp;L'!P30&gt;0,MIN(Drivers!$C$268,MAX(0,(M59+'GABX Mini P&amp;L'!P27)-IF('GABX Mini P&amp;L'!P30&gt;0,MIN(Drivers!$C$522*'GABX Mini P&amp;L'!P30,MAX(0,(M59+'GABX Mini P&amp;L'!P27))),0))),0)</f>
        <v>0</v>
      </c>
      <c r="O59" s="11"/>
      <c r="P59" s="11"/>
    </row>
    <row r="60" customFormat="false" ht="14.25" hidden="false" customHeight="true" outlineLevel="0" collapsed="false">
      <c r="C60" s="55" t="s">
        <v>1613</v>
      </c>
      <c r="D60" s="62" t="n">
        <f aca="false">D58+D59</f>
        <v>3635.1</v>
      </c>
      <c r="E60" s="62" t="n">
        <f aca="false">E58+E59</f>
        <v>3721.29222408835</v>
      </c>
      <c r="F60" s="62" t="n">
        <f aca="false">F58+F59</f>
        <v>3745.9944209635</v>
      </c>
      <c r="G60" s="32" t="n">
        <f aca="false">G58+G59</f>
        <v>3795.65721786117</v>
      </c>
      <c r="H60" s="32" t="n">
        <f aca="false">H58+H59</f>
        <v>3864.23947947359</v>
      </c>
      <c r="I60" s="32" t="n">
        <f aca="false">I58+I59</f>
        <v>3928.52669097463</v>
      </c>
      <c r="J60" s="32" t="n">
        <f aca="false">J58+J59</f>
        <v>4006.9635290269</v>
      </c>
      <c r="K60" s="32" t="n">
        <f aca="false">K58+K59</f>
        <v>4093.1954247466</v>
      </c>
      <c r="L60" s="32" t="n">
        <f aca="false">L58+L59</f>
        <v>4188.37193714093</v>
      </c>
      <c r="M60" s="32" t="n">
        <f aca="false">M58+M59</f>
        <v>4292.08822068765</v>
      </c>
      <c r="N60" s="32" t="n">
        <f aca="false">N58+N59</f>
        <v>4403.91784457692</v>
      </c>
      <c r="O60" s="11"/>
      <c r="P60" s="11"/>
    </row>
    <row r="61" customFormat="false" ht="14.25" hidden="false" customHeight="true" outlineLevel="0" collapsed="false">
      <c r="C61" s="55" t="s">
        <v>1614</v>
      </c>
      <c r="D61" s="66" t="n">
        <f aca="false">D51+D60</f>
        <v>17999.5</v>
      </c>
      <c r="E61" s="66" t="n">
        <f aca="false">E51+E60</f>
        <v>18248.2957505616</v>
      </c>
      <c r="F61" s="66" t="n">
        <f aca="false">F51+F60</f>
        <v>18801.0372210843</v>
      </c>
      <c r="G61" s="65" t="n">
        <f aca="false">G51+G60</f>
        <v>19353.3272612192</v>
      </c>
      <c r="H61" s="65" t="n">
        <f aca="false">H51+H60</f>
        <v>19904.0620467157</v>
      </c>
      <c r="I61" s="65" t="n">
        <f aca="false">I51+I60</f>
        <v>20452.5876960869</v>
      </c>
      <c r="J61" s="65" t="n">
        <f aca="false">J51+J60</f>
        <v>20790.0969286985</v>
      </c>
      <c r="K61" s="65" t="n">
        <f aca="false">K51+K60</f>
        <v>21084.669498542</v>
      </c>
      <c r="L61" s="65" t="n">
        <f aca="false">L51+L60</f>
        <v>21382.1669230824</v>
      </c>
      <c r="M61" s="65" t="n">
        <f aca="false">M51+M60</f>
        <v>21682.6230203952</v>
      </c>
      <c r="N61" s="65" t="n">
        <f aca="false">N51+N60</f>
        <v>21986.0711635279</v>
      </c>
      <c r="O61" s="11"/>
      <c r="P61" s="11"/>
    </row>
    <row r="62" customFormat="false" ht="14.25" hidden="false" customHeight="true" outlineLevel="0" collapsed="false">
      <c r="A62" s="22" t="s">
        <v>11</v>
      </c>
      <c r="C62" s="67" t="s">
        <v>1657</v>
      </c>
      <c r="D62" s="68" t="n">
        <f aca="false">D44-D61</f>
        <v>0</v>
      </c>
      <c r="E62" s="68" t="n">
        <f aca="false">E44-E61</f>
        <v>0</v>
      </c>
      <c r="F62" s="68" t="n">
        <f aca="false">F44-F61</f>
        <v>0</v>
      </c>
      <c r="G62" s="69" t="n">
        <f aca="false">G44-G61</f>
        <v>0</v>
      </c>
      <c r="H62" s="69" t="n">
        <f aca="false">H44-H61</f>
        <v>0</v>
      </c>
      <c r="I62" s="69" t="n">
        <f aca="false">I44-I61</f>
        <v>0</v>
      </c>
      <c r="J62" s="69" t="n">
        <f aca="false">J44-J61</f>
        <v>0</v>
      </c>
      <c r="K62" s="69" t="n">
        <f aca="false">K44-K61</f>
        <v>0</v>
      </c>
      <c r="L62" s="69" t="n">
        <f aca="false">L44-L61</f>
        <v>0</v>
      </c>
      <c r="M62" s="69" t="n">
        <f aca="false">M44-M61</f>
        <v>0</v>
      </c>
      <c r="N62" s="69" t="n">
        <f aca="false">N44-N61</f>
        <v>0</v>
      </c>
      <c r="O62" s="54"/>
      <c r="P62" s="54"/>
    </row>
    <row r="63" customFormat="false" ht="14.25" hidden="false" customHeight="true" outlineLevel="0" collapsed="false">
      <c r="C63" s="11"/>
      <c r="D63" s="11"/>
      <c r="E63" s="11"/>
      <c r="F63" s="11"/>
      <c r="G63" s="11"/>
      <c r="H63" s="11"/>
      <c r="I63" s="11"/>
      <c r="J63" s="11"/>
      <c r="K63" s="11"/>
      <c r="L63" s="11"/>
      <c r="M63" s="11"/>
      <c r="N63" s="11"/>
      <c r="O63" s="11"/>
      <c r="P63" s="11"/>
    </row>
    <row r="64" customFormat="false" ht="14.25" hidden="false" customHeight="true" outlineLevel="0" collapsed="false">
      <c r="A64" s="22" t="s">
        <v>11</v>
      </c>
      <c r="C64" s="52" t="s">
        <v>1615</v>
      </c>
      <c r="D64" s="54"/>
      <c r="E64" s="54"/>
      <c r="F64" s="54"/>
      <c r="G64" s="54"/>
      <c r="H64" s="54"/>
      <c r="I64" s="54"/>
      <c r="J64" s="54"/>
      <c r="K64" s="54"/>
      <c r="L64" s="54"/>
      <c r="M64" s="54"/>
      <c r="N64" s="54"/>
      <c r="O64" s="54"/>
      <c r="P64" s="54"/>
    </row>
    <row r="65" customFormat="false" ht="14.25" hidden="false" customHeight="true" outlineLevel="0" collapsed="false">
      <c r="C65" s="17" t="s">
        <v>1616</v>
      </c>
      <c r="D65" s="31" t="n">
        <v>333.3</v>
      </c>
      <c r="E65" s="32" t="n">
        <f aca="false">E29</f>
        <v>385.369224088351</v>
      </c>
      <c r="F65" s="32" t="n">
        <f aca="false">F29</f>
        <v>383.776970659485</v>
      </c>
      <c r="G65" s="32" t="n">
        <f aca="false">G29</f>
        <v>400.219372492106</v>
      </c>
      <c r="H65" s="32" t="n">
        <f aca="false">H29</f>
        <v>410.671979052348</v>
      </c>
      <c r="I65" s="32" t="n">
        <f aca="false">I29</f>
        <v>397.959674685417</v>
      </c>
      <c r="J65" s="32" t="n">
        <f aca="false">J29</f>
        <v>413.419404459242</v>
      </c>
      <c r="K65" s="32" t="n">
        <f aca="false">K29</f>
        <v>417.427694214693</v>
      </c>
      <c r="L65" s="32" t="n">
        <f aca="false">L29</f>
        <v>425.439795204621</v>
      </c>
      <c r="M65" s="32" t="n">
        <f aca="false">M29</f>
        <v>434.312733660392</v>
      </c>
      <c r="N65" s="32" t="n">
        <f aca="false">N29</f>
        <v>444.052343621149</v>
      </c>
      <c r="O65" s="11"/>
      <c r="P65" s="11"/>
    </row>
    <row r="66" customFormat="false" ht="14.25" hidden="false" customHeight="true" outlineLevel="0" collapsed="false">
      <c r="C66" s="17" t="s">
        <v>1658</v>
      </c>
      <c r="D66" s="31" t="n">
        <v>452.3</v>
      </c>
      <c r="E66" s="32" t="n">
        <f aca="false">-E19</f>
        <v>671.4</v>
      </c>
      <c r="F66" s="32" t="n">
        <f aca="false">-F19</f>
        <v>720</v>
      </c>
      <c r="G66" s="32" t="n">
        <f aca="false">-G19</f>
        <v>720</v>
      </c>
      <c r="H66" s="32" t="n">
        <f aca="false">-H19</f>
        <v>720</v>
      </c>
      <c r="I66" s="32" t="n">
        <f aca="false">-I19</f>
        <v>720</v>
      </c>
      <c r="J66" s="32" t="n">
        <f aca="false">-J19</f>
        <v>720</v>
      </c>
      <c r="K66" s="32" t="n">
        <f aca="false">-K19</f>
        <v>732.835297066934</v>
      </c>
      <c r="L66" s="32" t="n">
        <f aca="false">-L19</f>
        <v>743.923178741539</v>
      </c>
      <c r="M66" s="32" t="n">
        <f aca="false">-M19</f>
        <v>755.12193923289</v>
      </c>
      <c r="N66" s="32" t="n">
        <f aca="false">-N19</f>
        <v>766.432687329155</v>
      </c>
      <c r="O66" s="11"/>
      <c r="P66" s="11"/>
    </row>
    <row r="67" customFormat="false" ht="14.25" hidden="false" customHeight="true" outlineLevel="0" collapsed="false">
      <c r="C67" s="17" t="s">
        <v>1659</v>
      </c>
      <c r="D67" s="31" t="n">
        <v>-140</v>
      </c>
      <c r="E67" s="32" t="n">
        <f aca="false">-E23</f>
        <v>-210.5</v>
      </c>
      <c r="F67" s="32" t="n">
        <f aca="false">-F23</f>
        <v>-210.5</v>
      </c>
      <c r="G67" s="32" t="n">
        <f aca="false">-G23</f>
        <v>-210.499264</v>
      </c>
      <c r="H67" s="32" t="n">
        <f aca="false">-H23</f>
        <v>-210.499264</v>
      </c>
      <c r="I67" s="32" t="n">
        <f aca="false">-I23</f>
        <v>-210.499264</v>
      </c>
      <c r="J67" s="32" t="n">
        <f aca="false">-J23</f>
        <v>-217.86673824</v>
      </c>
      <c r="K67" s="32" t="n">
        <f aca="false">-K23</f>
        <v>-220.4024615784</v>
      </c>
      <c r="L67" s="32" t="n">
        <f aca="false">-L23</f>
        <v>-223.026935233644</v>
      </c>
      <c r="M67" s="32" t="n">
        <f aca="false">-M23</f>
        <v>-225.743265466821</v>
      </c>
      <c r="N67" s="32" t="n">
        <f aca="false">-N23</f>
        <v>-228.55466725816</v>
      </c>
      <c r="O67" s="11"/>
      <c r="P67" s="11"/>
    </row>
    <row r="68" customFormat="false" ht="14.25" hidden="false" customHeight="true" outlineLevel="0" collapsed="false">
      <c r="C68" s="17" t="s">
        <v>1660</v>
      </c>
      <c r="D68" s="31" t="n">
        <v>53.2</v>
      </c>
      <c r="E68" s="32" t="n">
        <f aca="false">E49-D49</f>
        <v>11.9570000000001</v>
      </c>
      <c r="F68" s="32" t="n">
        <f aca="false">F49-E49</f>
        <v>12.0765699999999</v>
      </c>
      <c r="G68" s="32" t="n">
        <f aca="false">G49-F49</f>
        <v>12.1973356999999</v>
      </c>
      <c r="H68" s="32" t="n">
        <f aca="false">H49-G49</f>
        <v>12.3193090570001</v>
      </c>
      <c r="I68" s="32" t="n">
        <f aca="false">I49-H49</f>
        <v>12.4425021475699</v>
      </c>
      <c r="J68" s="32" t="n">
        <f aca="false">J49-I49</f>
        <v>12.5669271690458</v>
      </c>
      <c r="K68" s="32" t="n">
        <f aca="false">K49-J49</f>
        <v>12.6925964407362</v>
      </c>
      <c r="L68" s="32" t="n">
        <f aca="false">L49-K49</f>
        <v>12.8195224051435</v>
      </c>
      <c r="M68" s="32" t="n">
        <f aca="false">M49-L49</f>
        <v>12.947717629195</v>
      </c>
      <c r="N68" s="32" t="n">
        <f aca="false">N49-M49</f>
        <v>13.0771948054869</v>
      </c>
      <c r="O68" s="11"/>
      <c r="P68" s="11"/>
    </row>
    <row r="69" customFormat="false" ht="14.25" hidden="false" customHeight="true" outlineLevel="0" collapsed="false">
      <c r="C69" s="17" t="s">
        <v>1661</v>
      </c>
      <c r="D69" s="31" t="n">
        <v>-11.8</v>
      </c>
      <c r="E69" s="32" t="n">
        <f aca="false">(E46-D46)+(E50-D50)-(E38-D38)</f>
        <v>101.294781025475</v>
      </c>
      <c r="F69" s="32" t="n">
        <f aca="false">(F46-E46)+(F50-E50)-(F38-E38)</f>
        <v>13.5086577888496</v>
      </c>
      <c r="G69" s="32" t="n">
        <f aca="false">(G46-F46)+(G50-F50)-(G38-F38)</f>
        <v>12.9132141355259</v>
      </c>
      <c r="H69" s="32" t="n">
        <f aca="false">(H46-G46)+(H50-G50)-(H38-G38)</f>
        <v>10.8618092480721</v>
      </c>
      <c r="I69" s="32" t="n">
        <f aca="false">(I46-H46)+(I50-H50)-(I38-H38)</f>
        <v>7.94792458073317</v>
      </c>
      <c r="J69" s="32" t="n">
        <f aca="false">(J46-I46)+(J50-I50)-(J38-I38)</f>
        <v>6.60725517745718</v>
      </c>
      <c r="K69" s="32" t="n">
        <f aca="false">(K46-J46)+(K50-J50)-(K38-J38)</f>
        <v>7.43637144411164</v>
      </c>
      <c r="L69" s="32" t="n">
        <f aca="false">(L46-K46)+(L50-K50)-(L38-K38)</f>
        <v>7.64808291579504</v>
      </c>
      <c r="M69" s="32" t="n">
        <f aca="false">(M46-L46)+(M50-L50)-(M38-L38)</f>
        <v>7.86793878073434</v>
      </c>
      <c r="N69" s="32" t="n">
        <f aca="false">(N46-M46)+(N50-M50)-(N38-M38)</f>
        <v>8.09498741863001</v>
      </c>
      <c r="O69" s="11"/>
      <c r="P69" s="11"/>
    </row>
    <row r="70" customFormat="false" ht="14.25" hidden="false" customHeight="true" outlineLevel="0" collapsed="false">
      <c r="C70" s="17" t="s">
        <v>1662</v>
      </c>
      <c r="D70" s="31" t="n">
        <v>-67.3</v>
      </c>
      <c r="E70" s="32" t="n">
        <f aca="false">-(E41-D41)</f>
        <v>-0</v>
      </c>
      <c r="F70" s="32" t="n">
        <f aca="false">-(F41-E41)</f>
        <v>-20</v>
      </c>
      <c r="G70" s="32" t="n">
        <f aca="false">-(G41-F41)</f>
        <v>-20</v>
      </c>
      <c r="H70" s="32" t="n">
        <f aca="false">-(H41-G41)</f>
        <v>-20</v>
      </c>
      <c r="I70" s="32" t="n">
        <f aca="false">-(I41-H41)</f>
        <v>-20</v>
      </c>
      <c r="J70" s="32" t="n">
        <f aca="false">-(J41-I41)</f>
        <v>-20</v>
      </c>
      <c r="K70" s="32" t="n">
        <f aca="false">-(K41-J41)</f>
        <v>-20</v>
      </c>
      <c r="L70" s="32" t="n">
        <f aca="false">-(L41-K41)</f>
        <v>-20</v>
      </c>
      <c r="M70" s="32" t="n">
        <f aca="false">-(M41-L41)</f>
        <v>-20</v>
      </c>
      <c r="N70" s="32" t="n">
        <f aca="false">-(N41-M41)</f>
        <v>-20</v>
      </c>
      <c r="O70" s="11"/>
      <c r="P70" s="11"/>
    </row>
    <row r="71" customFormat="false" ht="14.25" hidden="false" customHeight="true" outlineLevel="0" collapsed="false">
      <c r="C71" s="17" t="s">
        <v>1663</v>
      </c>
      <c r="D71" s="31" t="n">
        <v>25</v>
      </c>
      <c r="E71" s="42" t="n">
        <f aca="false">Drivers!$C$83</f>
        <v>28</v>
      </c>
      <c r="F71" s="42" t="n">
        <f aca="false">Drivers!$C$83</f>
        <v>28</v>
      </c>
      <c r="G71" s="42" t="n">
        <f aca="false">Drivers!$C$83</f>
        <v>28</v>
      </c>
      <c r="H71" s="42" t="n">
        <f aca="false">Drivers!$C$83</f>
        <v>28</v>
      </c>
      <c r="I71" s="42" t="n">
        <f aca="false">Drivers!$C$83</f>
        <v>28</v>
      </c>
      <c r="J71" s="42" t="n">
        <f aca="false">Drivers!$C$83</f>
        <v>28</v>
      </c>
      <c r="K71" s="42" t="n">
        <f aca="false">Drivers!$C$83</f>
        <v>28</v>
      </c>
      <c r="L71" s="42" t="n">
        <f aca="false">Drivers!$C$83</f>
        <v>28</v>
      </c>
      <c r="M71" s="42" t="n">
        <f aca="false">Drivers!$C$83</f>
        <v>28</v>
      </c>
      <c r="N71" s="42" t="n">
        <f aca="false">Drivers!$C$83</f>
        <v>28</v>
      </c>
      <c r="O71" s="11"/>
      <c r="P71" s="11"/>
    </row>
    <row r="72" customFormat="false" ht="14.25" hidden="false" customHeight="true" outlineLevel="0" collapsed="false">
      <c r="C72" s="17" t="s">
        <v>1664</v>
      </c>
      <c r="D72" s="31" t="n">
        <v>0</v>
      </c>
      <c r="E72" s="34" t="n">
        <f aca="false">-(E40-D40)+(E48-D48)</f>
        <v>-0.599999999999994</v>
      </c>
      <c r="F72" s="32" t="n">
        <f aca="false">-(F40-E40)+(F48-E48)</f>
        <v>-1.30000000000001</v>
      </c>
      <c r="G72" s="34" t="n">
        <f aca="false">-(G40-F40)+(G48-F48)</f>
        <v>-0.5</v>
      </c>
      <c r="H72" s="34" t="n">
        <f aca="false">-(H40-G40)+(H48-G48)</f>
        <v>-0.5</v>
      </c>
      <c r="I72" s="34" t="n">
        <f aca="false">-(I40-H40)+(I48-H48)</f>
        <v>-0.5</v>
      </c>
      <c r="J72" s="34" t="n">
        <f aca="false">-(J40-I40)+(J48-I48)</f>
        <v>-0.5</v>
      </c>
      <c r="K72" s="34" t="n">
        <f aca="false">-(K40-J40)+(K48-J48)</f>
        <v>-0.5</v>
      </c>
      <c r="L72" s="34" t="n">
        <f aca="false">-(L40-K40)+(L48-K48)</f>
        <v>-0.5</v>
      </c>
      <c r="M72" s="34" t="n">
        <f aca="false">-(M40-L40)+(M48-L48)</f>
        <v>-0.5</v>
      </c>
      <c r="N72" s="34" t="n">
        <f aca="false">-(N40-M40)+(N48-M48)</f>
        <v>-0.5</v>
      </c>
      <c r="O72" s="11"/>
      <c r="P72" s="11"/>
    </row>
    <row r="73" customFormat="false" ht="14.25" hidden="false" customHeight="true" outlineLevel="0" collapsed="false">
      <c r="C73" s="55" t="s">
        <v>1665</v>
      </c>
      <c r="D73" s="62" t="n">
        <f aca="false">SUM(D65:D72)</f>
        <v>644.7</v>
      </c>
      <c r="E73" s="62" t="n">
        <f aca="false">SUM(E65:E72)</f>
        <v>986.921005113826</v>
      </c>
      <c r="F73" s="62" t="n">
        <f aca="false">SUM(F65:F72)</f>
        <v>925.562198448334</v>
      </c>
      <c r="G73" s="32" t="n">
        <f aca="false">SUM(G65:G72)</f>
        <v>942.330658327632</v>
      </c>
      <c r="H73" s="32" t="n">
        <f aca="false">SUM(H65:H72)</f>
        <v>950.85383335742</v>
      </c>
      <c r="I73" s="32" t="n">
        <f aca="false">SUM(I65:I72)</f>
        <v>935.35083741372</v>
      </c>
      <c r="J73" s="32" t="n">
        <f aca="false">SUM(J65:J72)</f>
        <v>942.226848565745</v>
      </c>
      <c r="K73" s="32" t="n">
        <f aca="false">SUM(K65:K72)</f>
        <v>957.489497588075</v>
      </c>
      <c r="L73" s="32" t="n">
        <f aca="false">SUM(L65:L72)</f>
        <v>974.303644033455</v>
      </c>
      <c r="M73" s="32" t="n">
        <f aca="false">SUM(M65:M72)</f>
        <v>992.00706383639</v>
      </c>
      <c r="N73" s="32" t="n">
        <f aca="false">SUM(N65:N72)</f>
        <v>1010.60254591626</v>
      </c>
      <c r="O73" s="11"/>
      <c r="P73" s="11"/>
    </row>
    <row r="74" customFormat="false" ht="14.25" hidden="false" customHeight="true" outlineLevel="0" collapsed="false">
      <c r="C74" s="11"/>
      <c r="D74" s="11"/>
      <c r="E74" s="11"/>
      <c r="F74" s="11"/>
      <c r="G74" s="11"/>
      <c r="H74" s="11"/>
      <c r="I74" s="11"/>
      <c r="J74" s="11"/>
      <c r="K74" s="11"/>
      <c r="L74" s="11"/>
      <c r="M74" s="11"/>
      <c r="N74" s="11"/>
      <c r="O74" s="11"/>
      <c r="P74" s="11"/>
    </row>
    <row r="75" customFormat="false" ht="14.25" hidden="false" customHeight="true" outlineLevel="0" collapsed="false">
      <c r="C75" s="17" t="s">
        <v>1666</v>
      </c>
      <c r="D75" s="31" t="n">
        <v>-1316.7</v>
      </c>
      <c r="E75" s="42" t="n">
        <f aca="false">-Drivers!$C$121</f>
        <v>-1041</v>
      </c>
      <c r="F75" s="42" t="n">
        <f aca="false">-Drivers!$C$122</f>
        <v>-1400</v>
      </c>
      <c r="G75" s="42" t="n">
        <f aca="false">-Drivers!$C$300</f>
        <v>-1400</v>
      </c>
      <c r="H75" s="42" t="n">
        <f aca="false">-Drivers!$C$301</f>
        <v>-1400</v>
      </c>
      <c r="I75" s="42" t="n">
        <f aca="false">-Drivers!$C$302</f>
        <v>-1400</v>
      </c>
      <c r="J75" s="42" t="n">
        <f aca="false">-Drivers!$C$563</f>
        <v>-1190</v>
      </c>
      <c r="K75" s="42" t="n">
        <f aca="false">-Drivers!$C$564</f>
        <v>-1159.27004706693</v>
      </c>
      <c r="L75" s="42" t="n">
        <f aca="false">-Drivers!$C$565</f>
        <v>-1173.12227624154</v>
      </c>
      <c r="M75" s="42" t="n">
        <f aca="false">-Drivers!$C$566</f>
        <v>-1187.11302770789</v>
      </c>
      <c r="N75" s="42" t="n">
        <f aca="false">-Drivers!$C$567</f>
        <v>-1201.24368668891</v>
      </c>
      <c r="O75" s="11"/>
      <c r="P75" s="11"/>
    </row>
    <row r="76" customFormat="false" ht="14.25" hidden="false" customHeight="true" outlineLevel="0" collapsed="false">
      <c r="C76" s="17" t="s">
        <v>1667</v>
      </c>
      <c r="D76" s="31" t="n">
        <v>0</v>
      </c>
      <c r="E76" s="42" t="n">
        <f aca="false">-Drivers!$C$123</f>
        <v>-4200</v>
      </c>
      <c r="F76" s="31" t="n">
        <v>0</v>
      </c>
      <c r="G76" s="31" t="n">
        <v>0</v>
      </c>
      <c r="H76" s="31" t="n">
        <v>0</v>
      </c>
      <c r="I76" s="31" t="n">
        <v>0</v>
      </c>
      <c r="J76" s="31" t="n">
        <v>0</v>
      </c>
      <c r="K76" s="31" t="n">
        <v>0</v>
      </c>
      <c r="L76" s="31" t="n">
        <v>0</v>
      </c>
      <c r="M76" s="31" t="n">
        <v>0</v>
      </c>
      <c r="N76" s="31" t="n">
        <v>0</v>
      </c>
      <c r="O76" s="11"/>
      <c r="P76" s="11"/>
    </row>
    <row r="77" customFormat="false" ht="14.25" hidden="false" customHeight="true" outlineLevel="0" collapsed="false">
      <c r="C77" s="17" t="s">
        <v>1668</v>
      </c>
      <c r="D77" s="31" t="n">
        <v>311.8</v>
      </c>
      <c r="E77" s="42" t="n">
        <f aca="false">E23+Drivers!$C$86</f>
        <v>360.5</v>
      </c>
      <c r="F77" s="42" t="n">
        <f aca="false">F23+Drivers!$C$87</f>
        <v>360.5</v>
      </c>
      <c r="G77" s="42" t="n">
        <f aca="false">G23+Drivers!$C$288</f>
        <v>360.499264</v>
      </c>
      <c r="H77" s="42" t="n">
        <f aca="false">H23+Drivers!$C$289</f>
        <v>360.499264</v>
      </c>
      <c r="I77" s="42" t="n">
        <f aca="false">I23+Drivers!$C$290</f>
        <v>360.499264</v>
      </c>
      <c r="J77" s="42" t="n">
        <f aca="false">J23+Drivers!$C$553</f>
        <v>367.86673824</v>
      </c>
      <c r="K77" s="42" t="n">
        <f aca="false">K23+Drivers!$C$554</f>
        <v>370.4024615784</v>
      </c>
      <c r="L77" s="42" t="n">
        <f aca="false">L23+Drivers!$C$555</f>
        <v>373.026935233644</v>
      </c>
      <c r="M77" s="42" t="n">
        <f aca="false">M23+Drivers!$C$556</f>
        <v>375.743265466821</v>
      </c>
      <c r="N77" s="42" t="n">
        <f aca="false">N23+Drivers!$C$557</f>
        <v>378.55466725816</v>
      </c>
      <c r="O77" s="11"/>
      <c r="P77" s="11"/>
    </row>
    <row r="78" customFormat="false" ht="14.25" hidden="false" customHeight="true" outlineLevel="0" collapsed="false">
      <c r="C78" s="17" t="s">
        <v>1669</v>
      </c>
      <c r="D78" s="31" t="n">
        <v>-11.9</v>
      </c>
      <c r="E78" s="31" t="n">
        <v>0</v>
      </c>
      <c r="F78" s="31" t="n">
        <v>0</v>
      </c>
      <c r="G78" s="31" t="n">
        <v>0</v>
      </c>
      <c r="H78" s="31" t="n">
        <v>0</v>
      </c>
      <c r="I78" s="31" t="n">
        <v>0</v>
      </c>
      <c r="J78" s="31" t="n">
        <v>0</v>
      </c>
      <c r="K78" s="31" t="n">
        <v>0</v>
      </c>
      <c r="L78" s="31" t="n">
        <v>0</v>
      </c>
      <c r="M78" s="31" t="n">
        <v>0</v>
      </c>
      <c r="N78" s="31" t="n">
        <v>0</v>
      </c>
      <c r="O78" s="11"/>
      <c r="P78" s="11"/>
    </row>
    <row r="79" customFormat="false" ht="14.25" hidden="false" customHeight="true" outlineLevel="0" collapsed="false">
      <c r="C79" s="55" t="s">
        <v>1670</v>
      </c>
      <c r="D79" s="62" t="n">
        <f aca="false">D75+D76+D77+D78</f>
        <v>-1016.8</v>
      </c>
      <c r="E79" s="62" t="n">
        <f aca="false">E75+E76+E77+E78</f>
        <v>-4880.5</v>
      </c>
      <c r="F79" s="62" t="n">
        <f aca="false">F75+F76+F77+F78</f>
        <v>-1039.5</v>
      </c>
      <c r="G79" s="32" t="n">
        <f aca="false">G75+G76+G77+G78</f>
        <v>-1039.500736</v>
      </c>
      <c r="H79" s="32" t="n">
        <f aca="false">H75+H76+H77+H78</f>
        <v>-1039.500736</v>
      </c>
      <c r="I79" s="32" t="n">
        <f aca="false">I75+I76+I77+I78</f>
        <v>-1039.500736</v>
      </c>
      <c r="J79" s="32" t="n">
        <f aca="false">J75+J76+J77+J78</f>
        <v>-822.13326176</v>
      </c>
      <c r="K79" s="32" t="n">
        <f aca="false">K75+K76+K77+K78</f>
        <v>-788.867585488534</v>
      </c>
      <c r="L79" s="32" t="n">
        <f aca="false">L75+L76+L77+L78</f>
        <v>-800.095341007895</v>
      </c>
      <c r="M79" s="32" t="n">
        <f aca="false">M75+M76+M77+M78</f>
        <v>-811.369762241069</v>
      </c>
      <c r="N79" s="32" t="n">
        <f aca="false">N75+N76+N77+N78</f>
        <v>-822.689019430745</v>
      </c>
      <c r="O79" s="11"/>
      <c r="P79" s="11"/>
    </row>
    <row r="80" customFormat="false" ht="14.25" hidden="false" customHeight="true" outlineLevel="0" collapsed="false">
      <c r="C80" s="11"/>
      <c r="D80" s="11"/>
      <c r="E80" s="11"/>
      <c r="F80" s="11"/>
      <c r="G80" s="11"/>
      <c r="H80" s="11"/>
      <c r="I80" s="11"/>
      <c r="J80" s="11"/>
      <c r="K80" s="11"/>
      <c r="L80" s="11"/>
      <c r="M80" s="11"/>
      <c r="N80" s="11"/>
      <c r="O80" s="11"/>
      <c r="P80" s="11"/>
    </row>
    <row r="81" customFormat="false" ht="14.25" hidden="false" customHeight="true" outlineLevel="0" collapsed="false">
      <c r="C81" s="17" t="s">
        <v>1671</v>
      </c>
      <c r="D81" s="31" t="n">
        <v>4178.5</v>
      </c>
      <c r="E81" s="31" t="n">
        <v>0</v>
      </c>
      <c r="F81" s="31" t="n">
        <v>0</v>
      </c>
      <c r="G81" s="31" t="n">
        <v>0</v>
      </c>
      <c r="H81" s="31" t="n">
        <v>0</v>
      </c>
      <c r="I81" s="31" t="n">
        <v>0</v>
      </c>
      <c r="J81" s="31" t="n">
        <v>0</v>
      </c>
      <c r="K81" s="31" t="n">
        <v>0</v>
      </c>
      <c r="L81" s="31" t="n">
        <v>0</v>
      </c>
      <c r="M81" s="31" t="n">
        <v>0</v>
      </c>
      <c r="N81" s="31" t="n">
        <v>0</v>
      </c>
      <c r="O81" s="11"/>
      <c r="P81" s="11"/>
    </row>
    <row r="82" customFormat="false" ht="14.25" hidden="false" customHeight="true" outlineLevel="0" collapsed="false">
      <c r="C82" s="17" t="s">
        <v>1672</v>
      </c>
      <c r="D82" s="31" t="n">
        <v>0</v>
      </c>
      <c r="E82" s="32" t="n">
        <f aca="false">((E36+E37)-(D36+D37))-(E73+E79+E81+E83+E84+E85+E86+E87+E88)</f>
        <v>-16.9440051138254</v>
      </c>
      <c r="F82" s="32" t="n">
        <f aca="false">((F36+F37)-(E36+E37))-(F73+F79+F81+F83+F84+F85+F86+F87+F88)</f>
        <v>501.012575336003</v>
      </c>
      <c r="G82" s="32" t="n">
        <f aca="false">((G36+G37)-(F36+F37))-(G73+G79+G81+G83+G84+G85+G86+G87+G88)</f>
        <v>475.726653266799</v>
      </c>
      <c r="H82" s="32" t="n">
        <f aca="false">((H36+H37)-(G36+G37))-(H73+H79+H81+H83+H84+H85+H86+H87+H88)</f>
        <v>458.736620082511</v>
      </c>
      <c r="I82" s="32" t="n">
        <f aca="false">((I36+I37)-(H36+H37))-(I73+I79+I81+I83+I84+I85+I86+I87+I88)</f>
        <v>465.822361770656</v>
      </c>
      <c r="J82" s="32" t="n">
        <f aca="false">((J36+J37)-(I36+I37))-(J73+J79+J81+J83+J84+J85+J86+J87+J88)</f>
        <v>242.888979601227</v>
      </c>
      <c r="K82" s="32" t="n">
        <f aca="false">((K36+K37)-(J36+J37))-(K73+K79+K81+K83+K84+K85+K86+K87+K88)</f>
        <v>190.57388639545</v>
      </c>
      <c r="L82" s="32" t="n">
        <f aca="false">((L36+L37)-(K36+K37))-(L73+L79+L81+L83+L84+L85+L86+L87+L88)</f>
        <v>184.054979784729</v>
      </c>
      <c r="M82" s="32" t="n">
        <f aca="false">((M36+M37)-(L36+L37))-(M73+M79+M81+M83+M84+M85+M86+M87+M88)</f>
        <v>177.959148518352</v>
      </c>
      <c r="N82" s="32" t="n">
        <f aca="false">((N36+N37)-(M36+M37))-(N73+N79+N81+N83+N84+N85+N86+N87+N88)</f>
        <v>172.309193246367</v>
      </c>
      <c r="O82" s="11"/>
      <c r="P82" s="11"/>
    </row>
    <row r="83" customFormat="false" ht="14.25" hidden="false" customHeight="true" outlineLevel="0" collapsed="false">
      <c r="C83" s="17" t="s">
        <v>1673</v>
      </c>
      <c r="D83" s="31" t="n">
        <v>0</v>
      </c>
      <c r="E83" s="42" t="n">
        <f aca="false">-'GABX Mini P&amp;L'!G31</f>
        <v>-66.2</v>
      </c>
      <c r="F83" s="42" t="n">
        <f aca="false">-'GABX Mini P&amp;L'!H31</f>
        <v>-131.089108910891</v>
      </c>
      <c r="G83" s="42" t="n">
        <f aca="false">-'GABX Mini P&amp;L'!I31</f>
        <v>-131.089108910891</v>
      </c>
      <c r="H83" s="42" t="n">
        <f aca="false">-'GABX Mini P&amp;L'!J31</f>
        <v>-131.089108910891</v>
      </c>
      <c r="I83" s="42" t="n">
        <f aca="false">-'GABX Mini P&amp;L'!K31</f>
        <v>-131.089108910891</v>
      </c>
      <c r="J83" s="42" t="n">
        <f aca="false">-'GABX Mini P&amp;L'!L31</f>
        <v>-131.089108910891</v>
      </c>
      <c r="K83" s="42" t="n">
        <f aca="false">-'GABX Mini P&amp;L'!M31</f>
        <v>-131.089108910891</v>
      </c>
      <c r="L83" s="42" t="n">
        <f aca="false">-'GABX Mini P&amp;L'!N31</f>
        <v>-131.089108910891</v>
      </c>
      <c r="M83" s="42" t="n">
        <f aca="false">-'GABX Mini P&amp;L'!O31</f>
        <v>-131.089108910891</v>
      </c>
      <c r="N83" s="42" t="n">
        <f aca="false">-'GABX Mini P&amp;L'!P31</f>
        <v>-131.089108910891</v>
      </c>
      <c r="O83" s="11"/>
      <c r="P83" s="11"/>
    </row>
    <row r="84" customFormat="false" ht="14.25" hidden="false" customHeight="true" outlineLevel="0" collapsed="false">
      <c r="C84" s="17" t="s">
        <v>1674</v>
      </c>
      <c r="D84" s="31" t="n">
        <v>0</v>
      </c>
      <c r="E84" s="31" t="n">
        <v>0</v>
      </c>
      <c r="F84" s="31" t="n">
        <v>0</v>
      </c>
      <c r="G84" s="31" t="n">
        <v>0</v>
      </c>
      <c r="H84" s="31" t="n">
        <v>0</v>
      </c>
      <c r="I84" s="31" t="n">
        <v>0</v>
      </c>
      <c r="J84" s="31" t="n">
        <v>0</v>
      </c>
      <c r="K84" s="31" t="n">
        <v>0</v>
      </c>
      <c r="L84" s="31" t="n">
        <v>0</v>
      </c>
      <c r="M84" s="31" t="n">
        <v>0</v>
      </c>
      <c r="N84" s="31" t="n">
        <v>0</v>
      </c>
      <c r="O84" s="11"/>
      <c r="P84" s="11"/>
    </row>
    <row r="85" customFormat="false" ht="14.25" hidden="false" customHeight="true" outlineLevel="0" collapsed="false">
      <c r="C85" s="17" t="s">
        <v>1675</v>
      </c>
      <c r="D85" s="31" t="n">
        <v>-65</v>
      </c>
      <c r="E85" s="42" t="n">
        <f aca="false">-Drivers!$C$81</f>
        <v>-100</v>
      </c>
      <c r="F85" s="42" t="n">
        <f aca="false">-Drivers!$C$82</f>
        <v>-100</v>
      </c>
      <c r="G85" s="42" t="n">
        <f aca="false">-Drivers!$C$282</f>
        <v>-100</v>
      </c>
      <c r="H85" s="42" t="n">
        <f aca="false">-Drivers!$C$283</f>
        <v>-100</v>
      </c>
      <c r="I85" s="42" t="n">
        <f aca="false">-Drivers!$C$284</f>
        <v>-100</v>
      </c>
      <c r="J85" s="42" t="n">
        <f aca="false">-Drivers!$C$580*J31</f>
        <v>-104.32551239262</v>
      </c>
      <c r="K85" s="42" t="n">
        <f aca="false">-Drivers!$C$580*K31</f>
        <v>-105.998039778235</v>
      </c>
      <c r="L85" s="42" t="n">
        <f aca="false">-Drivers!$C$580*L31</f>
        <v>-109.15624105382</v>
      </c>
      <c r="M85" s="42" t="n">
        <f aca="false">-Drivers!$C$580*M31</f>
        <v>-112.973246113599</v>
      </c>
      <c r="N85" s="42" t="n">
        <f aca="false">-Drivers!$C$580*N31</f>
        <v>-117.463327059187</v>
      </c>
      <c r="O85" s="11"/>
      <c r="P85" s="11"/>
    </row>
    <row r="86" customFormat="false" ht="14.25" hidden="false" customHeight="true" outlineLevel="0" collapsed="false">
      <c r="C86" s="17" t="s">
        <v>1632</v>
      </c>
      <c r="D86" s="31" t="n">
        <v>-89.8</v>
      </c>
      <c r="E86" s="42" t="n">
        <f aca="false">-Drivers!$C$79*Drivers!$C$77</f>
        <v>-94.512</v>
      </c>
      <c r="F86" s="42" t="n">
        <f aca="false">-Drivers!$C$80*Drivers!$C$78</f>
        <v>-96.5206648734464</v>
      </c>
      <c r="G86" s="42" t="n">
        <f aca="false">-Drivers!$C$279*Drivers!$C$276</f>
        <v>-95.0024666835396</v>
      </c>
      <c r="H86" s="42" t="n">
        <f aca="false">-Drivers!$C$280*Drivers!$C$277</f>
        <v>-93.5356085290402</v>
      </c>
      <c r="I86" s="42" t="n">
        <f aca="false">-Drivers!$C$281*Drivers!$C$278</f>
        <v>-92.1183542734852</v>
      </c>
      <c r="J86" s="42" t="n">
        <f aca="false">-Drivers!$C$579*J31</f>
        <v>-96.102945103462</v>
      </c>
      <c r="K86" s="42" t="n">
        <f aca="false">-Drivers!$C$579*K31</f>
        <v>-97.6436498058642</v>
      </c>
      <c r="L86" s="42" t="n">
        <f aca="false">-Drivers!$C$579*L31</f>
        <v>-100.552932845577</v>
      </c>
      <c r="M86" s="42" t="n">
        <f aca="false">-Drivers!$C$579*M31</f>
        <v>-104.069095089182</v>
      </c>
      <c r="N86" s="42" t="n">
        <f aca="false">-Drivers!$C$579*N31</f>
        <v>-108.205283761805</v>
      </c>
      <c r="O86" s="11"/>
      <c r="P86" s="11"/>
    </row>
    <row r="87" customFormat="false" ht="14.25" hidden="false" customHeight="true" outlineLevel="0" collapsed="false">
      <c r="C87" s="17" t="s">
        <v>1676</v>
      </c>
      <c r="D87" s="31" t="n">
        <v>899</v>
      </c>
      <c r="E87" s="31" t="n">
        <v>0</v>
      </c>
      <c r="F87" s="31" t="n">
        <v>0</v>
      </c>
      <c r="G87" s="31" t="n">
        <v>0</v>
      </c>
      <c r="H87" s="31" t="n">
        <v>0</v>
      </c>
      <c r="I87" s="31" t="n">
        <v>0</v>
      </c>
      <c r="J87" s="31" t="n">
        <v>0</v>
      </c>
      <c r="K87" s="31" t="n">
        <v>0</v>
      </c>
      <c r="L87" s="31" t="n">
        <v>0</v>
      </c>
      <c r="M87" s="31" t="n">
        <v>0</v>
      </c>
      <c r="N87" s="31" t="n">
        <v>0</v>
      </c>
      <c r="O87" s="11"/>
      <c r="P87" s="11"/>
    </row>
    <row r="88" customFormat="false" ht="14.25" hidden="false" customHeight="true" outlineLevel="0" collapsed="false">
      <c r="C88" s="17" t="s">
        <v>1677</v>
      </c>
      <c r="D88" s="31" t="n">
        <v>0</v>
      </c>
      <c r="E88" s="42" t="n">
        <f aca="false">-IF('GABX Mini P&amp;L'!G30&gt;0,MIN(Drivers!$C$84*'GABX Mini P&amp;L'!G30,MAX(0,(D59+'GABX Mini P&amp;L'!G27))),0)</f>
        <v>-66.465</v>
      </c>
      <c r="F88" s="42" t="n">
        <f aca="false">-IF('GABX Mini P&amp;L'!H30&gt;0,MIN(Drivers!$C$85*'GABX Mini P&amp;L'!H30,MAX(0,(E59+'GABX Mini P&amp;L'!H27))),0)</f>
        <v>-59.465</v>
      </c>
      <c r="G88" s="42" t="n">
        <f aca="false">-IF('GABX Mini P&amp;L'!I30&gt;0,MIN(Drivers!$C$285*'GABX Mini P&amp;L'!I30,MAX(0,(F59+'GABX Mini P&amp;L'!I27))),0)</f>
        <v>-52.465</v>
      </c>
      <c r="H88" s="42" t="n">
        <f aca="false">-IF('GABX Mini P&amp;L'!J30&gt;0,MIN(Drivers!$C$286*'GABX Mini P&amp;L'!J30,MAX(0,(G59+'GABX Mini P&amp;L'!J27))),0)</f>
        <v>-45.465</v>
      </c>
      <c r="I88" s="42" t="n">
        <f aca="false">-IF('GABX Mini P&amp;L'!K30&gt;0,MIN(Drivers!$C$287*'GABX Mini P&amp;L'!K30,MAX(0,(H59+'GABX Mini P&amp;L'!K27))),0)</f>
        <v>-38.465</v>
      </c>
      <c r="J88" s="42" t="n">
        <f aca="false">-IF('GABX Mini P&amp;L'!L30&gt;0,MIN(Drivers!$C$518*'GABX Mini P&amp;L'!L30,MAX(0,(I59+'GABX Mini P&amp;L'!L27))),0)</f>
        <v>-31.465</v>
      </c>
      <c r="K88" s="42" t="n">
        <f aca="false">-IF('GABX Mini P&amp;L'!M30&gt;0,MIN(Drivers!$C$519*'GABX Mini P&amp;L'!M30,MAX(0,(J59+'GABX Mini P&amp;L'!M27))),0)</f>
        <v>-24.465</v>
      </c>
      <c r="L88" s="42" t="n">
        <f aca="false">-IF('GABX Mini P&amp;L'!N30&gt;0,MIN(Drivers!$C$520*'GABX Mini P&amp;L'!N30,MAX(0,(K59+'GABX Mini P&amp;L'!N27))),0)</f>
        <v>-17.465</v>
      </c>
      <c r="M88" s="42" t="n">
        <f aca="false">-IF('GABX Mini P&amp;L'!O30&gt;0,MIN(Drivers!$C$521*'GABX Mini P&amp;L'!O30,MAX(0,(L59+'GABX Mini P&amp;L'!O27))),0)</f>
        <v>-10.465</v>
      </c>
      <c r="N88" s="42" t="n">
        <f aca="false">-IF('GABX Mini P&amp;L'!P30&gt;0,MIN(Drivers!$C$522*'GABX Mini P&amp;L'!P30,MAX(0,(M59+'GABX Mini P&amp;L'!P27))),0)</f>
        <v>-3.46499999999996</v>
      </c>
      <c r="O88" s="11"/>
      <c r="P88" s="11"/>
    </row>
    <row r="89" customFormat="false" ht="14.25" hidden="false" customHeight="true" outlineLevel="0" collapsed="false">
      <c r="C89" s="55" t="s">
        <v>1678</v>
      </c>
      <c r="D89" s="62" t="n">
        <f aca="false">D81+D82+D83+D84+D85+D86+D87+D88</f>
        <v>4922.7</v>
      </c>
      <c r="E89" s="62" t="n">
        <f aca="false">E81+E82+E83+E84+E85+E86+E87+E88</f>
        <v>-344.121005113825</v>
      </c>
      <c r="F89" s="62" t="n">
        <f aca="false">F81+F82+F83+F84+F85+F86+F87+F88</f>
        <v>113.937801551666</v>
      </c>
      <c r="G89" s="32" t="n">
        <f aca="false">G81+G82+G83+G84+G85+G86+G87+G88</f>
        <v>97.1700776723684</v>
      </c>
      <c r="H89" s="32" t="n">
        <f aca="false">H81+H82+H83+H84+H85+H86+H87+H88</f>
        <v>88.6469026425798</v>
      </c>
      <c r="I89" s="32" t="n">
        <f aca="false">I81+I82+I83+I84+I85+I86+I87+I88</f>
        <v>104.14989858628</v>
      </c>
      <c r="J89" s="32" t="n">
        <f aca="false">J81+J82+J83+J84+J85+J86+J87+J88</f>
        <v>-120.093586805745</v>
      </c>
      <c r="K89" s="32" t="n">
        <f aca="false">K81+K82+K83+K84+K85+K86+K87+K88</f>
        <v>-168.621912099541</v>
      </c>
      <c r="L89" s="32" t="n">
        <f aca="false">L81+L82+L83+L84+L85+L86+L87+L88</f>
        <v>-174.208303025559</v>
      </c>
      <c r="M89" s="32" t="n">
        <f aca="false">M81+M82+M83+M84+M85+M86+M87+M88</f>
        <v>-180.637301595321</v>
      </c>
      <c r="N89" s="32" t="n">
        <f aca="false">N81+N82+N83+N84+N85+N86+N87+N88</f>
        <v>-187.913526485516</v>
      </c>
      <c r="O89" s="11"/>
      <c r="P89" s="11"/>
    </row>
    <row r="90" customFormat="false" ht="14.25" hidden="false" customHeight="true" outlineLevel="0" collapsed="false">
      <c r="C90" s="11"/>
      <c r="D90" s="11"/>
      <c r="E90" s="11"/>
      <c r="F90" s="11"/>
      <c r="G90" s="11"/>
      <c r="H90" s="11"/>
      <c r="I90" s="11"/>
      <c r="J90" s="11"/>
      <c r="K90" s="11"/>
      <c r="L90" s="11"/>
      <c r="M90" s="11"/>
      <c r="N90" s="11"/>
      <c r="O90" s="11"/>
      <c r="P90" s="11"/>
    </row>
    <row r="91" customFormat="false" ht="14.25" hidden="false" customHeight="true" outlineLevel="0" collapsed="false">
      <c r="C91" s="55" t="s">
        <v>1679</v>
      </c>
      <c r="D91" s="62" t="n">
        <f aca="false">D73+D79+D89</f>
        <v>4550.6</v>
      </c>
      <c r="E91" s="62" t="n">
        <f aca="false">E73+E79+E89</f>
        <v>-4237.7</v>
      </c>
      <c r="F91" s="62" t="n">
        <f aca="false">F73+F79+F89</f>
        <v>0</v>
      </c>
      <c r="G91" s="32" t="n">
        <f aca="false">G73+G79+G89</f>
        <v>0</v>
      </c>
      <c r="H91" s="32" t="n">
        <f aca="false">H73+H79+H89</f>
        <v>0</v>
      </c>
      <c r="I91" s="32" t="n">
        <f aca="false">I73+I79+I89</f>
        <v>0</v>
      </c>
      <c r="J91" s="32" t="n">
        <f aca="false">J73+J79+J89</f>
        <v>0</v>
      </c>
      <c r="K91" s="32" t="n">
        <f aca="false">K73+K79+K89</f>
        <v>0</v>
      </c>
      <c r="L91" s="32" t="n">
        <f aca="false">L73+L79+L89</f>
        <v>0</v>
      </c>
      <c r="M91" s="32" t="n">
        <f aca="false">M73+M79+M89</f>
        <v>0</v>
      </c>
      <c r="N91" s="32" t="n">
        <f aca="false">N73+N79+N89</f>
        <v>0</v>
      </c>
      <c r="O91" s="11"/>
      <c r="P91" s="11"/>
    </row>
    <row r="92" customFormat="false" ht="14.25" hidden="false" customHeight="true" outlineLevel="0" collapsed="false">
      <c r="C92" s="17" t="s">
        <v>1680</v>
      </c>
      <c r="D92" s="31" t="n">
        <v>401.8</v>
      </c>
      <c r="E92" s="32" t="n">
        <f aca="false">D36+D37</f>
        <v>4984.9</v>
      </c>
      <c r="F92" s="32" t="n">
        <f aca="false">E36+E37</f>
        <v>747.2</v>
      </c>
      <c r="G92" s="32" t="n">
        <f aca="false">F36+F37</f>
        <v>747.2</v>
      </c>
      <c r="H92" s="32" t="n">
        <f aca="false">G36+G37</f>
        <v>747.2</v>
      </c>
      <c r="I92" s="32" t="n">
        <f aca="false">H36+H37</f>
        <v>747.2</v>
      </c>
      <c r="J92" s="32" t="n">
        <f aca="false">I36+I37</f>
        <v>747.2</v>
      </c>
      <c r="K92" s="32" t="n">
        <f aca="false">J36+J37</f>
        <v>747.2</v>
      </c>
      <c r="L92" s="32" t="n">
        <f aca="false">K36+K37</f>
        <v>747.2</v>
      </c>
      <c r="M92" s="32" t="n">
        <f aca="false">L36+L37</f>
        <v>747.2</v>
      </c>
      <c r="N92" s="32" t="n">
        <f aca="false">M36+M37</f>
        <v>747.2</v>
      </c>
      <c r="O92" s="11"/>
      <c r="P92" s="11"/>
    </row>
    <row r="93" customFormat="false" ht="14.25" hidden="false" customHeight="true" outlineLevel="0" collapsed="false">
      <c r="C93" s="55" t="s">
        <v>1681</v>
      </c>
      <c r="D93" s="70" t="n">
        <v>4984.9</v>
      </c>
      <c r="E93" s="62" t="n">
        <f aca="false">E92+E91</f>
        <v>747.2</v>
      </c>
      <c r="F93" s="62" t="n">
        <f aca="false">F92+F91</f>
        <v>747.2</v>
      </c>
      <c r="G93" s="32" t="n">
        <f aca="false">G92+G91</f>
        <v>747.2</v>
      </c>
      <c r="H93" s="32" t="n">
        <f aca="false">H92+H91</f>
        <v>747.2</v>
      </c>
      <c r="I93" s="32" t="n">
        <f aca="false">I92+I91</f>
        <v>747.2</v>
      </c>
      <c r="J93" s="32" t="n">
        <f aca="false">J92+J91</f>
        <v>747.2</v>
      </c>
      <c r="K93" s="32" t="n">
        <f aca="false">K92+K91</f>
        <v>747.2</v>
      </c>
      <c r="L93" s="32" t="n">
        <f aca="false">L92+L91</f>
        <v>747.2</v>
      </c>
      <c r="M93" s="32" t="n">
        <f aca="false">M92+M91</f>
        <v>747.2</v>
      </c>
      <c r="N93" s="32" t="n">
        <f aca="false">N92+N91</f>
        <v>747.2</v>
      </c>
      <c r="O93" s="11"/>
      <c r="P93" s="11"/>
    </row>
    <row r="94" customFormat="false" ht="14.25" hidden="false" customHeight="true" outlineLevel="0" collapsed="false">
      <c r="C94" s="17" t="s">
        <v>1682</v>
      </c>
      <c r="D94" s="32" t="n">
        <f aca="false">D36+D37</f>
        <v>4984.9</v>
      </c>
      <c r="E94" s="32" t="n">
        <f aca="false">E36+E37</f>
        <v>747.2</v>
      </c>
      <c r="F94" s="32" t="n">
        <f aca="false">F36+F37</f>
        <v>747.2</v>
      </c>
      <c r="G94" s="32" t="n">
        <f aca="false">G36+G37</f>
        <v>747.2</v>
      </c>
      <c r="H94" s="32" t="n">
        <f aca="false">H36+H37</f>
        <v>747.2</v>
      </c>
      <c r="I94" s="32" t="n">
        <f aca="false">I36+I37</f>
        <v>747.2</v>
      </c>
      <c r="J94" s="32" t="n">
        <f aca="false">J36+J37</f>
        <v>747.2</v>
      </c>
      <c r="K94" s="32" t="n">
        <f aca="false">K36+K37</f>
        <v>747.2</v>
      </c>
      <c r="L94" s="32" t="n">
        <f aca="false">L36+L37</f>
        <v>747.2</v>
      </c>
      <c r="M94" s="32" t="n">
        <f aca="false">M36+M37</f>
        <v>747.2</v>
      </c>
      <c r="N94" s="32" t="n">
        <f aca="false">N36+N37</f>
        <v>747.2</v>
      </c>
      <c r="O94" s="11"/>
      <c r="P94" s="11"/>
    </row>
    <row r="95" customFormat="false" ht="14.25" hidden="false" customHeight="true" outlineLevel="0" collapsed="false">
      <c r="C95" s="11"/>
      <c r="D95" s="11"/>
      <c r="E95" s="11"/>
      <c r="F95" s="11"/>
      <c r="G95" s="11"/>
      <c r="H95" s="11"/>
      <c r="I95" s="11"/>
      <c r="J95" s="11"/>
      <c r="K95" s="11"/>
      <c r="L95" s="11"/>
      <c r="M95" s="11"/>
      <c r="N95" s="11"/>
      <c r="O95" s="11"/>
      <c r="P95" s="11"/>
    </row>
    <row r="96" customFormat="false" ht="14.25" hidden="false" customHeight="true" outlineLevel="0" collapsed="false">
      <c r="C96" s="11" t="s">
        <v>1683</v>
      </c>
      <c r="D96" s="11"/>
      <c r="E96" s="11"/>
      <c r="F96" s="11"/>
      <c r="G96" s="11"/>
      <c r="H96" s="11"/>
      <c r="I96" s="11"/>
      <c r="J96" s="11"/>
      <c r="K96" s="11"/>
      <c r="L96" s="11"/>
      <c r="M96" s="11"/>
      <c r="N96" s="11"/>
      <c r="O96" s="11"/>
      <c r="P96" s="11"/>
    </row>
    <row r="97" customFormat="false" ht="14.25" hidden="false" customHeight="true" outlineLevel="0" collapsed="false">
      <c r="A97" s="22" t="s">
        <v>11</v>
      </c>
      <c r="C97" s="71" t="s">
        <v>1684</v>
      </c>
      <c r="D97" s="72" t="n">
        <f aca="false">(N33/I33)^(1/Drivers!$C$582)-1</f>
        <v>0.0492252864682625</v>
      </c>
      <c r="E97" s="54"/>
      <c r="F97" s="54"/>
      <c r="G97" s="54"/>
      <c r="H97" s="54"/>
      <c r="I97" s="54"/>
      <c r="J97" s="54"/>
      <c r="K97" s="54"/>
      <c r="L97" s="54"/>
      <c r="M97" s="54"/>
      <c r="N97" s="54"/>
      <c r="O97" s="54"/>
      <c r="P97" s="54"/>
    </row>
    <row r="98" customFormat="false" ht="14.25" hidden="false" customHeight="true" outlineLevel="0" collapsed="false">
      <c r="C98" s="11" t="s">
        <v>1685</v>
      </c>
      <c r="D98" s="41" t="n">
        <f aca="false">Drivers!$C$397</f>
        <v>0.035</v>
      </c>
      <c r="E98" s="11"/>
      <c r="F98" s="11"/>
      <c r="G98" s="11"/>
      <c r="H98" s="11"/>
      <c r="I98" s="11"/>
      <c r="J98" s="11"/>
      <c r="K98" s="11"/>
      <c r="L98" s="11"/>
      <c r="M98" s="11"/>
      <c r="N98" s="11"/>
      <c r="O98" s="11"/>
      <c r="P98" s="11"/>
    </row>
    <row r="99" customFormat="false" ht="14.25" hidden="false" customHeight="true" outlineLevel="0" collapsed="false">
      <c r="C99" s="11" t="s">
        <v>1686</v>
      </c>
      <c r="D99" s="34" t="n">
        <f aca="false">I31/((H58+I58)/2)</f>
        <v>0.107573719322139</v>
      </c>
      <c r="E99" s="11"/>
      <c r="F99" s="11"/>
      <c r="G99" s="11"/>
      <c r="H99" s="11"/>
      <c r="I99" s="11"/>
      <c r="J99" s="11"/>
      <c r="K99" s="11"/>
      <c r="L99" s="11"/>
      <c r="M99" s="11"/>
      <c r="N99" s="11"/>
      <c r="O99" s="11"/>
      <c r="P99" s="11"/>
    </row>
    <row r="100" customFormat="false" ht="14.25" hidden="false" customHeight="true" outlineLevel="0" collapsed="false">
      <c r="C100" s="11" t="s">
        <v>1687</v>
      </c>
      <c r="D100" s="34" t="n">
        <f aca="false">(-I86-I85)/I31</f>
        <v>0.51297375186829</v>
      </c>
      <c r="E100" s="11"/>
      <c r="F100" s="11"/>
      <c r="G100" s="11"/>
      <c r="H100" s="11"/>
      <c r="I100" s="11"/>
      <c r="J100" s="11"/>
      <c r="K100" s="11"/>
      <c r="L100" s="11"/>
      <c r="M100" s="11"/>
      <c r="N100" s="11"/>
      <c r="O100" s="11"/>
      <c r="P100" s="11"/>
    </row>
    <row r="101" customFormat="false" ht="14.25" hidden="false" customHeight="true" outlineLevel="0" collapsed="false">
      <c r="C101" s="11" t="s">
        <v>1688</v>
      </c>
      <c r="D101" s="34" t="n">
        <f aca="false">1-D100</f>
        <v>0.48702624813171</v>
      </c>
      <c r="E101" s="11"/>
      <c r="F101" s="11"/>
      <c r="G101" s="11"/>
      <c r="H101" s="11"/>
      <c r="I101" s="11"/>
      <c r="J101" s="11"/>
      <c r="K101" s="11"/>
      <c r="L101" s="11"/>
      <c r="M101" s="11"/>
      <c r="N101" s="11"/>
      <c r="O101" s="11"/>
      <c r="P101" s="11"/>
    </row>
    <row r="102" customFormat="false" ht="14.25" hidden="false" customHeight="true" outlineLevel="0" collapsed="false">
      <c r="C102" s="11" t="s">
        <v>1689</v>
      </c>
      <c r="D102" s="34" t="n">
        <f aca="false">D99*D101</f>
        <v>0.0523912249190349</v>
      </c>
      <c r="E102" s="11"/>
      <c r="F102" s="11"/>
      <c r="G102" s="11"/>
      <c r="H102" s="11"/>
      <c r="I102" s="11"/>
      <c r="J102" s="11"/>
      <c r="K102" s="11"/>
      <c r="L102" s="11"/>
      <c r="M102" s="11"/>
      <c r="N102" s="11"/>
      <c r="O102" s="11"/>
      <c r="P102" s="11"/>
    </row>
    <row r="103" customFormat="false" ht="14.25" hidden="false" customHeight="true" outlineLevel="0" collapsed="false">
      <c r="C103" s="11" t="s">
        <v>1690</v>
      </c>
      <c r="D103" s="32" t="str">
        <f aca="false">IF(AND(D97&gt;=D98, D97&lt;=D102), "TRUE", "FALSE")</f>
        <v>TRUE</v>
      </c>
      <c r="E103" s="11"/>
      <c r="F103" s="11"/>
      <c r="G103" s="11"/>
      <c r="H103" s="11"/>
      <c r="I103" s="11"/>
      <c r="J103" s="11"/>
      <c r="K103" s="11"/>
      <c r="L103" s="11"/>
      <c r="M103" s="11"/>
      <c r="N103" s="11"/>
      <c r="O103" s="11"/>
      <c r="P103" s="11"/>
    </row>
    <row r="104" customFormat="false" ht="14.25" hidden="false" customHeight="true" outlineLevel="0" collapsed="false">
      <c r="C104" s="11" t="s">
        <v>1691</v>
      </c>
      <c r="D104" s="34" t="n">
        <f aca="false">I47/(I47+I58)</f>
        <v>0.801825070057304</v>
      </c>
      <c r="E104" s="11"/>
      <c r="F104" s="11"/>
      <c r="G104" s="11"/>
      <c r="H104" s="11"/>
      <c r="I104" s="11"/>
      <c r="J104" s="11"/>
      <c r="K104" s="11"/>
      <c r="L104" s="11"/>
      <c r="M104" s="11"/>
      <c r="N104" s="11"/>
      <c r="O104" s="11"/>
      <c r="P104" s="11"/>
    </row>
    <row r="105" customFormat="false" ht="14.25" hidden="false" customHeight="true" outlineLevel="0" collapsed="false">
      <c r="C105" s="11" t="s">
        <v>1692</v>
      </c>
      <c r="D105" s="11"/>
      <c r="E105" s="11"/>
      <c r="F105" s="11"/>
      <c r="G105" s="11"/>
      <c r="H105" s="11"/>
      <c r="I105" s="11"/>
      <c r="J105" s="34" t="n">
        <f aca="false">J47/(J47+J58)</f>
        <v>0.79694688307361</v>
      </c>
      <c r="K105" s="34" t="n">
        <f aca="false">K47/(K47+K58)</f>
        <v>0.791575846596297</v>
      </c>
      <c r="L105" s="34" t="n">
        <f aca="false">L47/(L47+L58)</f>
        <v>0.786100474290799</v>
      </c>
      <c r="M105" s="34" t="n">
        <f aca="false">M47/(M47+M58)</f>
        <v>0.780482632406069</v>
      </c>
      <c r="N105" s="34" t="n">
        <f aca="false">N47/(N47+N58)</f>
        <v>0.777467047088574</v>
      </c>
      <c r="O105" s="11"/>
      <c r="P105" s="11"/>
    </row>
    <row r="106" customFormat="false" ht="14.25" hidden="false" customHeight="true" outlineLevel="0" collapsed="false">
      <c r="C106" s="11" t="s">
        <v>1693</v>
      </c>
      <c r="D106" s="11"/>
      <c r="E106" s="11"/>
      <c r="F106" s="11"/>
      <c r="G106" s="11"/>
      <c r="H106" s="11"/>
      <c r="I106" s="11"/>
      <c r="J106" s="34" t="n">
        <f aca="false">J105-$D$104</f>
        <v>-0.0048781869836948</v>
      </c>
      <c r="K106" s="34" t="n">
        <f aca="false">K105-$D$104</f>
        <v>-0.0102492234610078</v>
      </c>
      <c r="L106" s="34" t="n">
        <f aca="false">L105-$D$104</f>
        <v>-0.0157245957665055</v>
      </c>
      <c r="M106" s="34" t="n">
        <f aca="false">M105-$D$104</f>
        <v>-0.0213424376512357</v>
      </c>
      <c r="N106" s="34" t="n">
        <f aca="false">N105-$D$104</f>
        <v>-0.02435802296873</v>
      </c>
      <c r="O106" s="11"/>
      <c r="P106" s="11"/>
    </row>
    <row r="108" customFormat="false" ht="15" hidden="false" customHeight="true" outlineLevel="0" collapsed="false">
      <c r="C108" s="1" t="s">
        <v>1694</v>
      </c>
    </row>
    <row r="109" customFormat="false" ht="15" hidden="false" customHeight="true" outlineLevel="0" collapsed="false">
      <c r="C109" s="1" t="s">
        <v>1695</v>
      </c>
      <c r="J109" s="43" t="n">
        <f aca="false">'Legacy Cohort Model'!J46</f>
        <v>-0.00989572357394009</v>
      </c>
      <c r="K109" s="43" t="n">
        <f aca="false">'Legacy Cohort Model'!K46</f>
        <v>-0.00612284455398371</v>
      </c>
      <c r="L109" s="43" t="n">
        <f aca="false">'Legacy Cohort Model'!L46</f>
        <v>-0.00613001568578409</v>
      </c>
      <c r="M109" s="43" t="n">
        <f aca="false">'Legacy Cohort Model'!M46</f>
        <v>-0.00613000210721859</v>
      </c>
      <c r="N109" s="43" t="n">
        <f aca="false">'Legacy Cohort Model'!N46</f>
        <v>-0.0061300021329298</v>
      </c>
    </row>
    <row r="110" customFormat="false" ht="15" hidden="false" customHeight="true" outlineLevel="0" collapsed="false">
      <c r="C110" s="1" t="s">
        <v>1696</v>
      </c>
      <c r="D110" s="43" t="n">
        <f aca="false">Drivers!$C$704</f>
        <v>0.02</v>
      </c>
    </row>
    <row r="111" customFormat="false" ht="15" hidden="false" customHeight="true" outlineLevel="0" collapsed="false">
      <c r="C111" s="1" t="s">
        <v>1697</v>
      </c>
      <c r="I111" s="1" t="n">
        <f aca="false">SUM('Legacy Cohort Model'!I21:I26)+'Acquired Pool'!I19</f>
        <v>199128</v>
      </c>
      <c r="J111" s="1" t="n">
        <f aca="false">SUM('Legacy Cohort Model'!J21:J26)+'Acquired Pool'!J19</f>
        <v>201119.28</v>
      </c>
      <c r="K111" s="1" t="n">
        <f aca="false">SUM('Legacy Cohort Model'!K21:K26)+'Acquired Pool'!K19</f>
        <v>203130.4728</v>
      </c>
      <c r="L111" s="1" t="n">
        <f aca="false">SUM('Legacy Cohort Model'!L21:L26)+'Acquired Pool'!L19</f>
        <v>205161.777528</v>
      </c>
      <c r="M111" s="1" t="n">
        <f aca="false">SUM('Legacy Cohort Model'!M21:M26)+'Acquired Pool'!M19</f>
        <v>207213.39530328</v>
      </c>
      <c r="N111" s="1" t="n">
        <f aca="false">SUM('Legacy Cohort Model'!N21:N26)+'Acquired Pool'!N19</f>
        <v>209285.529256313</v>
      </c>
    </row>
    <row r="112" customFormat="false" ht="15" hidden="false" customHeight="true" outlineLevel="0" collapsed="false">
      <c r="C112" s="1" t="s">
        <v>1698</v>
      </c>
      <c r="J112" s="1" t="n">
        <f aca="false">IFERROR(J111/I111-1, 0)</f>
        <v>0.01</v>
      </c>
      <c r="K112" s="1" t="n">
        <f aca="false">IFERROR(K111/J111-1, 0)</f>
        <v>0.01</v>
      </c>
      <c r="L112" s="1" t="n">
        <f aca="false">IFERROR(L111/K111-1, 0)</f>
        <v>0.01</v>
      </c>
      <c r="M112" s="1" t="n">
        <f aca="false">IFERROR(M111/L111-1, 0)</f>
        <v>0.01</v>
      </c>
      <c r="N112" s="1" t="n">
        <f aca="false">IFERROR(N111/M111-1, 0)</f>
        <v>0.01</v>
      </c>
    </row>
    <row r="113" customFormat="false" ht="15" hidden="false" customHeight="true" outlineLevel="0" collapsed="false">
      <c r="C113" s="1" t="s">
        <v>1699</v>
      </c>
      <c r="D113" s="43" t="n">
        <f aca="false">Drivers!$C$705</f>
        <v>0.01</v>
      </c>
    </row>
    <row r="114" customFormat="false" ht="15" hidden="false" customHeight="true" outlineLevel="0" collapsed="false">
      <c r="C114" s="1" t="s">
        <v>1700</v>
      </c>
      <c r="I114" s="73" t="n">
        <f aca="false">Drivers!$C$302</f>
        <v>1400</v>
      </c>
      <c r="J114" s="73" t="n">
        <f aca="false">Drivers!$C$563</f>
        <v>1190</v>
      </c>
      <c r="K114" s="73" t="n">
        <f aca="false">Drivers!$C$564</f>
        <v>1159.27004706693</v>
      </c>
      <c r="L114" s="73" t="n">
        <f aca="false">Drivers!$C$565</f>
        <v>1173.12227624154</v>
      </c>
      <c r="M114" s="73" t="n">
        <f aca="false">Drivers!$C$566</f>
        <v>1187.11302770789</v>
      </c>
      <c r="N114" s="73" t="n">
        <f aca="false">Drivers!$C$567</f>
        <v>1201.24368668891</v>
      </c>
    </row>
    <row r="115" customFormat="false" ht="15" hidden="false" customHeight="true" outlineLevel="0" collapsed="false">
      <c r="C115" s="1" t="s">
        <v>1701</v>
      </c>
      <c r="J115" s="1" t="n">
        <f aca="false">IFERROR(J114/I114-1, 0)</f>
        <v>-0.15</v>
      </c>
      <c r="K115" s="1" t="n">
        <f aca="false">IFERROR(K114/J114-1, 0)</f>
        <v>-0.0258234898597192</v>
      </c>
      <c r="L115" s="1" t="n">
        <f aca="false">IFERROR(L114/K114-1, 0)</f>
        <v>0.0119490960795998</v>
      </c>
      <c r="M115" s="1" t="n">
        <f aca="false">IFERROR(M114/L114-1, 0)</f>
        <v>0.011926081150871</v>
      </c>
      <c r="N115" s="1" t="n">
        <f aca="false">IFERROR(N114/M114-1, 0)</f>
        <v>0.0119033812713676</v>
      </c>
    </row>
    <row r="116" customFormat="false" ht="15" hidden="false" customHeight="true" outlineLevel="0" collapsed="false">
      <c r="C116" s="1" t="s">
        <v>1702</v>
      </c>
      <c r="D116" s="1" t="n">
        <f aca="false">MAX(ABS(J115),ABS(K115),ABS(L115),ABS(M115),ABS(N115))</f>
        <v>0.15</v>
      </c>
    </row>
    <row r="117" customFormat="false" ht="15" hidden="false" customHeight="true" outlineLevel="0" collapsed="false">
      <c r="C117" s="1" t="s">
        <v>1703</v>
      </c>
      <c r="I117" s="1" t="n">
        <f aca="false">I47/(I47+I58)</f>
        <v>0.801825070057304</v>
      </c>
      <c r="J117" s="1" t="n">
        <f aca="false">J47/(J47+J58)</f>
        <v>0.79694688307361</v>
      </c>
      <c r="K117" s="1" t="n">
        <f aca="false">K47/(K47+K58)</f>
        <v>0.791575846596297</v>
      </c>
      <c r="L117" s="1" t="n">
        <f aca="false">L47/(L47+L58)</f>
        <v>0.786100474290799</v>
      </c>
      <c r="M117" s="1" t="n">
        <f aca="false">M47/(M47+M58)</f>
        <v>0.780482632406069</v>
      </c>
      <c r="N117" s="1" t="n">
        <f aca="false">N47/(N47+N58)</f>
        <v>0.777467047088574</v>
      </c>
    </row>
    <row r="118" customFormat="false" ht="15" hidden="false" customHeight="true" outlineLevel="0" collapsed="false">
      <c r="C118" s="1" t="s">
        <v>1704</v>
      </c>
      <c r="D118" s="1" t="n">
        <f aca="false">Drivers!$C$709</f>
        <v>0.801825070057304</v>
      </c>
    </row>
    <row r="119" customFormat="false" ht="15" hidden="false" customHeight="true" outlineLevel="0" collapsed="false">
      <c r="C119" s="1" t="s">
        <v>1705</v>
      </c>
      <c r="J119" s="1" t="n">
        <f aca="false">J117-$D$118</f>
        <v>-0.0048781869836948</v>
      </c>
      <c r="K119" s="1" t="n">
        <f aca="false">K117-$D$118</f>
        <v>-0.0102492234610078</v>
      </c>
      <c r="L119" s="1" t="n">
        <f aca="false">L117-$D$118</f>
        <v>-0.0157245957665055</v>
      </c>
      <c r="M119" s="1" t="n">
        <f aca="false">M117-$D$118</f>
        <v>-0.0213424376512357</v>
      </c>
      <c r="N119" s="1" t="n">
        <f aca="false">N117-$D$118</f>
        <v>-0.02435802296873</v>
      </c>
    </row>
    <row r="120" customFormat="false" ht="15" hidden="false" customHeight="true" outlineLevel="0" collapsed="false">
      <c r="C120" s="1" t="s">
        <v>1706</v>
      </c>
      <c r="J120" s="73" t="n">
        <f aca="false">J82</f>
        <v>242.888979601227</v>
      </c>
      <c r="K120" s="73" t="n">
        <f aca="false">K82</f>
        <v>190.57388639545</v>
      </c>
      <c r="L120" s="73" t="n">
        <f aca="false">L82</f>
        <v>184.054979784729</v>
      </c>
      <c r="M120" s="73" t="n">
        <f aca="false">M82</f>
        <v>177.959148518352</v>
      </c>
      <c r="N120" s="73" t="n">
        <f aca="false">N82</f>
        <v>172.309193246367</v>
      </c>
    </row>
    <row r="121" customFormat="false" ht="15" hidden="false" customHeight="true" outlineLevel="0" collapsed="false">
      <c r="C121" s="1" t="s">
        <v>1707</v>
      </c>
      <c r="I121" s="73" t="n">
        <f aca="false">I17</f>
        <v>2673.49375612723</v>
      </c>
      <c r="J121" s="73" t="n">
        <f aca="false">J17</f>
        <v>2715.56937599861</v>
      </c>
      <c r="K121" s="73" t="n">
        <f aca="false">K17</f>
        <v>2762.92488591932</v>
      </c>
      <c r="L121" s="73" t="n">
        <f aca="false">L17</f>
        <v>2811.62859432273</v>
      </c>
      <c r="M121" s="73" t="n">
        <f aca="false">M17</f>
        <v>2861.73236546795</v>
      </c>
      <c r="N121" s="73" t="n">
        <f aca="false">N17</f>
        <v>2913.28200360693</v>
      </c>
    </row>
    <row r="122" customFormat="false" ht="15" hidden="false" customHeight="true" outlineLevel="0" collapsed="false">
      <c r="C122" s="1" t="s">
        <v>1708</v>
      </c>
      <c r="I122" s="73" t="n">
        <f aca="false">I31</f>
        <v>374.518878546467</v>
      </c>
      <c r="J122" s="73" t="n">
        <f aca="false">J31</f>
        <v>390.718739050694</v>
      </c>
      <c r="K122" s="73" t="n">
        <f aca="false">K31</f>
        <v>396.982669858683</v>
      </c>
      <c r="L122" s="73" t="n">
        <f aca="false">L31</f>
        <v>408.810729858244</v>
      </c>
      <c r="M122" s="73" t="n">
        <f aca="false">M31</f>
        <v>423.106134402192</v>
      </c>
      <c r="N122" s="73" t="n">
        <f aca="false">N31</f>
        <v>439.922335205436</v>
      </c>
    </row>
    <row r="123" customFormat="false" ht="15" hidden="false" customHeight="true" outlineLevel="0" collapsed="false">
      <c r="C123" s="1" t="s">
        <v>1709</v>
      </c>
      <c r="I123" s="74" t="n">
        <f aca="false">I33</f>
        <v>11.1398182838866</v>
      </c>
      <c r="J123" s="74" t="n">
        <f aca="false">J33</f>
        <v>11.804738698933</v>
      </c>
      <c r="K123" s="74" t="n">
        <f aca="false">K33</f>
        <v>12.1823716250541</v>
      </c>
      <c r="L123" s="74" t="n">
        <f aca="false">L33</f>
        <v>12.7445069277566</v>
      </c>
      <c r="M123" s="74" t="n">
        <f aca="false">M33</f>
        <v>13.4029310676698</v>
      </c>
      <c r="N123" s="74" t="n">
        <f aca="false">N33</f>
        <v>14.1651719104777</v>
      </c>
    </row>
    <row r="124" customFormat="false" ht="15" hidden="false" customHeight="true" outlineLevel="0" collapsed="false">
      <c r="C124" s="1" t="s">
        <v>1710</v>
      </c>
      <c r="D124" s="1" t="n">
        <f aca="false">(N33/I33)^(1/Drivers!$C$582)-1</f>
        <v>0.0492252864682625</v>
      </c>
    </row>
    <row r="125" customFormat="false" ht="15" hidden="false" customHeight="true" outlineLevel="0" collapsed="false">
      <c r="C125" s="1" t="s">
        <v>1711</v>
      </c>
      <c r="D125" s="75" t="n">
        <f aca="false">Drivers!$C$704+Drivers!$C$705</f>
        <v>0.03</v>
      </c>
    </row>
    <row r="126" customFormat="false" ht="15" hidden="false" customHeight="true" outlineLevel="0" collapsed="false">
      <c r="C126" s="1" t="s">
        <v>1712</v>
      </c>
      <c r="D126" s="1" t="n">
        <f aca="false">(I31/((H58+I58)/2))*(1-(-I86-I85)/I31)</f>
        <v>0.0523912249190349</v>
      </c>
    </row>
    <row r="127" customFormat="false" ht="15" hidden="false" customHeight="true" outlineLevel="0" collapsed="false">
      <c r="C127" s="1" t="s">
        <v>1713</v>
      </c>
      <c r="D127" s="1" t="str">
        <f aca="false">IF(AND(D124&gt;=D125,D124&lt;=D126), "TRUE", "FALSE")</f>
        <v>TRUE</v>
      </c>
    </row>
  </sheetData>
  <mergeCells count="1">
    <mergeCell ref="C13:P1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P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3" topLeftCell="D14" activePane="bottomRight" state="frozen"/>
      <selection pane="topLeft" activeCell="A1" activeCellId="0" sqref="A1"/>
      <selection pane="topRight" activeCell="D1" activeCellId="0" sqref="D1"/>
      <selection pane="bottomLeft" activeCell="A14" activeCellId="0" sqref="A14"/>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1" width="1.7"/>
    <col collapsed="false" customWidth="true" hidden="false" outlineLevel="0" max="3" min="3" style="1" width="46"/>
    <col collapsed="false" customWidth="true" hidden="false" outlineLevel="0" max="15" min="4" style="1" width="12.3"/>
    <col collapsed="false" customWidth="true" hidden="false" outlineLevel="0" max="16" min="16" style="1" width="26"/>
  </cols>
  <sheetData>
    <row r="2" customFormat="false" ht="21.75" hidden="false" customHeight="true" outlineLevel="0" collapsed="false">
      <c r="C2" s="46" t="str">
        <f aca="false">"Financial Statement Model - "&amp;Cover!$D$5</f>
        <v>Financial Statement Model - GATX Corporation</v>
      </c>
      <c r="D2" s="47"/>
      <c r="E2" s="47"/>
      <c r="F2" s="47"/>
      <c r="G2" s="47"/>
      <c r="H2" s="47"/>
      <c r="I2" s="47"/>
      <c r="J2" s="47"/>
      <c r="K2" s="47"/>
      <c r="L2" s="47"/>
      <c r="M2" s="47"/>
      <c r="N2" s="47"/>
      <c r="O2" s="47"/>
      <c r="P2" s="47"/>
    </row>
    <row r="3" customFormat="false" ht="15" hidden="false" customHeight="true" outlineLevel="0" collapsed="false">
      <c r="C3" s="48" t="s">
        <v>1</v>
      </c>
    </row>
    <row r="5" customFormat="false" ht="15" hidden="false" customHeight="true" outlineLevel="0" collapsed="false">
      <c r="C5" s="4" t="s">
        <v>2</v>
      </c>
      <c r="D5" s="49" t="str">
        <f aca="false">Cover!$D$5</f>
        <v>GATX Corporation</v>
      </c>
    </row>
    <row r="6" customFormat="false" ht="15" hidden="false" customHeight="true" outlineLevel="0" collapsed="false">
      <c r="C6" s="4" t="s">
        <v>4</v>
      </c>
      <c r="D6" s="49" t="str">
        <f aca="false">Cover!$D$6</f>
        <v>GATX</v>
      </c>
    </row>
    <row r="7" customFormat="false" ht="15" hidden="false" customHeight="true" outlineLevel="0" collapsed="false">
      <c r="C7" s="4" t="s">
        <v>1551</v>
      </c>
      <c r="D7" s="49" t="n">
        <f aca="false">Cover!$D$7</f>
        <v>1</v>
      </c>
    </row>
    <row r="8" customFormat="false" ht="15" hidden="false" customHeight="true" outlineLevel="0" collapsed="false">
      <c r="C8" s="4" t="s">
        <v>7</v>
      </c>
      <c r="D8" s="6" t="n">
        <f aca="false">Cover!$D$8</f>
        <v>162.78</v>
      </c>
    </row>
    <row r="9" customFormat="false" ht="15" hidden="false" customHeight="true" outlineLevel="0" collapsed="false">
      <c r="C9" s="4" t="s">
        <v>8</v>
      </c>
      <c r="D9" s="50" t="n">
        <f aca="false">Cover!$D$9</f>
        <v>46303</v>
      </c>
    </row>
    <row r="10" customFormat="false" ht="15" hidden="false" customHeight="true" outlineLevel="0" collapsed="false">
      <c r="C10" s="4" t="s">
        <v>9</v>
      </c>
      <c r="D10" s="50" t="n">
        <f aca="false">Cover!$D$10</f>
        <v>46022</v>
      </c>
    </row>
    <row r="11" customFormat="false" ht="15" hidden="false" customHeight="true" outlineLevel="0" collapsed="false">
      <c r="C11" s="4" t="s">
        <v>1552</v>
      </c>
      <c r="D11" s="8" t="n">
        <f aca="false">Cover!$D$11</f>
        <v>35.8</v>
      </c>
    </row>
    <row r="13" customFormat="false" ht="15" hidden="false" customHeight="true" outlineLevel="0" collapsed="false">
      <c r="C13" s="51" t="s">
        <v>1714</v>
      </c>
      <c r="D13" s="51"/>
      <c r="E13" s="51"/>
      <c r="F13" s="51"/>
      <c r="G13" s="51"/>
      <c r="H13" s="51"/>
      <c r="I13" s="51"/>
      <c r="J13" s="51"/>
      <c r="K13" s="51"/>
      <c r="L13" s="51"/>
      <c r="M13" s="51"/>
      <c r="N13" s="51"/>
      <c r="O13" s="51"/>
      <c r="P13" s="51"/>
    </row>
    <row r="14" customFormat="false" ht="14.25" hidden="false" customHeight="true" outlineLevel="0" collapsed="false">
      <c r="C14" s="11"/>
      <c r="D14" s="11"/>
      <c r="E14" s="11"/>
      <c r="F14" s="11"/>
      <c r="G14" s="11"/>
      <c r="H14" s="11"/>
      <c r="I14" s="11"/>
      <c r="J14" s="11"/>
      <c r="K14" s="11"/>
      <c r="L14" s="11"/>
      <c r="M14" s="11"/>
      <c r="N14" s="11"/>
      <c r="O14" s="11"/>
      <c r="P14" s="11"/>
    </row>
    <row r="15" customFormat="false" ht="14.25" hidden="false" customHeight="true" outlineLevel="0" collapsed="false">
      <c r="C15" s="11" t="s">
        <v>1715</v>
      </c>
      <c r="D15" s="11"/>
      <c r="E15" s="11"/>
      <c r="F15" s="11"/>
      <c r="G15" s="11"/>
      <c r="H15" s="11"/>
      <c r="I15" s="11"/>
      <c r="J15" s="11"/>
      <c r="K15" s="11"/>
      <c r="L15" s="11"/>
      <c r="M15" s="11"/>
      <c r="N15" s="11"/>
      <c r="O15" s="11"/>
      <c r="P15" s="11"/>
    </row>
    <row r="16" customFormat="false" ht="14.25" hidden="false" customHeight="true" outlineLevel="0" collapsed="false">
      <c r="C16" s="11" t="s">
        <v>1716</v>
      </c>
      <c r="D16" s="11"/>
      <c r="E16" s="11"/>
      <c r="F16" s="11"/>
      <c r="G16" s="11"/>
      <c r="H16" s="11"/>
      <c r="I16" s="11"/>
      <c r="J16" s="11"/>
      <c r="K16" s="11"/>
      <c r="L16" s="11"/>
      <c r="M16" s="11"/>
      <c r="N16" s="11"/>
      <c r="O16" s="11"/>
      <c r="P16" s="11"/>
    </row>
    <row r="17" customFormat="false" ht="14.25" hidden="false" customHeight="true" outlineLevel="0" collapsed="false">
      <c r="C17" s="11"/>
      <c r="D17" s="11"/>
      <c r="E17" s="11"/>
      <c r="F17" s="11"/>
      <c r="G17" s="11"/>
      <c r="H17" s="11"/>
      <c r="I17" s="11"/>
      <c r="J17" s="11"/>
      <c r="K17" s="11"/>
      <c r="L17" s="11"/>
      <c r="M17" s="11"/>
      <c r="N17" s="11"/>
      <c r="O17" s="11"/>
      <c r="P17" s="11"/>
    </row>
    <row r="18" customFormat="false" ht="14.25" hidden="false" customHeight="true" outlineLevel="0" collapsed="false">
      <c r="A18" s="22" t="s">
        <v>11</v>
      </c>
      <c r="C18" s="52" t="s">
        <v>1717</v>
      </c>
      <c r="D18" s="53" t="s">
        <v>1718</v>
      </c>
      <c r="E18" s="53" t="s">
        <v>1719</v>
      </c>
      <c r="F18" s="53" t="s">
        <v>1720</v>
      </c>
      <c r="G18" s="53" t="s">
        <v>1721</v>
      </c>
      <c r="H18" s="53" t="s">
        <v>1722</v>
      </c>
      <c r="I18" s="53" t="s">
        <v>1723</v>
      </c>
      <c r="J18" s="54"/>
      <c r="K18" s="54"/>
      <c r="L18" s="54"/>
      <c r="M18" s="54"/>
      <c r="N18" s="54"/>
      <c r="O18" s="54"/>
      <c r="P18" s="54"/>
    </row>
    <row r="19" customFormat="false" ht="14.25" hidden="false" customHeight="true" outlineLevel="0" collapsed="false">
      <c r="C19" s="17" t="s">
        <v>1724</v>
      </c>
      <c r="D19" s="76" t="n">
        <f aca="false">Drivers!$C$90</f>
        <v>633.8</v>
      </c>
      <c r="E19" s="76" t="n">
        <f aca="false">Drivers!$C$91</f>
        <v>848.1</v>
      </c>
      <c r="F19" s="76" t="n">
        <f aca="false">Drivers!$C$92</f>
        <v>819.4</v>
      </c>
      <c r="G19" s="76" t="n">
        <f aca="false">Drivers!$C$93</f>
        <v>850</v>
      </c>
      <c r="H19" s="76" t="n">
        <f aca="false">Drivers!$C$94</f>
        <v>2576.4</v>
      </c>
      <c r="I19" s="76" t="n">
        <f aca="false">Drivers!$C$95</f>
        <v>6615.2</v>
      </c>
      <c r="J19" s="11"/>
      <c r="K19" s="11"/>
      <c r="L19" s="11"/>
      <c r="M19" s="11"/>
      <c r="N19" s="11"/>
      <c r="O19" s="11"/>
      <c r="P19" s="11"/>
    </row>
    <row r="20" customFormat="false" ht="14.25" hidden="false" customHeight="true" outlineLevel="0" collapsed="false">
      <c r="C20" s="17" t="s">
        <v>1725</v>
      </c>
      <c r="D20" s="42" t="n">
        <f aca="false">Drivers!$C$96</f>
        <v>294.2</v>
      </c>
      <c r="E20" s="42" t="n">
        <f aca="false">Drivers!$C$97</f>
        <v>542.1</v>
      </c>
      <c r="F20" s="42" t="n">
        <f aca="false">Drivers!$C$98</f>
        <v>511.1</v>
      </c>
      <c r="G20" s="11"/>
      <c r="H20" s="11"/>
      <c r="I20" s="11"/>
      <c r="J20" s="11"/>
      <c r="K20" s="11"/>
      <c r="L20" s="11"/>
      <c r="M20" s="11"/>
      <c r="N20" s="11"/>
      <c r="O20" s="11"/>
      <c r="P20" s="11"/>
    </row>
    <row r="21" customFormat="false" ht="14.25" hidden="false" customHeight="true" outlineLevel="0" collapsed="false">
      <c r="C21" s="11"/>
      <c r="D21" s="11"/>
      <c r="E21" s="11"/>
      <c r="F21" s="11"/>
      <c r="G21" s="11"/>
      <c r="H21" s="11"/>
      <c r="I21" s="11"/>
      <c r="J21" s="11"/>
      <c r="K21" s="11"/>
      <c r="L21" s="11"/>
      <c r="M21" s="11"/>
      <c r="N21" s="11"/>
      <c r="O21" s="11"/>
      <c r="P21" s="11"/>
    </row>
    <row r="22" customFormat="false" ht="14.25" hidden="false" customHeight="true" outlineLevel="0" collapsed="false">
      <c r="C22" s="21" t="s">
        <v>1726</v>
      </c>
      <c r="D22" s="77" t="s">
        <v>1531</v>
      </c>
      <c r="E22" s="77" t="s">
        <v>1532</v>
      </c>
      <c r="F22" s="77" t="s">
        <v>1533</v>
      </c>
      <c r="G22" s="39" t="s">
        <v>1534</v>
      </c>
      <c r="H22" s="39" t="s">
        <v>1535</v>
      </c>
      <c r="I22" s="39" t="s">
        <v>1536</v>
      </c>
      <c r="J22" s="39" t="s">
        <v>1537</v>
      </c>
      <c r="K22" s="39" t="s">
        <v>1538</v>
      </c>
      <c r="L22" s="39" t="s">
        <v>1539</v>
      </c>
      <c r="M22" s="39" t="s">
        <v>1540</v>
      </c>
      <c r="N22" s="39" t="s">
        <v>1541</v>
      </c>
      <c r="O22" s="11"/>
      <c r="P22" s="11"/>
    </row>
    <row r="23" customFormat="false" ht="14.25" hidden="false" customHeight="true" outlineLevel="0" collapsed="false">
      <c r="C23" s="17" t="s">
        <v>1727</v>
      </c>
      <c r="D23" s="42" t="n">
        <f aca="false">Drivers!$C$101</f>
        <v>12533.9</v>
      </c>
      <c r="E23" s="42" t="n">
        <f aca="false">Drivers!$C$101</f>
        <v>12533.9</v>
      </c>
      <c r="F23" s="32" t="n">
        <f aca="false">E27</f>
        <v>12516.9559948862</v>
      </c>
      <c r="G23" s="32" t="n">
        <f aca="false">F27</f>
        <v>13017.9685702222</v>
      </c>
      <c r="H23" s="32" t="n">
        <f aca="false">G27</f>
        <v>13493.695223489</v>
      </c>
      <c r="I23" s="32" t="n">
        <f aca="false">H27</f>
        <v>13952.4318435715</v>
      </c>
      <c r="J23" s="32" t="n">
        <f aca="false">I27</f>
        <v>14418.2542053421</v>
      </c>
      <c r="K23" s="32" t="n">
        <f aca="false">J27</f>
        <v>14661.1431849434</v>
      </c>
      <c r="L23" s="32" t="n">
        <f aca="false">K27</f>
        <v>14851.7170713388</v>
      </c>
      <c r="M23" s="32" t="n">
        <f aca="false">L27</f>
        <v>15035.7720511236</v>
      </c>
      <c r="N23" s="32" t="n">
        <f aca="false">M27</f>
        <v>15213.7311996419</v>
      </c>
      <c r="O23" s="11"/>
      <c r="P23" s="11"/>
    </row>
    <row r="24" customFormat="false" ht="14.25" hidden="false" customHeight="true" outlineLevel="0" collapsed="false">
      <c r="C24" s="17" t="s">
        <v>1728</v>
      </c>
      <c r="D24" s="59" t="n">
        <v>0</v>
      </c>
      <c r="E24" s="76" t="n">
        <f aca="false">-Drivers!$C$90</f>
        <v>-633.8</v>
      </c>
      <c r="F24" s="76" t="n">
        <f aca="false">-Drivers!$C$91</f>
        <v>-848.1</v>
      </c>
      <c r="G24" s="76" t="n">
        <f aca="false">-Drivers!$C$92</f>
        <v>-819.4</v>
      </c>
      <c r="H24" s="76" t="n">
        <f aca="false">-Drivers!$C$93</f>
        <v>-850</v>
      </c>
      <c r="I24" s="76" t="n">
        <f aca="false">-Drivers!$C$94</f>
        <v>-2576.4</v>
      </c>
      <c r="J24" s="59" t="n">
        <v>0</v>
      </c>
      <c r="K24" s="59" t="n">
        <v>0</v>
      </c>
      <c r="L24" s="59" t="n">
        <v>0</v>
      </c>
      <c r="M24" s="59" t="n">
        <v>0</v>
      </c>
      <c r="N24" s="59" t="n">
        <v>0</v>
      </c>
      <c r="O24" s="11"/>
      <c r="P24" s="11"/>
    </row>
    <row r="25" customFormat="false" ht="14.25" hidden="false" customHeight="true" outlineLevel="0" collapsed="false">
      <c r="C25" s="17" t="s">
        <v>1729</v>
      </c>
      <c r="D25" s="31" t="n">
        <v>0</v>
      </c>
      <c r="E25" s="42" t="n">
        <f aca="false">Drivers!$C$90</f>
        <v>633.8</v>
      </c>
      <c r="F25" s="42" t="n">
        <f aca="false">Drivers!$C$91</f>
        <v>848.1</v>
      </c>
      <c r="G25" s="42" t="n">
        <f aca="false">Drivers!$C$92</f>
        <v>819.4</v>
      </c>
      <c r="H25" s="42" t="n">
        <f aca="false">Drivers!$C$93</f>
        <v>850</v>
      </c>
      <c r="I25" s="42" t="n">
        <f aca="false">Drivers!$C$94</f>
        <v>2576.4</v>
      </c>
      <c r="J25" s="31" t="n">
        <v>0</v>
      </c>
      <c r="K25" s="31" t="n">
        <v>0</v>
      </c>
      <c r="L25" s="31" t="n">
        <v>0</v>
      </c>
      <c r="M25" s="31" t="n">
        <v>0</v>
      </c>
      <c r="N25" s="31" t="n">
        <v>0</v>
      </c>
      <c r="O25" s="11"/>
      <c r="P25" s="11"/>
    </row>
    <row r="26" customFormat="false" ht="14.25" hidden="false" customHeight="true" outlineLevel="0" collapsed="false">
      <c r="C26" s="17" t="s">
        <v>1730</v>
      </c>
      <c r="D26" s="31" t="n">
        <v>0</v>
      </c>
      <c r="E26" s="42" t="n">
        <f aca="false">'3 Statement Forecast'!E82</f>
        <v>-16.9440051138254</v>
      </c>
      <c r="F26" s="42" t="n">
        <f aca="false">'3 Statement Forecast'!F82</f>
        <v>501.012575336003</v>
      </c>
      <c r="G26" s="42" t="n">
        <f aca="false">'3 Statement Forecast'!G82</f>
        <v>475.726653266799</v>
      </c>
      <c r="H26" s="42" t="n">
        <f aca="false">'3 Statement Forecast'!H82</f>
        <v>458.736620082511</v>
      </c>
      <c r="I26" s="42" t="n">
        <f aca="false">'3 Statement Forecast'!I82</f>
        <v>465.822361770656</v>
      </c>
      <c r="J26" s="42" t="n">
        <f aca="false">'3 Statement Forecast'!J82</f>
        <v>242.888979601227</v>
      </c>
      <c r="K26" s="42" t="n">
        <f aca="false">'3 Statement Forecast'!K82</f>
        <v>190.57388639545</v>
      </c>
      <c r="L26" s="42" t="n">
        <f aca="false">'3 Statement Forecast'!L82</f>
        <v>184.054979784729</v>
      </c>
      <c r="M26" s="42" t="n">
        <f aca="false">'3 Statement Forecast'!M82</f>
        <v>177.959148518352</v>
      </c>
      <c r="N26" s="42" t="n">
        <f aca="false">'3 Statement Forecast'!N82</f>
        <v>172.309193246367</v>
      </c>
      <c r="O26" s="11"/>
      <c r="P26" s="11"/>
    </row>
    <row r="27" customFormat="false" ht="14.25" hidden="false" customHeight="true" outlineLevel="0" collapsed="false">
      <c r="C27" s="55" t="s">
        <v>1731</v>
      </c>
      <c r="D27" s="62" t="n">
        <f aca="false">D23+D24+D25+D26</f>
        <v>12533.9</v>
      </c>
      <c r="E27" s="62" t="n">
        <f aca="false">E23+E24+E25+E26</f>
        <v>12516.9559948862</v>
      </c>
      <c r="F27" s="62" t="n">
        <f aca="false">F23+F24+F25+F26</f>
        <v>13017.9685702222</v>
      </c>
      <c r="G27" s="32" t="n">
        <f aca="false">G23+G24+G25+G26</f>
        <v>13493.695223489</v>
      </c>
      <c r="H27" s="32" t="n">
        <f aca="false">H23+H24+H25+H26</f>
        <v>13952.4318435715</v>
      </c>
      <c r="I27" s="32" t="n">
        <f aca="false">I23+I24+I25+I26</f>
        <v>14418.2542053421</v>
      </c>
      <c r="J27" s="32" t="n">
        <f aca="false">J23+J24+J25+J26</f>
        <v>14661.1431849434</v>
      </c>
      <c r="K27" s="32" t="n">
        <f aca="false">K23+K24+K25+K26</f>
        <v>14851.7170713388</v>
      </c>
      <c r="L27" s="32" t="n">
        <f aca="false">L23+L24+L25+L26</f>
        <v>15035.7720511236</v>
      </c>
      <c r="M27" s="32" t="n">
        <f aca="false">M23+M24+M25+M26</f>
        <v>15213.7311996419</v>
      </c>
      <c r="N27" s="32" t="n">
        <f aca="false">N23+N24+N25+N26</f>
        <v>15386.0403928883</v>
      </c>
      <c r="O27" s="11"/>
      <c r="P27" s="11"/>
    </row>
    <row r="28" customFormat="false" ht="14.25" hidden="false" customHeight="true" outlineLevel="0" collapsed="false">
      <c r="C28" s="17" t="s">
        <v>1732</v>
      </c>
      <c r="D28" s="32" t="n">
        <f aca="false">D27</f>
        <v>12533.9</v>
      </c>
      <c r="E28" s="32" t="n">
        <f aca="false">(E23+E27)/2</f>
        <v>12525.4279974431</v>
      </c>
      <c r="F28" s="32" t="n">
        <f aca="false">(F23+F27)/2</f>
        <v>12767.4622825542</v>
      </c>
      <c r="G28" s="32" t="n">
        <f aca="false">(G23+G27)/2</f>
        <v>13255.8318968556</v>
      </c>
      <c r="H28" s="32" t="n">
        <f aca="false">(H23+H27)/2</f>
        <v>13723.0635335302</v>
      </c>
      <c r="I28" s="32" t="n">
        <f aca="false">(I23+I27)/2</f>
        <v>14185.3430244568</v>
      </c>
      <c r="J28" s="32" t="n">
        <f aca="false">(J23+J27)/2</f>
        <v>14539.6986951428</v>
      </c>
      <c r="K28" s="32" t="n">
        <f aca="false">(K23+K27)/2</f>
        <v>14756.4301281411</v>
      </c>
      <c r="L28" s="32" t="n">
        <f aca="false">(L23+L27)/2</f>
        <v>14943.7445612312</v>
      </c>
      <c r="M28" s="32" t="n">
        <f aca="false">(M23+M27)/2</f>
        <v>15124.7516253827</v>
      </c>
      <c r="N28" s="32" t="n">
        <f aca="false">(N23+N27)/2</f>
        <v>15299.8857962651</v>
      </c>
      <c r="O28" s="11"/>
      <c r="P28" s="11"/>
    </row>
    <row r="29" customFormat="false" ht="14.25" hidden="false" customHeight="true" outlineLevel="0" collapsed="false">
      <c r="C29" s="17" t="s">
        <v>1733</v>
      </c>
      <c r="D29" s="41" t="n">
        <f aca="false">Drivers!$C$168</f>
        <v>9616.5</v>
      </c>
      <c r="E29" s="41" t="n">
        <f aca="false">Drivers!$C$168</f>
        <v>9616.5</v>
      </c>
      <c r="F29" s="41" t="n">
        <f aca="false">Drivers!$C$168+Drivers!$C$88</f>
        <v>10016.5</v>
      </c>
      <c r="G29" s="41" t="n">
        <f aca="false">F29+Drivers!$C$291</f>
        <v>10416.5</v>
      </c>
      <c r="H29" s="41" t="n">
        <f aca="false">G29+Drivers!$C$292</f>
        <v>10816.5</v>
      </c>
      <c r="I29" s="41" t="n">
        <f aca="false">H29+Drivers!$C$293</f>
        <v>11216.5</v>
      </c>
      <c r="J29" s="41" t="n">
        <f aca="false">J27-J30</f>
        <v>11800.9431849434</v>
      </c>
      <c r="K29" s="41" t="n">
        <f aca="false">K27-K30</f>
        <v>11991.5170713388</v>
      </c>
      <c r="L29" s="41" t="n">
        <f aca="false">L27-L30</f>
        <v>12175.5720511235</v>
      </c>
      <c r="M29" s="41" t="n">
        <f aca="false">M27-M30</f>
        <v>12353.5311996419</v>
      </c>
      <c r="N29" s="41" t="n">
        <f aca="false">N27-N30</f>
        <v>12525.8403928883</v>
      </c>
      <c r="O29" s="11"/>
      <c r="P29" s="11"/>
    </row>
    <row r="30" customFormat="false" ht="14.25" hidden="false" customHeight="true" outlineLevel="0" collapsed="false">
      <c r="C30" s="17" t="s">
        <v>1734</v>
      </c>
      <c r="D30" s="42" t="n">
        <f aca="false">Drivers!$C$106</f>
        <v>2942.9</v>
      </c>
      <c r="E30" s="42" t="n">
        <f aca="false">Drivers!$C$107</f>
        <v>2860.2</v>
      </c>
      <c r="F30" s="42" t="n">
        <f aca="false">Drivers!$C$107</f>
        <v>2860.2</v>
      </c>
      <c r="G30" s="42" t="n">
        <f aca="false">Drivers!$C$107</f>
        <v>2860.2</v>
      </c>
      <c r="H30" s="42" t="n">
        <f aca="false">Drivers!$C$107</f>
        <v>2860.2</v>
      </c>
      <c r="I30" s="42" t="n">
        <f aca="false">Drivers!$C$107</f>
        <v>2860.2</v>
      </c>
      <c r="J30" s="32" t="n">
        <f aca="false">I30</f>
        <v>2860.2</v>
      </c>
      <c r="K30" s="32" t="n">
        <f aca="false">J30</f>
        <v>2860.2</v>
      </c>
      <c r="L30" s="32" t="n">
        <f aca="false">K30</f>
        <v>2860.2</v>
      </c>
      <c r="M30" s="32" t="n">
        <f aca="false">L30</f>
        <v>2860.2</v>
      </c>
      <c r="N30" s="32" t="n">
        <f aca="false">M30</f>
        <v>2860.2</v>
      </c>
      <c r="O30" s="11"/>
      <c r="P30" s="11"/>
    </row>
    <row r="31" customFormat="false" ht="14.25" hidden="false" customHeight="true" outlineLevel="0" collapsed="false">
      <c r="C31" s="55" t="s">
        <v>1735</v>
      </c>
      <c r="D31" s="70" t="n">
        <v>-391.5</v>
      </c>
      <c r="E31" s="78" t="n">
        <f aca="false">-(Drivers!$C$168*Drivers!$C$170+E30*Drivers!$C$108)</f>
        <v>-588.82599</v>
      </c>
      <c r="F31" s="78" t="n">
        <f aca="false">-((Drivers!$C$168-Drivers!$C$91)*Drivers!$C$170+Drivers!$C$91*Drivers!$C$102+Drivers!$C$88*Drivers!$C$102+F30*Drivers!$C$108)</f>
        <v>-615.70826</v>
      </c>
      <c r="G31" s="42" t="n">
        <f aca="false">-((Drivers!$C$168-Drivers!$C$91-Drivers!$C$92)*Drivers!$C$170+(Drivers!$C$91+Drivers!$C$92)*Drivers!$C$102+(Drivers!$C$88+Drivers!$C$291)*Drivers!$C$102+G30*Drivers!$C$108)</f>
        <v>-642.39824</v>
      </c>
      <c r="H31" s="42" t="n">
        <f aca="false">-((Drivers!$C$168-Drivers!$C$91-Drivers!$C$92-Drivers!$C$93)*Drivers!$C$170+(Drivers!$C$91+Drivers!$C$92+Drivers!$C$93)*Drivers!$C$102+(Drivers!$C$88+Drivers!$C$291+Drivers!$C$292)*Drivers!$C$102+H30*Drivers!$C$108)</f>
        <v>-669.29324</v>
      </c>
      <c r="I31" s="42" t="n">
        <f aca="false">-((Drivers!$C$168-Drivers!$C$91-Drivers!$C$92-Drivers!$C$93-Drivers!$C$94)*Drivers!$C$170+(Drivers!$C$91+Drivers!$C$92+Drivers!$C$93+Drivers!$C$94)*Drivers!$C$102+(Drivers!$C$88+Drivers!$C$291+Drivers!$C$292+Drivers!$C$293)*Drivers!$C$102+I30*Drivers!$C$102)</f>
        <v>-715.76368</v>
      </c>
      <c r="J31" s="32" t="n">
        <f aca="false">$I$31/$I$28*J23</f>
        <v>-727.515906481672</v>
      </c>
      <c r="K31" s="32" t="n">
        <f aca="false">$I$31/$I$28*K23</f>
        <v>-739.771592478908</v>
      </c>
      <c r="L31" s="32" t="n">
        <f aca="false">$I$31/$I$28*L23</f>
        <v>-749.387564824669</v>
      </c>
      <c r="M31" s="32" t="n">
        <f aca="false">$I$31/$I$28*M23</f>
        <v>-758.674606345337</v>
      </c>
      <c r="N31" s="32" t="n">
        <f aca="false">$I$31/$I$28*N23</f>
        <v>-767.654064565949</v>
      </c>
      <c r="O31" s="11"/>
      <c r="P31" s="25" t="s">
        <v>1736</v>
      </c>
    </row>
    <row r="32" customFormat="false" ht="14.25" hidden="false" customHeight="true" outlineLevel="0" collapsed="false">
      <c r="C32" s="17" t="s">
        <v>1737</v>
      </c>
      <c r="D32" s="11"/>
      <c r="E32" s="41" t="n">
        <f aca="false">-E29*(Drivers!$C$105-Drivers!$C$104)</f>
        <v>-131.74605</v>
      </c>
      <c r="F32" s="41" t="n">
        <f aca="false">-(Drivers!$C$105-Drivers!$C$102)*(Drivers!$C$91+Drivers!$C$88)</f>
        <v>-8.7367</v>
      </c>
      <c r="G32" s="41" t="n">
        <f aca="false">-(Drivers!$C$105-Drivers!$C$102)*(Drivers!$C$91+Drivers!$C$92+Drivers!$C$88+Drivers!$C$291)</f>
        <v>-17.2725</v>
      </c>
      <c r="H32" s="41" t="n">
        <f aca="false">-(Drivers!$C$105-Drivers!$C$102)*(Drivers!$C$91+Drivers!$C$92+Drivers!$C$93+Drivers!$C$88+Drivers!$C$291+Drivers!$C$292)</f>
        <v>-26.0225</v>
      </c>
      <c r="I32" s="41" t="n">
        <f aca="false">-(Drivers!$C$105-Drivers!$C$102)*(Drivers!$C$91+Drivers!$C$92+Drivers!$C$93+Drivers!$C$94+Drivers!$C$88+Drivers!$C$291+Drivers!$C$292+Drivers!$C$293)</f>
        <v>-46.8573</v>
      </c>
      <c r="J32" s="11"/>
      <c r="K32" s="11"/>
      <c r="L32" s="11"/>
      <c r="M32" s="11"/>
      <c r="N32" s="11"/>
      <c r="O32" s="11"/>
      <c r="P32" s="25" t="s">
        <v>1738</v>
      </c>
    </row>
    <row r="33" customFormat="false" ht="14.25" hidden="false" customHeight="true" outlineLevel="0" collapsed="false">
      <c r="C33" s="11"/>
      <c r="D33" s="11"/>
      <c r="E33" s="11"/>
      <c r="F33" s="11"/>
      <c r="G33" s="11"/>
      <c r="H33" s="11"/>
      <c r="I33" s="11"/>
      <c r="J33" s="11"/>
      <c r="K33" s="11"/>
      <c r="L33" s="11"/>
      <c r="M33" s="11"/>
      <c r="N33" s="11"/>
      <c r="O33" s="11"/>
      <c r="P33" s="11"/>
    </row>
    <row r="34" customFormat="false" ht="14.25" hidden="false" customHeight="true" outlineLevel="0" collapsed="false">
      <c r="A34" s="22" t="s">
        <v>11</v>
      </c>
      <c r="C34" s="71" t="s">
        <v>1739</v>
      </c>
      <c r="D34" s="54" t="s">
        <v>1740</v>
      </c>
      <c r="E34" s="54"/>
      <c r="F34" s="54"/>
      <c r="G34" s="54"/>
      <c r="H34" s="54"/>
      <c r="I34" s="54"/>
      <c r="J34" s="54"/>
      <c r="K34" s="54"/>
      <c r="L34" s="54"/>
      <c r="M34" s="54"/>
      <c r="N34" s="54"/>
      <c r="O34" s="54"/>
      <c r="P34" s="54"/>
    </row>
    <row r="35" customFormat="false" ht="14.25" hidden="false" customHeight="true" outlineLevel="0" collapsed="false">
      <c r="C35" s="11" t="s">
        <v>1741</v>
      </c>
      <c r="D35" s="42" t="n">
        <f aca="false">Drivers!$C$168</f>
        <v>9616.5</v>
      </c>
      <c r="E35" s="11"/>
      <c r="F35" s="11"/>
      <c r="G35" s="11"/>
      <c r="H35" s="11"/>
      <c r="I35" s="11"/>
      <c r="J35" s="11"/>
      <c r="K35" s="11"/>
      <c r="L35" s="11"/>
      <c r="M35" s="11"/>
      <c r="N35" s="11"/>
      <c r="O35" s="11"/>
      <c r="P35" s="11"/>
    </row>
    <row r="36" customFormat="false" ht="14.25" hidden="false" customHeight="true" outlineLevel="0" collapsed="false">
      <c r="C36" s="11" t="s">
        <v>1742</v>
      </c>
      <c r="D36" s="42" t="n">
        <f aca="false">Drivers!$C$169</f>
        <v>2672.8</v>
      </c>
      <c r="E36" s="11"/>
      <c r="F36" s="11"/>
      <c r="G36" s="11"/>
      <c r="H36" s="11"/>
      <c r="I36" s="11"/>
      <c r="J36" s="11"/>
      <c r="K36" s="11"/>
      <c r="L36" s="11"/>
      <c r="M36" s="11"/>
      <c r="N36" s="11"/>
      <c r="O36" s="11"/>
      <c r="P36" s="11"/>
    </row>
    <row r="37" customFormat="false" ht="14.25" hidden="false" customHeight="true" outlineLevel="0" collapsed="false">
      <c r="C37" s="11" t="s">
        <v>1743</v>
      </c>
      <c r="D37" s="42" t="n">
        <f aca="false">-Drivers!$C$173</f>
        <v>-1754.4</v>
      </c>
      <c r="E37" s="11"/>
      <c r="F37" s="11"/>
      <c r="G37" s="11"/>
      <c r="H37" s="11"/>
      <c r="I37" s="11"/>
      <c r="J37" s="11"/>
      <c r="K37" s="11"/>
      <c r="L37" s="11"/>
      <c r="M37" s="11"/>
      <c r="N37" s="11"/>
      <c r="O37" s="11"/>
      <c r="P37" s="11"/>
    </row>
    <row r="38" customFormat="false" ht="14.25" hidden="false" customHeight="true" outlineLevel="0" collapsed="false">
      <c r="C38" s="11" t="s">
        <v>1744</v>
      </c>
      <c r="D38" s="32" t="n">
        <f aca="false">D36+D37</f>
        <v>918.4</v>
      </c>
      <c r="E38" s="11"/>
      <c r="F38" s="11"/>
      <c r="G38" s="11"/>
      <c r="H38" s="11"/>
      <c r="I38" s="11"/>
      <c r="J38" s="11"/>
      <c r="K38" s="11"/>
      <c r="L38" s="11"/>
      <c r="M38" s="11"/>
      <c r="N38" s="11"/>
      <c r="O38" s="11"/>
      <c r="P38" s="11" t="s">
        <v>1745</v>
      </c>
    </row>
    <row r="39" customFormat="false" ht="14.25" hidden="false" customHeight="true" outlineLevel="0" collapsed="false">
      <c r="C39" s="11" t="s">
        <v>1746</v>
      </c>
      <c r="D39" s="42" t="n">
        <f aca="false">Drivers!$C$174</f>
        <v>50</v>
      </c>
      <c r="E39" s="11"/>
      <c r="F39" s="11"/>
      <c r="G39" s="11"/>
      <c r="H39" s="11"/>
      <c r="I39" s="11"/>
      <c r="J39" s="11"/>
      <c r="K39" s="11"/>
      <c r="L39" s="11"/>
      <c r="M39" s="11"/>
      <c r="N39" s="11"/>
      <c r="O39" s="11"/>
      <c r="P39" s="11"/>
    </row>
    <row r="40" customFormat="false" ht="14.25" hidden="false" customHeight="true" outlineLevel="0" collapsed="false">
      <c r="C40" s="11" t="s">
        <v>1747</v>
      </c>
      <c r="D40" s="41" t="n">
        <f aca="false">Drivers!$C$170</f>
        <v>0.0463</v>
      </c>
      <c r="E40" s="11"/>
      <c r="F40" s="11"/>
      <c r="G40" s="11"/>
      <c r="H40" s="11"/>
      <c r="I40" s="11"/>
      <c r="J40" s="11"/>
      <c r="K40" s="11"/>
      <c r="L40" s="11"/>
      <c r="M40" s="11"/>
      <c r="N40" s="11"/>
      <c r="O40" s="11"/>
      <c r="P40" s="11"/>
    </row>
    <row r="41" customFormat="false" ht="14.25" hidden="false" customHeight="true" outlineLevel="0" collapsed="false">
      <c r="C41" s="11" t="s">
        <v>1748</v>
      </c>
      <c r="D41" s="41" t="n">
        <f aca="false">Drivers!$C$171</f>
        <v>0.0525</v>
      </c>
      <c r="E41" s="11"/>
      <c r="F41" s="11"/>
      <c r="G41" s="11"/>
      <c r="H41" s="11"/>
      <c r="I41" s="11"/>
      <c r="J41" s="11"/>
      <c r="K41" s="11"/>
      <c r="L41" s="11"/>
      <c r="M41" s="11"/>
      <c r="N41" s="11"/>
      <c r="O41" s="11"/>
      <c r="P41" s="11"/>
    </row>
    <row r="42" customFormat="false" ht="14.25" hidden="false" customHeight="true" outlineLevel="0" collapsed="false">
      <c r="C42" s="11" t="s">
        <v>1749</v>
      </c>
      <c r="D42" s="32" t="n">
        <f aca="false">D38*0.01</f>
        <v>9.184</v>
      </c>
      <c r="E42" s="11"/>
      <c r="F42" s="11"/>
      <c r="G42" s="11"/>
      <c r="H42" s="11"/>
      <c r="I42" s="11"/>
      <c r="J42" s="11"/>
      <c r="K42" s="11"/>
      <c r="L42" s="11"/>
      <c r="M42" s="11"/>
      <c r="N42" s="11"/>
      <c r="O42" s="11"/>
      <c r="P42" s="11" t="s">
        <v>1750</v>
      </c>
    </row>
    <row r="43" customFormat="false" ht="14.25" hidden="false" customHeight="true" outlineLevel="0" collapsed="false">
      <c r="C43" s="11"/>
      <c r="D43" s="11"/>
      <c r="E43" s="11"/>
      <c r="F43" s="11"/>
      <c r="G43" s="11"/>
      <c r="H43" s="11"/>
      <c r="I43" s="11"/>
      <c r="J43" s="11"/>
      <c r="K43" s="11"/>
      <c r="L43" s="11"/>
      <c r="M43" s="11"/>
      <c r="N43" s="11"/>
      <c r="O43" s="11"/>
      <c r="P43" s="11"/>
    </row>
    <row r="44" customFormat="false" ht="14.25" hidden="false" customHeight="true" outlineLevel="0" collapsed="false">
      <c r="A44" s="22" t="s">
        <v>11</v>
      </c>
      <c r="C44" s="71" t="s">
        <v>1751</v>
      </c>
      <c r="D44" s="54"/>
      <c r="E44" s="54"/>
      <c r="F44" s="54"/>
      <c r="G44" s="54"/>
      <c r="H44" s="54"/>
      <c r="I44" s="54"/>
      <c r="J44" s="54"/>
      <c r="K44" s="54"/>
      <c r="L44" s="54"/>
      <c r="M44" s="54"/>
      <c r="N44" s="54"/>
      <c r="O44" s="54"/>
      <c r="P44" s="54"/>
    </row>
    <row r="45" customFormat="false" ht="14.25" hidden="false" customHeight="true" outlineLevel="0" collapsed="false">
      <c r="C45" s="11" t="s">
        <v>1752</v>
      </c>
      <c r="D45" s="11"/>
      <c r="E45" s="11"/>
      <c r="F45" s="11"/>
      <c r="G45" s="11"/>
      <c r="H45" s="11"/>
      <c r="I45" s="42" t="n">
        <f aca="false">-((Drivers!$C$168-Drivers!$C$91-Drivers!$C$92-Drivers!$C$93)*Drivers!$C$170+(Drivers!$C$91+Drivers!$C$92+Drivers!$C$93)*Drivers!$C$102+(Drivers!$C$88+Drivers!$C$291+Drivers!$C$292+Drivers!$C$293)*Drivers!$C$102+I30*Drivers!$C$108)</f>
        <v>-690.49324</v>
      </c>
      <c r="J45" s="11"/>
      <c r="K45" s="11"/>
      <c r="L45" s="11"/>
      <c r="M45" s="11"/>
      <c r="N45" s="11"/>
      <c r="O45" s="11"/>
      <c r="P45" s="11"/>
    </row>
    <row r="46" customFormat="false" ht="14.25" hidden="false" customHeight="true" outlineLevel="0" collapsed="false">
      <c r="C46" s="11" t="s">
        <v>1753</v>
      </c>
      <c r="D46" s="11"/>
      <c r="E46" s="11"/>
      <c r="F46" s="11"/>
      <c r="G46" s="11"/>
      <c r="H46" s="11"/>
      <c r="I46" s="42" t="n">
        <f aca="false">-Drivers!$C$94*(Drivers!$C$102-Drivers!$C$170)</f>
        <v>-17.26188</v>
      </c>
      <c r="J46" s="11"/>
      <c r="K46" s="11"/>
      <c r="L46" s="11"/>
      <c r="M46" s="11"/>
      <c r="N46" s="11"/>
      <c r="O46" s="11"/>
      <c r="P46" s="11"/>
    </row>
    <row r="47" customFormat="false" ht="14.25" hidden="false" customHeight="true" outlineLevel="0" collapsed="false">
      <c r="C47" s="11" t="s">
        <v>1754</v>
      </c>
      <c r="D47" s="11"/>
      <c r="E47" s="11"/>
      <c r="F47" s="11"/>
      <c r="G47" s="11"/>
      <c r="H47" s="11"/>
      <c r="I47" s="42" t="n">
        <f aca="false">-I30*(Drivers!$C$102-Drivers!$C$108)</f>
        <v>-8.00855999999999</v>
      </c>
      <c r="J47" s="11"/>
      <c r="K47" s="11"/>
      <c r="L47" s="11"/>
      <c r="M47" s="11"/>
      <c r="N47" s="11"/>
      <c r="O47" s="11"/>
      <c r="P47" s="11"/>
    </row>
    <row r="48" customFormat="false" ht="14.25" hidden="false" customHeight="true" outlineLevel="0" collapsed="false">
      <c r="C48" s="11" t="s">
        <v>1755</v>
      </c>
      <c r="D48" s="11"/>
      <c r="E48" s="11"/>
      <c r="F48" s="11"/>
      <c r="G48" s="11"/>
      <c r="H48" s="11"/>
      <c r="I48" s="65" t="n">
        <f aca="false">I45+I46+I47</f>
        <v>-715.76368</v>
      </c>
      <c r="J48" s="11"/>
      <c r="K48" s="11"/>
      <c r="L48" s="11"/>
      <c r="M48" s="11"/>
      <c r="N48" s="11"/>
      <c r="O48" s="11"/>
      <c r="P48" s="11"/>
    </row>
    <row r="49" customFormat="false" ht="14.25" hidden="false" customHeight="true" outlineLevel="0" collapsed="false">
      <c r="C49" s="11" t="s">
        <v>1756</v>
      </c>
      <c r="D49" s="11"/>
      <c r="E49" s="11"/>
      <c r="F49" s="11"/>
      <c r="G49" s="11"/>
      <c r="H49" s="11"/>
      <c r="I49" s="32" t="n">
        <f aca="false">I48-I31</f>
        <v>0</v>
      </c>
      <c r="J49" s="11"/>
      <c r="K49" s="11"/>
      <c r="L49" s="11"/>
      <c r="M49" s="11"/>
      <c r="N49" s="11"/>
      <c r="O49" s="11"/>
      <c r="P49" s="11"/>
    </row>
    <row r="50" customFormat="false" ht="15" hidden="false" customHeight="true" outlineLevel="0" collapsed="false">
      <c r="C50" s="1" t="s">
        <v>1757</v>
      </c>
    </row>
    <row r="52" customFormat="false" ht="15" hidden="false" customHeight="true" outlineLevel="0" collapsed="false">
      <c r="C52" s="1" t="s">
        <v>1758</v>
      </c>
      <c r="J52" s="1" t="n">
        <f aca="false">Drivers!$C$709/(1-Drivers!$C$709)*'3 Statement Forecast'!I58*(1+('3 Statement Forecast'!I58/'3 Statement Forecast'!H58-1))</f>
        <v>15114.100890057</v>
      </c>
      <c r="K52" s="1" t="n">
        <f aca="false">Drivers!$C$709/(1-Drivers!$C$709)*'3 Statement Forecast'!J58*(1+('3 Statement Forecast'!J58/'3 Statement Forecast'!I58-1))</f>
        <v>15843.2908617135</v>
      </c>
      <c r="L52" s="1" t="n">
        <f aca="false">Drivers!$C$709/(1-Drivers!$C$709)*'3 Statement Forecast'!K58*(1+('3 Statement Forecast'!K58/'3 Statement Forecast'!J58-1))</f>
        <v>16563.3110146224</v>
      </c>
      <c r="M52" s="1" t="n">
        <f aca="false">Drivers!$C$709/(1-Drivers!$C$709)*'3 Statement Forecast'!L58*(1+('3 Statement Forecast'!L58/'3 Statement Forecast'!K58-1))</f>
        <v>17318.6378527266</v>
      </c>
      <c r="N52" s="1" t="n">
        <f aca="false">Drivers!$C$709/(1-Drivers!$C$709)*'3 Statement Forecast'!M58*(1+('3 Statement Forecast'!M58/'3 Statement Forecast'!L58-1))</f>
        <v>18107.4036968718</v>
      </c>
    </row>
    <row r="54" customFormat="false" ht="15" hidden="false" customHeight="true" outlineLevel="0" collapsed="false">
      <c r="C54" s="1" t="s">
        <v>1759</v>
      </c>
      <c r="D54" s="1" t="n">
        <f aca="false">'3 Statement Forecast'!D47/('3 Statement Forecast'!D47+'3 Statement Forecast'!D58)</f>
        <v>0.820045274920834</v>
      </c>
      <c r="E54" s="1" t="n">
        <f aca="false">'3 Statement Forecast'!E47/('3 Statement Forecast'!E47+'3 Statement Forecast'!E58)</f>
        <v>0.810374110320414</v>
      </c>
      <c r="F54" s="1" t="n">
        <f aca="false">'3 Statement Forecast'!F47/('3 Statement Forecast'!F47+'3 Statement Forecast'!F58)</f>
        <v>0.80904582672432</v>
      </c>
      <c r="G54" s="1" t="n">
        <f aca="false">'3 Statement Forecast'!G47/('3 Statement Forecast'!G47+'3 Statement Forecast'!G58)</f>
        <v>0.806874708704955</v>
      </c>
      <c r="H54" s="1" t="n">
        <f aca="false">'3 Statement Forecast'!H47/('3 Statement Forecast'!H47+'3 Statement Forecast'!H58)</f>
        <v>0.804086275251752</v>
      </c>
      <c r="I54" s="1" t="n">
        <f aca="false">'3 Statement Forecast'!I47/('3 Statement Forecast'!I47+'3 Statement Forecast'!I58)</f>
        <v>0.801825070057304</v>
      </c>
      <c r="J54" s="1" t="n">
        <f aca="false">'3 Statement Forecast'!J47/('3 Statement Forecast'!J47+'3 Statement Forecast'!J58)</f>
        <v>0.79694688307361</v>
      </c>
      <c r="K54" s="1" t="n">
        <f aca="false">'3 Statement Forecast'!K47/('3 Statement Forecast'!K47+'3 Statement Forecast'!K58)</f>
        <v>0.791575846596297</v>
      </c>
      <c r="L54" s="1" t="n">
        <f aca="false">'3 Statement Forecast'!L47/('3 Statement Forecast'!L47+'3 Statement Forecast'!L58)</f>
        <v>0.786100474290799</v>
      </c>
      <c r="M54" s="1" t="n">
        <f aca="false">'3 Statement Forecast'!M47/('3 Statement Forecast'!M47+'3 Statement Forecast'!M58)</f>
        <v>0.780482632406069</v>
      </c>
      <c r="N54" s="1" t="n">
        <f aca="false">'3 Statement Forecast'!N47/('3 Statement Forecast'!N47+'3 Statement Forecast'!N58)</f>
        <v>0.777467047088574</v>
      </c>
    </row>
    <row r="55" customFormat="false" ht="15" hidden="false" customHeight="true" outlineLevel="0" collapsed="false">
      <c r="C55" s="1" t="s">
        <v>1760</v>
      </c>
      <c r="D55" s="1" t="n">
        <f aca="false">('3 Statement Forecast'!D47-'3 Statement Forecast'!D36)/('3 Statement Forecast'!D26-'3 Statement Forecast'!D24-'3 Statement Forecast'!D19)</f>
        <v>10.6956640058055</v>
      </c>
      <c r="E55" s="1" t="n">
        <f aca="false">('3 Statement Forecast'!E47-'3 Statement Forecast'!E36)/('3 Statement Forecast'!E26-'3 Statement Forecast'!E24-'3 Statement Forecast'!E19)</f>
        <v>7.38776236122572</v>
      </c>
      <c r="F55" s="1" t="n">
        <f aca="false">('3 Statement Forecast'!F47-'3 Statement Forecast'!F36)/('3 Statement Forecast'!F26-'3 Statement Forecast'!F24-'3 Statement Forecast'!F19)</f>
        <v>7.46716810957795</v>
      </c>
      <c r="G55" s="1" t="n">
        <f aca="false">('3 Statement Forecast'!G47-'3 Statement Forecast'!G36)/('3 Statement Forecast'!G26-'3 Statement Forecast'!G24-'3 Statement Forecast'!G19)</f>
        <v>7.53507749975258</v>
      </c>
      <c r="H55" s="1" t="n">
        <f aca="false">('3 Statement Forecast'!H47-'3 Statement Forecast'!H36)/('3 Statement Forecast'!H26-'3 Statement Forecast'!H24-'3 Statement Forecast'!H19)</f>
        <v>7.62308135350445</v>
      </c>
      <c r="I55" s="1" t="n">
        <f aca="false">('3 Statement Forecast'!I47-'3 Statement Forecast'!I36)/('3 Statement Forecast'!I26-'3 Statement Forecast'!I24-'3 Statement Forecast'!I19)</f>
        <v>7.75876804622464</v>
      </c>
      <c r="J55" s="1" t="n">
        <f aca="false">('3 Statement Forecast'!J47-'3 Statement Forecast'!J36)/('3 Statement Forecast'!J26-'3 Statement Forecast'!J24-'3 Statement Forecast'!J19)</f>
        <v>7.7553564929422</v>
      </c>
      <c r="K55" s="1" t="n">
        <f aca="false">('3 Statement Forecast'!K47-'3 Statement Forecast'!K36)/('3 Statement Forecast'!K26-'3 Statement Forecast'!K24-'3 Statement Forecast'!K19)</f>
        <v>7.73073700898048</v>
      </c>
      <c r="L55" s="1" t="n">
        <f aca="false">('3 Statement Forecast'!L47-'3 Statement Forecast'!L36)/('3 Statement Forecast'!L26-'3 Statement Forecast'!L24-'3 Statement Forecast'!L19)</f>
        <v>7.69975173957428</v>
      </c>
      <c r="M55" s="1" t="n">
        <f aca="false">('3 Statement Forecast'!M47-'3 Statement Forecast'!M36)/('3 Statement Forecast'!M26-'3 Statement Forecast'!M24-'3 Statement Forecast'!M19)</f>
        <v>7.6628479283095</v>
      </c>
      <c r="N55" s="1" t="n">
        <f aca="false">('3 Statement Forecast'!N47-'3 Statement Forecast'!N36)/('3 Statement Forecast'!N26-'3 Statement Forecast'!N24-'3 Statement Forecast'!N19)</f>
        <v>7.62048812533836</v>
      </c>
    </row>
  </sheetData>
  <mergeCells count="1">
    <mergeCell ref="C13:P1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P6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3" topLeftCell="D14" activePane="bottomRight" state="frozen"/>
      <selection pane="topLeft" activeCell="A1" activeCellId="0" sqref="A1"/>
      <selection pane="topRight" activeCell="D1" activeCellId="0" sqref="D1"/>
      <selection pane="bottomLeft" activeCell="A14" activeCellId="0" sqref="A14"/>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1" width="1.7"/>
    <col collapsed="false" customWidth="true" hidden="false" outlineLevel="0" max="3" min="3" style="1" width="46"/>
    <col collapsed="false" customWidth="true" hidden="false" outlineLevel="0" max="15" min="4" style="1" width="12.3"/>
    <col collapsed="false" customWidth="true" hidden="false" outlineLevel="0" max="16" min="16" style="1" width="26"/>
  </cols>
  <sheetData>
    <row r="2" customFormat="false" ht="21.75" hidden="false" customHeight="true" outlineLevel="0" collapsed="false">
      <c r="C2" s="46" t="str">
        <f aca="false">"Financial Statement Model - "&amp;Cover!$D$5</f>
        <v>Financial Statement Model - GATX Corporation</v>
      </c>
      <c r="D2" s="47"/>
      <c r="E2" s="47"/>
      <c r="F2" s="47"/>
      <c r="G2" s="47"/>
      <c r="H2" s="47"/>
      <c r="I2" s="47"/>
      <c r="J2" s="47"/>
      <c r="K2" s="47"/>
      <c r="L2" s="47"/>
      <c r="M2" s="47"/>
      <c r="N2" s="47"/>
      <c r="O2" s="47"/>
      <c r="P2" s="47"/>
    </row>
    <row r="3" customFormat="false" ht="15" hidden="false" customHeight="true" outlineLevel="0" collapsed="false">
      <c r="C3" s="48" t="s">
        <v>1</v>
      </c>
    </row>
    <row r="5" customFormat="false" ht="15" hidden="false" customHeight="true" outlineLevel="0" collapsed="false">
      <c r="C5" s="4" t="s">
        <v>2</v>
      </c>
      <c r="D5" s="49" t="str">
        <f aca="false">Cover!$D$5</f>
        <v>GATX Corporation</v>
      </c>
    </row>
    <row r="6" customFormat="false" ht="15" hidden="false" customHeight="true" outlineLevel="0" collapsed="false">
      <c r="C6" s="4" t="s">
        <v>4</v>
      </c>
      <c r="D6" s="49" t="str">
        <f aca="false">Cover!$D$6</f>
        <v>GATX</v>
      </c>
    </row>
    <row r="7" customFormat="false" ht="15" hidden="false" customHeight="true" outlineLevel="0" collapsed="false">
      <c r="C7" s="4" t="s">
        <v>1551</v>
      </c>
      <c r="D7" s="49" t="n">
        <f aca="false">Cover!$D$7</f>
        <v>1</v>
      </c>
    </row>
    <row r="8" customFormat="false" ht="15" hidden="false" customHeight="true" outlineLevel="0" collapsed="false">
      <c r="C8" s="4" t="s">
        <v>7</v>
      </c>
      <c r="D8" s="6" t="n">
        <f aca="false">Cover!$D$8</f>
        <v>162.78</v>
      </c>
    </row>
    <row r="9" customFormat="false" ht="15" hidden="false" customHeight="true" outlineLevel="0" collapsed="false">
      <c r="C9" s="4" t="s">
        <v>8</v>
      </c>
      <c r="D9" s="50" t="n">
        <f aca="false">Cover!$D$9</f>
        <v>46303</v>
      </c>
    </row>
    <row r="10" customFormat="false" ht="15" hidden="false" customHeight="true" outlineLevel="0" collapsed="false">
      <c r="C10" s="4" t="s">
        <v>9</v>
      </c>
      <c r="D10" s="50" t="n">
        <f aca="false">Cover!$D$10</f>
        <v>46022</v>
      </c>
    </row>
    <row r="11" customFormat="false" ht="15" hidden="false" customHeight="true" outlineLevel="0" collapsed="false">
      <c r="C11" s="4" t="s">
        <v>1552</v>
      </c>
      <c r="D11" s="8" t="n">
        <f aca="false">Cover!$D$11</f>
        <v>35.8</v>
      </c>
    </row>
    <row r="13" customFormat="false" ht="15" hidden="false" customHeight="true" outlineLevel="0" collapsed="false">
      <c r="C13" s="51" t="s">
        <v>1761</v>
      </c>
      <c r="D13" s="51"/>
      <c r="E13" s="51"/>
      <c r="F13" s="51"/>
      <c r="G13" s="51"/>
      <c r="H13" s="51"/>
      <c r="I13" s="51"/>
      <c r="J13" s="51"/>
      <c r="K13" s="51"/>
      <c r="L13" s="51"/>
      <c r="M13" s="51"/>
      <c r="N13" s="51"/>
      <c r="O13" s="51"/>
      <c r="P13" s="51"/>
    </row>
    <row r="14" customFormat="false" ht="14.25" hidden="false" customHeight="true" outlineLevel="0" collapsed="false">
      <c r="C14" s="11"/>
      <c r="D14" s="11"/>
      <c r="E14" s="11"/>
      <c r="F14" s="11"/>
      <c r="G14" s="11"/>
      <c r="H14" s="11"/>
      <c r="I14" s="11"/>
      <c r="J14" s="11"/>
      <c r="K14" s="11"/>
      <c r="L14" s="11"/>
      <c r="M14" s="11"/>
      <c r="N14" s="11"/>
      <c r="O14" s="11"/>
      <c r="P14" s="11"/>
    </row>
    <row r="15" customFormat="false" ht="14.25" hidden="false" customHeight="true" outlineLevel="0" collapsed="false">
      <c r="C15" s="11" t="s">
        <v>1762</v>
      </c>
      <c r="D15" s="11"/>
      <c r="E15" s="11"/>
      <c r="F15" s="11"/>
      <c r="G15" s="11"/>
      <c r="H15" s="11"/>
      <c r="I15" s="11"/>
      <c r="J15" s="11"/>
      <c r="K15" s="11"/>
      <c r="L15" s="11"/>
      <c r="M15" s="11"/>
      <c r="N15" s="11"/>
      <c r="O15" s="11"/>
      <c r="P15" s="11"/>
    </row>
    <row r="16" customFormat="false" ht="14.25" hidden="false" customHeight="true" outlineLevel="0" collapsed="false">
      <c r="C16" s="11" t="s">
        <v>1763</v>
      </c>
      <c r="D16" s="11"/>
      <c r="E16" s="11"/>
      <c r="F16" s="11"/>
      <c r="G16" s="11"/>
      <c r="H16" s="11"/>
      <c r="I16" s="11"/>
      <c r="J16" s="11"/>
      <c r="K16" s="11"/>
      <c r="L16" s="11"/>
      <c r="M16" s="11"/>
      <c r="N16" s="11"/>
      <c r="O16" s="11"/>
      <c r="P16" s="11"/>
    </row>
    <row r="17" customFormat="false" ht="14.25" hidden="false" customHeight="true" outlineLevel="0" collapsed="false">
      <c r="C17" s="11" t="s">
        <v>1764</v>
      </c>
      <c r="D17" s="11"/>
      <c r="E17" s="11"/>
      <c r="F17" s="11"/>
      <c r="G17" s="11"/>
      <c r="H17" s="11"/>
      <c r="I17" s="11"/>
      <c r="J17" s="11"/>
      <c r="K17" s="11"/>
      <c r="L17" s="11"/>
      <c r="M17" s="11"/>
      <c r="N17" s="11"/>
      <c r="O17" s="11"/>
      <c r="P17" s="11"/>
    </row>
    <row r="18" customFormat="false" ht="14.25" hidden="false" customHeight="true" outlineLevel="0" collapsed="false">
      <c r="C18" s="11" t="s">
        <v>1765</v>
      </c>
      <c r="D18" s="11"/>
      <c r="E18" s="11"/>
      <c r="F18" s="11"/>
      <c r="G18" s="11"/>
      <c r="H18" s="11"/>
      <c r="I18" s="11"/>
      <c r="J18" s="11"/>
      <c r="K18" s="11"/>
      <c r="L18" s="11"/>
      <c r="M18" s="11"/>
      <c r="N18" s="11"/>
      <c r="O18" s="11"/>
      <c r="P18" s="11"/>
    </row>
    <row r="19" customFormat="false" ht="14.25" hidden="false" customHeight="true" outlineLevel="0" collapsed="false">
      <c r="C19" s="11"/>
      <c r="D19" s="11"/>
      <c r="E19" s="11"/>
      <c r="F19" s="11"/>
      <c r="G19" s="11"/>
      <c r="H19" s="11"/>
      <c r="I19" s="11"/>
      <c r="J19" s="11"/>
      <c r="K19" s="11"/>
      <c r="L19" s="11"/>
      <c r="M19" s="11"/>
      <c r="N19" s="11"/>
      <c r="O19" s="11"/>
      <c r="P19" s="11"/>
    </row>
    <row r="20" customFormat="false" ht="14.25" hidden="false" customHeight="true" outlineLevel="0" collapsed="false">
      <c r="A20" s="1" t="s">
        <v>11</v>
      </c>
      <c r="C20" s="21" t="s">
        <v>1766</v>
      </c>
      <c r="D20" s="58" t="s">
        <v>1531</v>
      </c>
      <c r="E20" s="58" t="s">
        <v>1532</v>
      </c>
      <c r="F20" s="58" t="s">
        <v>1533</v>
      </c>
      <c r="G20" s="58" t="s">
        <v>1534</v>
      </c>
      <c r="H20" s="58" t="s">
        <v>1535</v>
      </c>
      <c r="I20" s="58" t="s">
        <v>1536</v>
      </c>
      <c r="J20" s="11" t="s">
        <v>1537</v>
      </c>
      <c r="K20" s="11" t="s">
        <v>1538</v>
      </c>
      <c r="L20" s="11" t="s">
        <v>1539</v>
      </c>
      <c r="M20" s="11" t="s">
        <v>1540</v>
      </c>
      <c r="N20" s="11" t="s">
        <v>1541</v>
      </c>
      <c r="O20" s="11"/>
      <c r="P20" s="11"/>
    </row>
    <row r="21" customFormat="false" ht="14.25" hidden="false" customHeight="true" outlineLevel="0" collapsed="false">
      <c r="C21" s="17" t="s">
        <v>1767</v>
      </c>
      <c r="D21" s="42" t="n">
        <f aca="false">Drivers!$C$11</f>
        <v>20000</v>
      </c>
      <c r="E21" s="42" t="n">
        <f aca="false">Drivers!$C$11</f>
        <v>20000</v>
      </c>
      <c r="F21" s="42" t="n">
        <f aca="false">Drivers!$C$11</f>
        <v>20000</v>
      </c>
      <c r="G21" s="42" t="n">
        <f aca="false">Drivers!$C$11</f>
        <v>20000</v>
      </c>
      <c r="H21" s="42" t="n">
        <f aca="false">Drivers!$C$11</f>
        <v>20000</v>
      </c>
      <c r="I21" s="42" t="n">
        <f aca="false">Drivers!$C$11</f>
        <v>20000</v>
      </c>
      <c r="J21" s="42" t="n">
        <f aca="false">I21*(1+Drivers!$C$705)</f>
        <v>20200</v>
      </c>
      <c r="K21" s="42" t="n">
        <f aca="false">J21*(1+Drivers!$C$705)</f>
        <v>20402</v>
      </c>
      <c r="L21" s="42" t="n">
        <f aca="false">K21*(1+Drivers!$C$705)</f>
        <v>20606.02</v>
      </c>
      <c r="M21" s="42" t="n">
        <f aca="false">L21*(1+Drivers!$C$705)</f>
        <v>20812.0802</v>
      </c>
      <c r="N21" s="42" t="n">
        <f aca="false">M21*(1+Drivers!$C$705)</f>
        <v>21020.201002</v>
      </c>
      <c r="O21" s="11"/>
      <c r="P21" s="11"/>
    </row>
    <row r="22" customFormat="false" ht="14.25" hidden="false" customHeight="true" outlineLevel="0" collapsed="false">
      <c r="C22" s="17" t="s">
        <v>1768</v>
      </c>
      <c r="D22" s="42" t="n">
        <f aca="false">Drivers!$C$12</f>
        <v>18500</v>
      </c>
      <c r="E22" s="42" t="n">
        <f aca="false">Drivers!$C$12</f>
        <v>18500</v>
      </c>
      <c r="F22" s="42" t="n">
        <f aca="false">Drivers!$C$12</f>
        <v>18500</v>
      </c>
      <c r="G22" s="42" t="n">
        <f aca="false">Drivers!$C$12</f>
        <v>18500</v>
      </c>
      <c r="H22" s="42" t="n">
        <f aca="false">Drivers!$C$12</f>
        <v>18500</v>
      </c>
      <c r="I22" s="42" t="n">
        <f aca="false">Drivers!$C$12</f>
        <v>18500</v>
      </c>
      <c r="J22" s="42" t="n">
        <f aca="false">I22*(1+Drivers!$C$705)</f>
        <v>18685</v>
      </c>
      <c r="K22" s="42" t="n">
        <f aca="false">J22*(1+Drivers!$C$705)</f>
        <v>18871.85</v>
      </c>
      <c r="L22" s="42" t="n">
        <f aca="false">K22*(1+Drivers!$C$705)</f>
        <v>19060.5685</v>
      </c>
      <c r="M22" s="42" t="n">
        <f aca="false">L22*(1+Drivers!$C$705)</f>
        <v>19251.174185</v>
      </c>
      <c r="N22" s="42" t="n">
        <f aca="false">M22*(1+Drivers!$C$705)</f>
        <v>19443.68592685</v>
      </c>
      <c r="O22" s="11"/>
      <c r="P22" s="11"/>
    </row>
    <row r="23" customFormat="false" ht="14.25" hidden="false" customHeight="true" outlineLevel="0" collapsed="false">
      <c r="C23" s="17" t="s">
        <v>1769</v>
      </c>
      <c r="D23" s="42" t="n">
        <f aca="false">Drivers!$C$13</f>
        <v>18700</v>
      </c>
      <c r="E23" s="42" t="n">
        <f aca="false">Drivers!$C$13</f>
        <v>18700</v>
      </c>
      <c r="F23" s="42" t="n">
        <f aca="false">Drivers!$C$13</f>
        <v>18700</v>
      </c>
      <c r="G23" s="42" t="n">
        <f aca="false">Drivers!$C$13</f>
        <v>18700</v>
      </c>
      <c r="H23" s="42" t="n">
        <f aca="false">Drivers!$C$13</f>
        <v>18700</v>
      </c>
      <c r="I23" s="42" t="n">
        <f aca="false">Drivers!$C$13</f>
        <v>18700</v>
      </c>
      <c r="J23" s="42" t="n">
        <f aca="false">I23*(1+Drivers!$C$705)</f>
        <v>18887</v>
      </c>
      <c r="K23" s="42" t="n">
        <f aca="false">J23*(1+Drivers!$C$705)</f>
        <v>19075.87</v>
      </c>
      <c r="L23" s="42" t="n">
        <f aca="false">K23*(1+Drivers!$C$705)</f>
        <v>19266.6287</v>
      </c>
      <c r="M23" s="42" t="n">
        <f aca="false">L23*(1+Drivers!$C$705)</f>
        <v>19459.294987</v>
      </c>
      <c r="N23" s="42" t="n">
        <f aca="false">M23*(1+Drivers!$C$705)</f>
        <v>19653.88793687</v>
      </c>
      <c r="O23" s="11"/>
      <c r="P23" s="11"/>
    </row>
    <row r="24" customFormat="false" ht="14.25" hidden="false" customHeight="true" outlineLevel="0" collapsed="false">
      <c r="C24" s="17" t="s">
        <v>1770</v>
      </c>
      <c r="D24" s="42" t="n">
        <f aca="false">Drivers!$C$14</f>
        <v>19400</v>
      </c>
      <c r="E24" s="42" t="n">
        <f aca="false">Drivers!$C$14</f>
        <v>19400</v>
      </c>
      <c r="F24" s="42" t="n">
        <f aca="false">Drivers!$C$14</f>
        <v>19400</v>
      </c>
      <c r="G24" s="42" t="n">
        <f aca="false">Drivers!$C$14</f>
        <v>19400</v>
      </c>
      <c r="H24" s="42" t="n">
        <f aca="false">Drivers!$C$14</f>
        <v>19400</v>
      </c>
      <c r="I24" s="42" t="n">
        <f aca="false">Drivers!$C$14</f>
        <v>19400</v>
      </c>
      <c r="J24" s="42" t="n">
        <f aca="false">I24*(1+Drivers!$C$705)</f>
        <v>19594</v>
      </c>
      <c r="K24" s="42" t="n">
        <f aca="false">J24*(1+Drivers!$C$705)</f>
        <v>19789.94</v>
      </c>
      <c r="L24" s="42" t="n">
        <f aca="false">K24*(1+Drivers!$C$705)</f>
        <v>19987.8394</v>
      </c>
      <c r="M24" s="42" t="n">
        <f aca="false">L24*(1+Drivers!$C$705)</f>
        <v>20187.717794</v>
      </c>
      <c r="N24" s="42" t="n">
        <f aca="false">M24*(1+Drivers!$C$705)</f>
        <v>20389.59497194</v>
      </c>
      <c r="O24" s="11"/>
      <c r="P24" s="11"/>
    </row>
    <row r="25" customFormat="false" ht="14.25" hidden="false" customHeight="true" outlineLevel="0" collapsed="false">
      <c r="C25" s="17" t="s">
        <v>1771</v>
      </c>
      <c r="D25" s="42" t="n">
        <f aca="false">Drivers!$C$15</f>
        <v>21500</v>
      </c>
      <c r="E25" s="42" t="n">
        <f aca="false">Drivers!$C$15</f>
        <v>21500</v>
      </c>
      <c r="F25" s="42" t="n">
        <f aca="false">Drivers!$C$15</f>
        <v>21500</v>
      </c>
      <c r="G25" s="42" t="n">
        <f aca="false">Drivers!$C$15</f>
        <v>21500</v>
      </c>
      <c r="H25" s="42" t="n">
        <f aca="false">Drivers!$C$15</f>
        <v>21500</v>
      </c>
      <c r="I25" s="42" t="n">
        <f aca="false">Drivers!$C$15</f>
        <v>21500</v>
      </c>
      <c r="J25" s="42" t="n">
        <f aca="false">I25*(1+Drivers!$C$705)</f>
        <v>21715</v>
      </c>
      <c r="K25" s="42" t="n">
        <f aca="false">J25*(1+Drivers!$C$705)</f>
        <v>21932.15</v>
      </c>
      <c r="L25" s="42" t="n">
        <f aca="false">K25*(1+Drivers!$C$705)</f>
        <v>22151.4715</v>
      </c>
      <c r="M25" s="42" t="n">
        <f aca="false">L25*(1+Drivers!$C$705)</f>
        <v>22372.986215</v>
      </c>
      <c r="N25" s="42" t="n">
        <f aca="false">M25*(1+Drivers!$C$705)</f>
        <v>22596.71607715</v>
      </c>
      <c r="O25" s="11"/>
      <c r="P25" s="11"/>
    </row>
    <row r="26" customFormat="false" ht="14.25" hidden="false" customHeight="true" outlineLevel="0" collapsed="false">
      <c r="C26" s="17" t="s">
        <v>1772</v>
      </c>
      <c r="D26" s="42" t="n">
        <f aca="false">Drivers!$C$16</f>
        <v>2493</v>
      </c>
      <c r="E26" s="42" t="n">
        <f aca="false">Drivers!$C$16</f>
        <v>2493</v>
      </c>
      <c r="F26" s="42" t="n">
        <f aca="false">Drivers!$C$16</f>
        <v>2493</v>
      </c>
      <c r="G26" s="42" t="n">
        <f aca="false">Drivers!$C$16</f>
        <v>2493</v>
      </c>
      <c r="H26" s="42" t="n">
        <f aca="false">Drivers!$C$16</f>
        <v>2493</v>
      </c>
      <c r="I26" s="42" t="n">
        <f aca="false">Drivers!$C$16</f>
        <v>2493</v>
      </c>
      <c r="J26" s="42" t="n">
        <f aca="false">I26*(1+Drivers!$C$705)</f>
        <v>2517.93</v>
      </c>
      <c r="K26" s="42" t="n">
        <f aca="false">J26*(1+Drivers!$C$705)</f>
        <v>2543.1093</v>
      </c>
      <c r="L26" s="42" t="n">
        <f aca="false">K26*(1+Drivers!$C$705)</f>
        <v>2568.540393</v>
      </c>
      <c r="M26" s="42" t="n">
        <f aca="false">L26*(1+Drivers!$C$705)</f>
        <v>2594.22579693</v>
      </c>
      <c r="N26" s="42" t="n">
        <f aca="false">M26*(1+Drivers!$C$705)</f>
        <v>2620.1680548993</v>
      </c>
      <c r="O26" s="11"/>
      <c r="P26" s="11"/>
    </row>
    <row r="27" customFormat="false" ht="14.25" hidden="false" customHeight="true" outlineLevel="0" collapsed="false">
      <c r="C27" s="11"/>
      <c r="D27" s="11"/>
      <c r="E27" s="11"/>
      <c r="F27" s="11"/>
      <c r="G27" s="11"/>
      <c r="H27" s="11"/>
      <c r="I27" s="11"/>
      <c r="J27" s="11"/>
      <c r="K27" s="11"/>
      <c r="L27" s="11"/>
      <c r="M27" s="11"/>
      <c r="N27" s="11"/>
      <c r="O27" s="11"/>
      <c r="P27" s="11"/>
    </row>
    <row r="28" customFormat="false" ht="14.25" hidden="false" customHeight="true" outlineLevel="0" collapsed="false">
      <c r="C28" s="21" t="s">
        <v>1773</v>
      </c>
      <c r="D28" s="58" t="s">
        <v>1531</v>
      </c>
      <c r="E28" s="58" t="s">
        <v>1532</v>
      </c>
      <c r="F28" s="58" t="s">
        <v>1533</v>
      </c>
      <c r="G28" s="58" t="s">
        <v>1534</v>
      </c>
      <c r="H28" s="58" t="s">
        <v>1535</v>
      </c>
      <c r="I28" s="58" t="s">
        <v>1536</v>
      </c>
      <c r="J28" s="11" t="s">
        <v>1537</v>
      </c>
      <c r="K28" s="11" t="s">
        <v>1538</v>
      </c>
      <c r="L28" s="11" t="s">
        <v>1539</v>
      </c>
      <c r="M28" s="11" t="s">
        <v>1540</v>
      </c>
      <c r="N28" s="11" t="s">
        <v>1541</v>
      </c>
      <c r="O28" s="11"/>
      <c r="P28" s="11"/>
    </row>
    <row r="29" customFormat="false" ht="14.25" hidden="false" customHeight="true" outlineLevel="0" collapsed="false">
      <c r="C29" s="17" t="s">
        <v>1774</v>
      </c>
      <c r="D29" s="41" t="n">
        <f aca="false">(1-Drivers!$D$810)*(Drivers!$C$23*Drivers!$C$17) + (Drivers!$D$810-Drivers!$D$816)*(Drivers!$C$23*Drivers!$C$17)*(1+Drivers!$C$824) + Drivers!$D$816*(Drivers!$C$23*Drivers!$C$17)*(1+Drivers!$C$824)*(1+Drivers!$D$824)</f>
        <v>9981.4446</v>
      </c>
      <c r="E29" s="41" t="n">
        <f aca="false">(1-Drivers!$E$810)*(Drivers!$C$23*Drivers!$C$17) + (Drivers!$E$810-Drivers!$E$816)*(Drivers!$C$23*Drivers!$C$17)*(1+Drivers!$C$824) + Drivers!$E$816*(Drivers!$C$23*Drivers!$C$17)*(1+Drivers!$C$824)*(1+Drivers!$D$824)</f>
        <v>9981.4446</v>
      </c>
      <c r="F29" s="41" t="n">
        <f aca="false">(1-Drivers!$F$810)*(Drivers!$C$23*Drivers!$C$17) + (Drivers!$F$810-Drivers!$F$816)*(Drivers!$C$23*Drivers!$C$17)*(1+Drivers!$C$824) + Drivers!$F$816*(Drivers!$C$23*Drivers!$C$17)*(1+Drivers!$C$824)*(1+Drivers!$D$824)</f>
        <v>9981.4446</v>
      </c>
      <c r="G29" s="41" t="n">
        <f aca="false">(1-Drivers!$G$810)*(Drivers!$C$23*Drivers!$C$17) + (Drivers!$G$810-Drivers!$G$816)*(Drivers!$C$23*Drivers!$C$17)*(1+Drivers!$C$824) + Drivers!$G$816*(Drivers!$C$23*Drivers!$C$17)*(1+Drivers!$C$824)*(1+Drivers!$D$824)</f>
        <v>9981.4446</v>
      </c>
      <c r="H29" s="41" t="n">
        <f aca="false">(1-Drivers!$H$810)*(Drivers!$C$23*Drivers!$C$17) + (Drivers!$H$810-Drivers!$H$816)*(Drivers!$C$23*Drivers!$C$17)*(1+Drivers!$C$824) + Drivers!$H$816*(Drivers!$C$23*Drivers!$C$17)*(1+Drivers!$C$824)*(1+Drivers!$D$824)</f>
        <v>10230.980715</v>
      </c>
      <c r="I29" s="41" t="n">
        <f aca="false">(1-Drivers!$I$810)*(Drivers!$C$23*Drivers!$C$17) + (Drivers!$I$810-Drivers!$I$816)*(Drivers!$C$23*Drivers!$C$17)*(1+Drivers!$C$824) + Drivers!$I$816*(Drivers!$C$23*Drivers!$C$17)*(1+Drivers!$C$824)*(1+Drivers!$D$824)</f>
        <v>10480.51683</v>
      </c>
      <c r="J29" s="41" t="n">
        <f aca="false">(1-Drivers!$J$810)*(Drivers!$C$23*Drivers!$C$17) + (Drivers!$J$810-Drivers!$J$816)*(Drivers!$C$23*Drivers!$C$17)*(1+Drivers!$C$824) + Drivers!$J$816*(Drivers!$C$23*Drivers!$C$17)*(1+Drivers!$C$824)*(1+Drivers!$D$824)</f>
        <v>10480.51683</v>
      </c>
      <c r="K29" s="41" t="n">
        <f aca="false">(1-Drivers!$K$810)*(Drivers!$C$23*Drivers!$C$17) + (Drivers!$K$810-Drivers!$K$816)*(Drivers!$C$23*Drivers!$C$17)*(1+Drivers!$C$824) + Drivers!$K$816*(Drivers!$C$23*Drivers!$C$17)*(1+Drivers!$C$824)*(1+Drivers!$D$824)</f>
        <v>10480.51683</v>
      </c>
      <c r="L29" s="41" t="n">
        <f aca="false">(1-Drivers!$L$810)*(Drivers!$C$23*Drivers!$C$17) + (Drivers!$L$810-Drivers!$L$816)*(Drivers!$C$23*Drivers!$C$17)*(1+Drivers!$C$824) + Drivers!$L$816*(Drivers!$C$23*Drivers!$C$17)*(1+Drivers!$C$824)*(1+Drivers!$D$824)</f>
        <v>10480.51683</v>
      </c>
      <c r="M29" s="41" t="n">
        <f aca="false">(1-Drivers!$M$810)*(Drivers!$C$23*Drivers!$C$17) + (Drivers!$M$810-Drivers!$M$816)*(Drivers!$C$23*Drivers!$C$17)*(1+Drivers!$C$824) + Drivers!$M$816*(Drivers!$C$23*Drivers!$C$17)*(1+Drivers!$C$824)*(1+Drivers!$D$824)</f>
        <v>10480.51683</v>
      </c>
      <c r="N29" s="41" t="n">
        <f aca="false">(1-Drivers!$N$810)*(Drivers!$C$23*Drivers!$C$17) + (Drivers!$N$810-Drivers!$N$816)*(Drivers!$C$23*Drivers!$C$17)*(1+Drivers!$C$824) + Drivers!$N$816*(Drivers!$C$23*Drivers!$C$17)*(1+Drivers!$C$824)*(1+Drivers!$D$824)</f>
        <v>10480.51683</v>
      </c>
      <c r="O29" s="11"/>
      <c r="P29" s="11"/>
    </row>
    <row r="30" customFormat="false" ht="14.25" hidden="false" customHeight="true" outlineLevel="0" collapsed="false">
      <c r="C30" s="17" t="s">
        <v>1775</v>
      </c>
      <c r="D30" s="41" t="n">
        <f aca="false">(1-Drivers!$D$811)*(Drivers!$C$23*Drivers!$C$18) + (Drivers!$D$811-Drivers!$D$817)*(Drivers!$C$23*Drivers!$C$18)*(1+Drivers!$C$825) + Drivers!$D$817*(Drivers!$C$23*Drivers!$C$18)*(1+Drivers!$C$825)*(1+Drivers!$D$825)</f>
        <v>8918.64</v>
      </c>
      <c r="E30" s="41" t="n">
        <f aca="false">(1-Drivers!$E$811)*(Drivers!$C$23*Drivers!$C$18) + (Drivers!$E$811-Drivers!$E$817)*(Drivers!$C$23*Drivers!$C$18)*(1+Drivers!$C$825) + Drivers!$E$817*(Drivers!$C$23*Drivers!$C$18)*(1+Drivers!$C$825)*(1+Drivers!$D$825)</f>
        <v>10018.6056</v>
      </c>
      <c r="F30" s="41" t="n">
        <f aca="false">(1-Drivers!$F$811)*(Drivers!$C$23*Drivers!$C$18) + (Drivers!$F$811-Drivers!$F$817)*(Drivers!$C$23*Drivers!$C$18)*(1+Drivers!$C$825) + Drivers!$F$817*(Drivers!$C$23*Drivers!$C$18)*(1+Drivers!$C$825)*(1+Drivers!$D$825)</f>
        <v>10568.5884</v>
      </c>
      <c r="G30" s="41" t="n">
        <f aca="false">(1-Drivers!$G$811)*(Drivers!$C$23*Drivers!$C$18) + (Drivers!$G$811-Drivers!$G$817)*(Drivers!$C$23*Drivers!$C$18)*(1+Drivers!$C$825) + Drivers!$G$817*(Drivers!$C$23*Drivers!$C$18)*(1+Drivers!$C$825)*(1+Drivers!$D$825)</f>
        <v>10568.5884</v>
      </c>
      <c r="H30" s="41" t="n">
        <f aca="false">(1-Drivers!$H$811)*(Drivers!$C$23*Drivers!$C$18) + (Drivers!$H$811-Drivers!$H$817)*(Drivers!$C$23*Drivers!$C$18)*(1+Drivers!$C$825) + Drivers!$H$817*(Drivers!$C$23*Drivers!$C$18)*(1+Drivers!$C$825)*(1+Drivers!$D$825)</f>
        <v>10568.5884</v>
      </c>
      <c r="I30" s="41" t="n">
        <f aca="false">(1-Drivers!$I$811)*(Drivers!$C$23*Drivers!$C$18) + (Drivers!$I$811-Drivers!$I$817)*(Drivers!$C$23*Drivers!$C$18)*(1+Drivers!$C$825) + Drivers!$I$817*(Drivers!$C$23*Drivers!$C$18)*(1+Drivers!$C$825)*(1+Drivers!$D$825)</f>
        <v>10568.5884</v>
      </c>
      <c r="J30" s="41" t="n">
        <f aca="false">(1-Drivers!$J$811)*(Drivers!$C$23*Drivers!$C$18) + (Drivers!$J$811-Drivers!$J$817)*(Drivers!$C$23*Drivers!$C$18)*(1+Drivers!$C$825) + Drivers!$J$817*(Drivers!$C$23*Drivers!$C$18)*(1+Drivers!$C$825)*(1+Drivers!$D$825)</f>
        <v>10674.274284</v>
      </c>
      <c r="K30" s="41" t="n">
        <f aca="false">(1-Drivers!$K$811)*(Drivers!$C$23*Drivers!$C$18) + (Drivers!$K$811-Drivers!$K$817)*(Drivers!$C$23*Drivers!$C$18)*(1+Drivers!$C$825) + Drivers!$K$817*(Drivers!$C$23*Drivers!$C$18)*(1+Drivers!$C$825)*(1+Drivers!$D$825)</f>
        <v>10779.960168</v>
      </c>
      <c r="L30" s="41" t="n">
        <f aca="false">(1-Drivers!$L$811)*(Drivers!$C$23*Drivers!$C$18) + (Drivers!$L$811-Drivers!$L$817)*(Drivers!$C$23*Drivers!$C$18)*(1+Drivers!$C$825) + Drivers!$L$817*(Drivers!$C$23*Drivers!$C$18)*(1+Drivers!$C$825)*(1+Drivers!$D$825)</f>
        <v>10779.960168</v>
      </c>
      <c r="M30" s="41" t="n">
        <f aca="false">(1-Drivers!$M$811)*(Drivers!$C$23*Drivers!$C$18) + (Drivers!$M$811-Drivers!$M$817)*(Drivers!$C$23*Drivers!$C$18)*(1+Drivers!$C$825) + Drivers!$M$817*(Drivers!$C$23*Drivers!$C$18)*(1+Drivers!$C$825)*(1+Drivers!$D$825)</f>
        <v>10779.960168</v>
      </c>
      <c r="N30" s="41" t="n">
        <f aca="false">(1-Drivers!$N$811)*(Drivers!$C$23*Drivers!$C$18) + (Drivers!$N$811-Drivers!$N$817)*(Drivers!$C$23*Drivers!$C$18)*(1+Drivers!$C$825) + Drivers!$N$817*(Drivers!$C$23*Drivers!$C$18)*(1+Drivers!$C$825)*(1+Drivers!$D$825)</f>
        <v>10779.960168</v>
      </c>
      <c r="O30" s="11"/>
      <c r="P30" s="11"/>
    </row>
    <row r="31" customFormat="false" ht="14.25" hidden="false" customHeight="true" outlineLevel="0" collapsed="false">
      <c r="C31" s="17" t="s">
        <v>1776</v>
      </c>
      <c r="D31" s="41" t="n">
        <f aca="false">(1-Drivers!$D$812)*(Drivers!$C$23*Drivers!$C$19) + (Drivers!$D$812-Drivers!$D$818)*(Drivers!$C$23*Drivers!$C$19)*(1+Drivers!$C$826) + Drivers!$D$818*(Drivers!$C$23*Drivers!$C$19)*(1+Drivers!$C$826)*(1+Drivers!$D$826)</f>
        <v>9290.25</v>
      </c>
      <c r="E31" s="41" t="n">
        <f aca="false">(1-Drivers!$E$812)*(Drivers!$C$23*Drivers!$C$19) + (Drivers!$E$812-Drivers!$E$818)*(Drivers!$C$23*Drivers!$C$19)*(1+Drivers!$C$826) + Drivers!$E$818*(Drivers!$C$23*Drivers!$C$19)*(1+Drivers!$C$826)*(1+Drivers!$D$826)</f>
        <v>9290.25</v>
      </c>
      <c r="F31" s="41" t="n">
        <f aca="false">(1-Drivers!$F$812)*(Drivers!$C$23*Drivers!$C$19) + (Drivers!$F$812-Drivers!$F$818)*(Drivers!$C$23*Drivers!$C$19)*(1+Drivers!$C$826) + Drivers!$F$818*(Drivers!$C$23*Drivers!$C$19)*(1+Drivers!$C$826)*(1+Drivers!$D$826)</f>
        <v>9290.25</v>
      </c>
      <c r="G31" s="41" t="n">
        <f aca="false">(1-Drivers!$G$812)*(Drivers!$C$23*Drivers!$C$19) + (Drivers!$G$812-Drivers!$G$818)*(Drivers!$C$23*Drivers!$C$19)*(1+Drivers!$C$826) + Drivers!$G$818*(Drivers!$C$23*Drivers!$C$19)*(1+Drivers!$C$826)*(1+Drivers!$D$826)</f>
        <v>9832.18125</v>
      </c>
      <c r="H31" s="41" t="n">
        <f aca="false">(1-Drivers!$H$812)*(Drivers!$C$23*Drivers!$C$19) + (Drivers!$H$812-Drivers!$H$818)*(Drivers!$C$23*Drivers!$C$19)*(1+Drivers!$C$826) + Drivers!$H$818*(Drivers!$C$23*Drivers!$C$19)*(1+Drivers!$C$826)*(1+Drivers!$D$826)</f>
        <v>10219.275</v>
      </c>
      <c r="I31" s="41" t="n">
        <f aca="false">(1-Drivers!$I$812)*(Drivers!$C$23*Drivers!$C$19) + (Drivers!$I$812-Drivers!$I$818)*(Drivers!$C$23*Drivers!$C$19)*(1+Drivers!$C$826) + Drivers!$I$818*(Drivers!$C$23*Drivers!$C$19)*(1+Drivers!$C$826)*(1+Drivers!$D$826)</f>
        <v>10219.275</v>
      </c>
      <c r="J31" s="41" t="n">
        <f aca="false">(1-Drivers!$J$812)*(Drivers!$C$23*Drivers!$C$19) + (Drivers!$J$812-Drivers!$J$818)*(Drivers!$C$23*Drivers!$C$19)*(1+Drivers!$C$826) + Drivers!$J$818*(Drivers!$C$23*Drivers!$C$19)*(1+Drivers!$C$826)*(1+Drivers!$D$826)</f>
        <v>10219.275</v>
      </c>
      <c r="K31" s="41" t="n">
        <f aca="false">(1-Drivers!$K$812)*(Drivers!$C$23*Drivers!$C$19) + (Drivers!$K$812-Drivers!$K$818)*(Drivers!$C$23*Drivers!$C$19)*(1+Drivers!$C$826) + Drivers!$K$818*(Drivers!$C$23*Drivers!$C$19)*(1+Drivers!$C$826)*(1+Drivers!$D$826)</f>
        <v>10219.275</v>
      </c>
      <c r="L31" s="41" t="n">
        <f aca="false">(1-Drivers!$L$812)*(Drivers!$C$23*Drivers!$C$19) + (Drivers!$L$812-Drivers!$L$818)*(Drivers!$C$23*Drivers!$C$19)*(1+Drivers!$C$826) + Drivers!$L$818*(Drivers!$C$23*Drivers!$C$19)*(1+Drivers!$C$826)*(1+Drivers!$D$826)</f>
        <v>10321.46775</v>
      </c>
      <c r="M31" s="41" t="n">
        <f aca="false">(1-Drivers!$M$812)*(Drivers!$C$23*Drivers!$C$19) + (Drivers!$M$812-Drivers!$M$818)*(Drivers!$C$23*Drivers!$C$19)*(1+Drivers!$C$826) + Drivers!$M$818*(Drivers!$C$23*Drivers!$C$19)*(1+Drivers!$C$826)*(1+Drivers!$D$826)</f>
        <v>10423.6605</v>
      </c>
      <c r="N31" s="41" t="n">
        <f aca="false">(1-Drivers!$N$812)*(Drivers!$C$23*Drivers!$C$19) + (Drivers!$N$812-Drivers!$N$818)*(Drivers!$C$23*Drivers!$C$19)*(1+Drivers!$C$826) + Drivers!$N$818*(Drivers!$C$23*Drivers!$C$19)*(1+Drivers!$C$826)*(1+Drivers!$D$826)</f>
        <v>10423.6605</v>
      </c>
      <c r="O31" s="11"/>
      <c r="P31" s="11"/>
    </row>
    <row r="32" customFormat="false" ht="14.25" hidden="false" customHeight="true" outlineLevel="0" collapsed="false">
      <c r="C32" s="17" t="s">
        <v>1777</v>
      </c>
      <c r="D32" s="41" t="n">
        <f aca="false">(1-Drivers!$D$813)*(Drivers!$C$23*Drivers!$C$20) + (Drivers!$D$813-Drivers!$D$819)*(Drivers!$C$23*Drivers!$C$20)*(1+Drivers!$C$827) + Drivers!$D$819*(Drivers!$C$23*Drivers!$C$20)*(1+Drivers!$C$827)*(1+Drivers!$D$827)</f>
        <v>9785.73</v>
      </c>
      <c r="E32" s="41" t="n">
        <f aca="false">(1-Drivers!$E$813)*(Drivers!$C$23*Drivers!$C$20) + (Drivers!$E$813-Drivers!$E$819)*(Drivers!$C$23*Drivers!$C$20)*(1+Drivers!$C$827) + Drivers!$E$819*(Drivers!$C$23*Drivers!$C$20)*(1+Drivers!$C$827)*(1+Drivers!$D$827)</f>
        <v>9785.73</v>
      </c>
      <c r="F32" s="41" t="n">
        <f aca="false">(1-Drivers!$F$813)*(Drivers!$C$23*Drivers!$C$20) + (Drivers!$F$813-Drivers!$F$819)*(Drivers!$C$23*Drivers!$C$20)*(1+Drivers!$C$827) + Drivers!$F$819*(Drivers!$C$23*Drivers!$C$20)*(1+Drivers!$C$827)*(1+Drivers!$D$827)</f>
        <v>9785.73</v>
      </c>
      <c r="G32" s="41" t="n">
        <f aca="false">(1-Drivers!$G$813)*(Drivers!$C$23*Drivers!$C$20) + (Drivers!$G$813-Drivers!$G$819)*(Drivers!$C$23*Drivers!$C$20)*(1+Drivers!$C$827) + Drivers!$G$819*(Drivers!$C$23*Drivers!$C$20)*(1+Drivers!$C$827)*(1+Drivers!$D$827)</f>
        <v>9785.73</v>
      </c>
      <c r="H32" s="41" t="n">
        <f aca="false">(1-Drivers!$H$813)*(Drivers!$C$23*Drivers!$C$20) + (Drivers!$H$813-Drivers!$H$819)*(Drivers!$C$23*Drivers!$C$20)*(1+Drivers!$C$827) + Drivers!$H$819*(Drivers!$C$23*Drivers!$C$20)*(1+Drivers!$C$827)*(1+Drivers!$D$827)</f>
        <v>10275.0165</v>
      </c>
      <c r="I32" s="41" t="n">
        <f aca="false">(1-Drivers!$I$813)*(Drivers!$C$23*Drivers!$C$20) + (Drivers!$I$813-Drivers!$I$819)*(Drivers!$C$23*Drivers!$C$20)*(1+Drivers!$C$827) + Drivers!$I$819*(Drivers!$C$23*Drivers!$C$20)*(1+Drivers!$C$827)*(1+Drivers!$D$827)</f>
        <v>10275.0165</v>
      </c>
      <c r="J32" s="41" t="n">
        <f aca="false">(1-Drivers!$J$813)*(Drivers!$C$23*Drivers!$C$20) + (Drivers!$J$813-Drivers!$J$819)*(Drivers!$C$23*Drivers!$C$20)*(1+Drivers!$C$827) + Drivers!$J$819*(Drivers!$C$23*Drivers!$C$20)*(1+Drivers!$C$827)*(1+Drivers!$D$827)</f>
        <v>10275.0165</v>
      </c>
      <c r="K32" s="41" t="n">
        <f aca="false">(1-Drivers!$K$813)*(Drivers!$C$23*Drivers!$C$20) + (Drivers!$K$813-Drivers!$K$819)*(Drivers!$C$23*Drivers!$C$20)*(1+Drivers!$C$827) + Drivers!$K$819*(Drivers!$C$23*Drivers!$C$20)*(1+Drivers!$C$827)*(1+Drivers!$D$827)</f>
        <v>10275.0165</v>
      </c>
      <c r="L32" s="41" t="n">
        <f aca="false">(1-Drivers!$L$813)*(Drivers!$C$23*Drivers!$C$20) + (Drivers!$L$813-Drivers!$L$819)*(Drivers!$C$23*Drivers!$C$20)*(1+Drivers!$C$827) + Drivers!$L$819*(Drivers!$C$23*Drivers!$C$20)*(1+Drivers!$C$827)*(1+Drivers!$D$827)</f>
        <v>10275.0165</v>
      </c>
      <c r="M32" s="41" t="n">
        <f aca="false">(1-Drivers!$M$813)*(Drivers!$C$23*Drivers!$C$20) + (Drivers!$M$813-Drivers!$M$819)*(Drivers!$C$23*Drivers!$C$20)*(1+Drivers!$C$827) + Drivers!$M$819*(Drivers!$C$23*Drivers!$C$20)*(1+Drivers!$C$827)*(1+Drivers!$D$827)</f>
        <v>10377.766665</v>
      </c>
      <c r="N32" s="41" t="n">
        <f aca="false">(1-Drivers!$N$813)*(Drivers!$C$23*Drivers!$C$20) + (Drivers!$N$813-Drivers!$N$819)*(Drivers!$C$23*Drivers!$C$20)*(1+Drivers!$C$827) + Drivers!$N$819*(Drivers!$C$23*Drivers!$C$20)*(1+Drivers!$C$827)*(1+Drivers!$D$827)</f>
        <v>10480.51683</v>
      </c>
      <c r="O32" s="11"/>
      <c r="P32" s="11"/>
    </row>
    <row r="33" customFormat="false" ht="14.25" hidden="false" customHeight="true" outlineLevel="0" collapsed="false">
      <c r="C33" s="17" t="s">
        <v>1778</v>
      </c>
      <c r="D33" s="41" t="n">
        <f aca="false">(1-Drivers!$D$814)*(Drivers!$C$23*Drivers!$C$21) + (Drivers!$D$814-Drivers!$D$820)*(Drivers!$C$23*Drivers!$C$21)*(1+Drivers!$C$828) + Drivers!$D$820*(Drivers!$C$23*Drivers!$C$21)*(1+Drivers!$C$828)*(1+Drivers!$D$828)</f>
        <v>10033.47</v>
      </c>
      <c r="E33" s="41" t="n">
        <f aca="false">(1-Drivers!$E$814)*(Drivers!$C$23*Drivers!$C$21) + (Drivers!$E$814-Drivers!$E$820)*(Drivers!$C$23*Drivers!$C$21)*(1+Drivers!$C$828) + Drivers!$E$820*(Drivers!$C$23*Drivers!$C$21)*(1+Drivers!$C$828)*(1+Drivers!$D$828)</f>
        <v>10033.47</v>
      </c>
      <c r="F33" s="41" t="n">
        <f aca="false">(1-Drivers!$F$814)*(Drivers!$C$23*Drivers!$C$21) + (Drivers!$F$814-Drivers!$F$820)*(Drivers!$C$23*Drivers!$C$21)*(1+Drivers!$C$828) + Drivers!$F$820*(Drivers!$C$23*Drivers!$C$21)*(1+Drivers!$C$828)*(1+Drivers!$D$828)</f>
        <v>10033.47</v>
      </c>
      <c r="G33" s="41" t="n">
        <f aca="false">(1-Drivers!$G$814)*(Drivers!$C$23*Drivers!$C$21) + (Drivers!$G$814-Drivers!$G$820)*(Drivers!$C$23*Drivers!$C$21)*(1+Drivers!$C$828) + Drivers!$G$820*(Drivers!$C$23*Drivers!$C$21)*(1+Drivers!$C$828)*(1+Drivers!$D$828)</f>
        <v>10033.47</v>
      </c>
      <c r="H33" s="41" t="n">
        <f aca="false">(1-Drivers!$H$814)*(Drivers!$C$23*Drivers!$C$21) + (Drivers!$H$814-Drivers!$H$820)*(Drivers!$C$23*Drivers!$C$21)*(1+Drivers!$C$828) + Drivers!$H$820*(Drivers!$C$23*Drivers!$C$21)*(1+Drivers!$C$828)*(1+Drivers!$D$828)</f>
        <v>10117.08225</v>
      </c>
      <c r="I33" s="41" t="n">
        <f aca="false">(1-Drivers!$I$814)*(Drivers!$C$23*Drivers!$C$21) + (Drivers!$I$814-Drivers!$I$820)*(Drivers!$C$23*Drivers!$C$21)*(1+Drivers!$C$828) + Drivers!$I$820*(Drivers!$C$23*Drivers!$C$21)*(1+Drivers!$C$828)*(1+Drivers!$D$828)</f>
        <v>10535.1435</v>
      </c>
      <c r="J33" s="41" t="n">
        <f aca="false">(1-Drivers!$J$814)*(Drivers!$C$23*Drivers!$C$21) + (Drivers!$J$814-Drivers!$J$820)*(Drivers!$C$23*Drivers!$C$21)*(1+Drivers!$C$828) + Drivers!$J$820*(Drivers!$C$23*Drivers!$C$21)*(1+Drivers!$C$828)*(1+Drivers!$D$828)</f>
        <v>10535.1435</v>
      </c>
      <c r="K33" s="41" t="n">
        <f aca="false">(1-Drivers!$K$814)*(Drivers!$C$23*Drivers!$C$21) + (Drivers!$K$814-Drivers!$K$820)*(Drivers!$C$23*Drivers!$C$21)*(1+Drivers!$C$828) + Drivers!$K$820*(Drivers!$C$23*Drivers!$C$21)*(1+Drivers!$C$828)*(1+Drivers!$D$828)</f>
        <v>10535.1435</v>
      </c>
      <c r="L33" s="41" t="n">
        <f aca="false">(1-Drivers!$L$814)*(Drivers!$C$23*Drivers!$C$21) + (Drivers!$L$814-Drivers!$L$820)*(Drivers!$C$23*Drivers!$C$21)*(1+Drivers!$C$828) + Drivers!$L$820*(Drivers!$C$23*Drivers!$C$21)*(1+Drivers!$C$828)*(1+Drivers!$D$828)</f>
        <v>10535.1435</v>
      </c>
      <c r="M33" s="41" t="n">
        <f aca="false">(1-Drivers!$M$814)*(Drivers!$C$23*Drivers!$C$21) + (Drivers!$M$814-Drivers!$M$820)*(Drivers!$C$23*Drivers!$C$21)*(1+Drivers!$C$828) + Drivers!$M$820*(Drivers!$C$23*Drivers!$C$21)*(1+Drivers!$C$828)*(1+Drivers!$D$828)</f>
        <v>10640.494935</v>
      </c>
      <c r="N33" s="41" t="n">
        <f aca="false">(1-Drivers!$N$814)*(Drivers!$C$23*Drivers!$C$21) + (Drivers!$N$814-Drivers!$N$820)*(Drivers!$C$23*Drivers!$C$21)*(1+Drivers!$C$828) + Drivers!$N$820*(Drivers!$C$23*Drivers!$C$21)*(1+Drivers!$C$828)*(1+Drivers!$D$828)</f>
        <v>10745.84637</v>
      </c>
      <c r="O33" s="11"/>
      <c r="P33" s="11"/>
    </row>
    <row r="34" customFormat="false" ht="14.25" hidden="false" customHeight="true" outlineLevel="0" collapsed="false">
      <c r="C34" s="17" t="s">
        <v>1779</v>
      </c>
      <c r="D34" s="41" t="n">
        <f aca="false">Drivers!$C$22</f>
        <v>8300</v>
      </c>
      <c r="E34" s="41" t="n">
        <f aca="false">Drivers!$C$22</f>
        <v>8300</v>
      </c>
      <c r="F34" s="41" t="n">
        <f aca="false">Drivers!$C$22</f>
        <v>8300</v>
      </c>
      <c r="G34" s="41" t="n">
        <f aca="false">Drivers!$C$22</f>
        <v>8300</v>
      </c>
      <c r="H34" s="41" t="n">
        <f aca="false">Drivers!$C$22</f>
        <v>8300</v>
      </c>
      <c r="I34" s="41" t="n">
        <f aca="false">Drivers!$C$22</f>
        <v>8300</v>
      </c>
      <c r="J34" s="41" t="n">
        <f aca="false">Drivers!$C$22</f>
        <v>8300</v>
      </c>
      <c r="K34" s="41" t="n">
        <f aca="false">Drivers!$C$22</f>
        <v>8300</v>
      </c>
      <c r="L34" s="41" t="n">
        <f aca="false">Drivers!$C$22</f>
        <v>8300</v>
      </c>
      <c r="M34" s="41" t="n">
        <f aca="false">Drivers!$C$22</f>
        <v>8300</v>
      </c>
      <c r="N34" s="41" t="n">
        <f aca="false">Drivers!$C$22</f>
        <v>8300</v>
      </c>
      <c r="O34" s="11"/>
      <c r="P34" s="11"/>
    </row>
    <row r="35" customFormat="false" ht="14.25" hidden="false" customHeight="true" outlineLevel="0" collapsed="false">
      <c r="C35" s="11"/>
      <c r="D35" s="11"/>
      <c r="E35" s="11"/>
      <c r="F35" s="11"/>
      <c r="G35" s="11"/>
      <c r="H35" s="11"/>
      <c r="I35" s="11"/>
      <c r="J35" s="11"/>
      <c r="K35" s="11"/>
      <c r="L35" s="11"/>
      <c r="M35" s="11"/>
      <c r="N35" s="11"/>
      <c r="O35" s="11"/>
      <c r="P35" s="11"/>
    </row>
    <row r="36" customFormat="false" ht="14.25" hidden="false" customHeight="true" outlineLevel="0" collapsed="false">
      <c r="C36" s="21" t="s">
        <v>1780</v>
      </c>
      <c r="D36" s="58" t="s">
        <v>1531</v>
      </c>
      <c r="E36" s="58" t="s">
        <v>1532</v>
      </c>
      <c r="F36" s="58" t="s">
        <v>1533</v>
      </c>
      <c r="G36" s="58" t="s">
        <v>1534</v>
      </c>
      <c r="H36" s="58" t="s">
        <v>1535</v>
      </c>
      <c r="I36" s="58" t="s">
        <v>1536</v>
      </c>
      <c r="J36" s="11" t="s">
        <v>1537</v>
      </c>
      <c r="K36" s="11" t="s">
        <v>1538</v>
      </c>
      <c r="L36" s="11" t="s">
        <v>1539</v>
      </c>
      <c r="M36" s="11" t="s">
        <v>1540</v>
      </c>
      <c r="N36" s="11" t="s">
        <v>1541</v>
      </c>
      <c r="O36" s="11"/>
      <c r="P36" s="11"/>
    </row>
    <row r="37" customFormat="false" ht="14.25" hidden="false" customHeight="true" outlineLevel="0" collapsed="false">
      <c r="C37" s="17" t="s">
        <v>1781</v>
      </c>
      <c r="D37" s="32" t="n">
        <f aca="false">D21*D29/1000000</f>
        <v>199.628892</v>
      </c>
      <c r="E37" s="32" t="n">
        <f aca="false">E21*E29/1000000</f>
        <v>199.628892</v>
      </c>
      <c r="F37" s="32" t="n">
        <f aca="false">F21*F29/1000000</f>
        <v>199.628892</v>
      </c>
      <c r="G37" s="32" t="n">
        <f aca="false">G21*G29/1000000</f>
        <v>199.628892</v>
      </c>
      <c r="H37" s="32" t="n">
        <f aca="false">H21*H29/1000000</f>
        <v>204.6196143</v>
      </c>
      <c r="I37" s="32" t="n">
        <f aca="false">I21*I29/1000000</f>
        <v>209.6103366</v>
      </c>
      <c r="J37" s="32" t="n">
        <f aca="false">J21*J29/1000000</f>
        <v>211.706439966</v>
      </c>
      <c r="K37" s="32" t="n">
        <f aca="false">K21*K29/1000000</f>
        <v>213.82350436566</v>
      </c>
      <c r="L37" s="32" t="n">
        <f aca="false">L21*L29/1000000</f>
        <v>215.961739409317</v>
      </c>
      <c r="M37" s="32" t="n">
        <f aca="false">M21*M29/1000000</f>
        <v>218.12135680341</v>
      </c>
      <c r="N37" s="32" t="n">
        <f aca="false">N21*N29/1000000</f>
        <v>220.302570371444</v>
      </c>
      <c r="O37" s="11"/>
      <c r="P37" s="11"/>
    </row>
    <row r="38" customFormat="false" ht="14.25" hidden="false" customHeight="true" outlineLevel="0" collapsed="false">
      <c r="C38" s="17" t="s">
        <v>1782</v>
      </c>
      <c r="D38" s="32" t="n">
        <f aca="false">D22*D30/1000000</f>
        <v>164.99484</v>
      </c>
      <c r="E38" s="32" t="n">
        <f aca="false">E22*E30/1000000</f>
        <v>185.3442036</v>
      </c>
      <c r="F38" s="32" t="n">
        <f aca="false">F22*F30/1000000</f>
        <v>195.5188854</v>
      </c>
      <c r="G38" s="32" t="n">
        <f aca="false">G22*G30/1000000</f>
        <v>195.5188854</v>
      </c>
      <c r="H38" s="32" t="n">
        <f aca="false">H22*H30/1000000</f>
        <v>195.5188854</v>
      </c>
      <c r="I38" s="32" t="n">
        <f aca="false">I22*I30/1000000</f>
        <v>195.5188854</v>
      </c>
      <c r="J38" s="32" t="n">
        <f aca="false">J22*J30/1000000</f>
        <v>199.44881499654</v>
      </c>
      <c r="K38" s="32" t="n">
        <f aca="false">K22*K30/1000000</f>
        <v>203.437791296471</v>
      </c>
      <c r="L38" s="32" t="n">
        <f aca="false">L22*L30/1000000</f>
        <v>205.472169209436</v>
      </c>
      <c r="M38" s="32" t="n">
        <f aca="false">M22*M30/1000000</f>
        <v>207.52689090153</v>
      </c>
      <c r="N38" s="32" t="n">
        <f aca="false">N22*N30/1000000</f>
        <v>209.602159810545</v>
      </c>
      <c r="O38" s="11"/>
      <c r="P38" s="11"/>
    </row>
    <row r="39" customFormat="false" ht="14.25" hidden="false" customHeight="true" outlineLevel="0" collapsed="false">
      <c r="C39" s="17" t="s">
        <v>1783</v>
      </c>
      <c r="D39" s="32" t="n">
        <f aca="false">D23*D31/1000000</f>
        <v>173.727675</v>
      </c>
      <c r="E39" s="32" t="n">
        <f aca="false">E23*E31/1000000</f>
        <v>173.727675</v>
      </c>
      <c r="F39" s="32" t="n">
        <f aca="false">F23*F31/1000000</f>
        <v>173.727675</v>
      </c>
      <c r="G39" s="32" t="n">
        <f aca="false">G23*G31/1000000</f>
        <v>183.861789375</v>
      </c>
      <c r="H39" s="32" t="n">
        <f aca="false">H23*H31/1000000</f>
        <v>191.1004425</v>
      </c>
      <c r="I39" s="32" t="n">
        <f aca="false">I23*I31/1000000</f>
        <v>191.1004425</v>
      </c>
      <c r="J39" s="32" t="n">
        <f aca="false">J23*J31/1000000</f>
        <v>193.011446925</v>
      </c>
      <c r="K39" s="32" t="n">
        <f aca="false">K23*K31/1000000</f>
        <v>194.94156139425</v>
      </c>
      <c r="L39" s="32" t="n">
        <f aca="false">L23*L31/1000000</f>
        <v>198.859886778274</v>
      </c>
      <c r="M39" s="32" t="n">
        <f aca="false">M23*M31/1000000</f>
        <v>202.83708451384</v>
      </c>
      <c r="N39" s="32" t="n">
        <f aca="false">N23*N31/1000000</f>
        <v>204.865455358978</v>
      </c>
      <c r="O39" s="11"/>
      <c r="P39" s="11"/>
    </row>
    <row r="40" customFormat="false" ht="14.25" hidden="false" customHeight="true" outlineLevel="0" collapsed="false">
      <c r="C40" s="17" t="s">
        <v>1784</v>
      </c>
      <c r="D40" s="32" t="n">
        <f aca="false">D24*D32/1000000</f>
        <v>189.843162</v>
      </c>
      <c r="E40" s="32" t="n">
        <f aca="false">E24*E32/1000000</f>
        <v>189.843162</v>
      </c>
      <c r="F40" s="32" t="n">
        <f aca="false">F24*F32/1000000</f>
        <v>189.843162</v>
      </c>
      <c r="G40" s="32" t="n">
        <f aca="false">G24*G32/1000000</f>
        <v>189.843162</v>
      </c>
      <c r="H40" s="32" t="n">
        <f aca="false">H24*H32/1000000</f>
        <v>199.3353201</v>
      </c>
      <c r="I40" s="32" t="n">
        <f aca="false">I24*I32/1000000</f>
        <v>199.3353201</v>
      </c>
      <c r="J40" s="32" t="n">
        <f aca="false">J24*J32/1000000</f>
        <v>201.328673301</v>
      </c>
      <c r="K40" s="32" t="n">
        <f aca="false">K24*K32/1000000</f>
        <v>203.34196003401</v>
      </c>
      <c r="L40" s="32" t="n">
        <f aca="false">L24*L32/1000000</f>
        <v>205.37537963435</v>
      </c>
      <c r="M40" s="32" t="n">
        <f aca="false">M24*M32/1000000</f>
        <v>209.503424765001</v>
      </c>
      <c r="N40" s="32" t="n">
        <f aca="false">N24*N32/1000000</f>
        <v>213.693493260301</v>
      </c>
      <c r="O40" s="11"/>
      <c r="P40" s="11"/>
    </row>
    <row r="41" customFormat="false" ht="14.25" hidden="false" customHeight="true" outlineLevel="0" collapsed="false">
      <c r="C41" s="17" t="s">
        <v>1785</v>
      </c>
      <c r="D41" s="32" t="n">
        <f aca="false">D25*D33/1000000</f>
        <v>215.719605</v>
      </c>
      <c r="E41" s="32" t="n">
        <f aca="false">E25*E33/1000000</f>
        <v>215.719605</v>
      </c>
      <c r="F41" s="32" t="n">
        <f aca="false">F25*F33/1000000</f>
        <v>215.719605</v>
      </c>
      <c r="G41" s="32" t="n">
        <f aca="false">G25*G33/1000000</f>
        <v>215.719605</v>
      </c>
      <c r="H41" s="32" t="n">
        <f aca="false">H25*H33/1000000</f>
        <v>217.517268375</v>
      </c>
      <c r="I41" s="32" t="n">
        <f aca="false">I25*I33/1000000</f>
        <v>226.50558525</v>
      </c>
      <c r="J41" s="32" t="n">
        <f aca="false">J25*J33/1000000</f>
        <v>228.7706411025</v>
      </c>
      <c r="K41" s="32" t="n">
        <f aca="false">K25*K33/1000000</f>
        <v>231.058347513525</v>
      </c>
      <c r="L41" s="32" t="n">
        <f aca="false">L25*L33/1000000</f>
        <v>233.36893098866</v>
      </c>
      <c r="M41" s="32" t="n">
        <f aca="false">M25*M33/1000000</f>
        <v>238.059646501532</v>
      </c>
      <c r="N41" s="32" t="n">
        <f aca="false">N25*N33/1000000</f>
        <v>242.820839431563</v>
      </c>
      <c r="O41" s="11"/>
      <c r="P41" s="11"/>
    </row>
    <row r="42" customFormat="false" ht="14.25" hidden="false" customHeight="true" outlineLevel="0" collapsed="false">
      <c r="C42" s="17" t="s">
        <v>1786</v>
      </c>
      <c r="D42" s="32" t="n">
        <f aca="false">D26*D34/1000000</f>
        <v>20.6919</v>
      </c>
      <c r="E42" s="32" t="n">
        <f aca="false">E26*E34/1000000</f>
        <v>20.6919</v>
      </c>
      <c r="F42" s="32" t="n">
        <f aca="false">F26*F34/1000000</f>
        <v>20.6919</v>
      </c>
      <c r="G42" s="32" t="n">
        <f aca="false">G26*G34/1000000</f>
        <v>20.6919</v>
      </c>
      <c r="H42" s="32" t="n">
        <f aca="false">H26*H34/1000000</f>
        <v>20.6919</v>
      </c>
      <c r="I42" s="32" t="n">
        <f aca="false">I26*I34/1000000</f>
        <v>20.6919</v>
      </c>
      <c r="J42" s="32" t="n">
        <f aca="false">J26*J34/1000000</f>
        <v>20.898819</v>
      </c>
      <c r="K42" s="32" t="n">
        <f aca="false">K26*K34/1000000</f>
        <v>21.10780719</v>
      </c>
      <c r="L42" s="32" t="n">
        <f aca="false">L26*L34/1000000</f>
        <v>21.3188852619</v>
      </c>
      <c r="M42" s="32" t="n">
        <f aca="false">M26*M34/1000000</f>
        <v>21.532074114519</v>
      </c>
      <c r="N42" s="32" t="n">
        <f aca="false">N26*N34/1000000</f>
        <v>21.7473948556642</v>
      </c>
      <c r="O42" s="11"/>
      <c r="P42" s="11"/>
    </row>
    <row r="43" customFormat="false" ht="14.25" hidden="false" customHeight="true" outlineLevel="0" collapsed="false">
      <c r="A43" s="22" t="s">
        <v>11</v>
      </c>
      <c r="C43" s="67" t="s">
        <v>1787</v>
      </c>
      <c r="D43" s="79" t="n">
        <f aca="false">D65</f>
        <v>954.2</v>
      </c>
      <c r="E43" s="79" t="n">
        <f aca="false">E65</f>
        <v>980.165653848287</v>
      </c>
      <c r="F43" s="79" t="n">
        <f aca="false">F65</f>
        <v>1004.00252200311</v>
      </c>
      <c r="G43" s="79" t="n">
        <f aca="false">G65</f>
        <v>1027.60648779839</v>
      </c>
      <c r="H43" s="79" t="n">
        <f aca="false">H65</f>
        <v>1042.0861163171</v>
      </c>
      <c r="I43" s="79" t="n">
        <f aca="false">I65</f>
        <v>1044.99945096963</v>
      </c>
      <c r="J43" s="80" t="n">
        <f aca="false">J65</f>
        <v>1045.00500952059</v>
      </c>
      <c r="K43" s="80" t="n">
        <f aca="false">K65</f>
        <v>1048.99267235206</v>
      </c>
      <c r="L43" s="80" t="n">
        <f aca="false">L65</f>
        <v>1052.98795412443</v>
      </c>
      <c r="M43" s="80" t="n">
        <f aca="false">M65</f>
        <v>1056.99846710424</v>
      </c>
      <c r="N43" s="80" t="n">
        <f aca="false">N65</f>
        <v>1061.02425488885</v>
      </c>
      <c r="O43" s="54"/>
      <c r="P43" s="54"/>
    </row>
    <row r="44" customFormat="false" ht="14.25" hidden="false" customHeight="true" outlineLevel="0" collapsed="false">
      <c r="A44" s="22" t="s">
        <v>11</v>
      </c>
      <c r="C44" s="71" t="s">
        <v>1788</v>
      </c>
      <c r="D44" s="69" t="n">
        <f aca="false">D43</f>
        <v>954.2</v>
      </c>
      <c r="E44" s="81" t="n">
        <f aca="false">Drivers!$C$45</f>
        <v>954.2</v>
      </c>
      <c r="F44" s="82" t="n">
        <f aca="false">D44-E44</f>
        <v>0</v>
      </c>
      <c r="G44" s="54"/>
      <c r="H44" s="54"/>
      <c r="I44" s="54"/>
      <c r="J44" s="54"/>
      <c r="K44" s="54"/>
      <c r="L44" s="54"/>
      <c r="M44" s="54"/>
      <c r="N44" s="54"/>
      <c r="O44" s="54"/>
      <c r="P44" s="83" t="s">
        <v>1789</v>
      </c>
    </row>
    <row r="45" customFormat="false" ht="14.25" hidden="false" customHeight="true" outlineLevel="0" collapsed="false">
      <c r="C45" s="11"/>
      <c r="D45" s="11"/>
      <c r="E45" s="11"/>
      <c r="F45" s="11"/>
      <c r="G45" s="11"/>
      <c r="H45" s="11"/>
      <c r="I45" s="11"/>
      <c r="J45" s="11"/>
      <c r="K45" s="11"/>
      <c r="L45" s="11"/>
      <c r="M45" s="11"/>
      <c r="N45" s="11"/>
      <c r="O45" s="11"/>
      <c r="P45" s="11"/>
    </row>
    <row r="46" customFormat="false" ht="14.25" hidden="false" customHeight="true" outlineLevel="0" collapsed="false">
      <c r="C46" s="11" t="s">
        <v>1790</v>
      </c>
      <c r="D46" s="11" t="s">
        <v>1791</v>
      </c>
      <c r="E46" s="11" t="s">
        <v>1791</v>
      </c>
      <c r="F46" s="11" t="s">
        <v>1791</v>
      </c>
      <c r="G46" s="11" t="s">
        <v>1791</v>
      </c>
      <c r="H46" s="11" t="s">
        <v>1791</v>
      </c>
      <c r="I46" s="11" t="s">
        <v>1791</v>
      </c>
      <c r="J46" s="34" t="n">
        <f aca="false">IFERROR((J43/SUM(J21:J26))/(I43/SUM(I21:I26))-1, 0)</f>
        <v>-0.00989572357394009</v>
      </c>
      <c r="K46" s="34" t="n">
        <f aca="false">IFERROR((K43/SUM(K21:K26))/(J43/SUM(J21:J26))-1, 0)</f>
        <v>-0.00612284455398371</v>
      </c>
      <c r="L46" s="34" t="n">
        <f aca="false">IFERROR((L43/SUM(L21:L26))/(K43/SUM(K21:K26))-1, 0)</f>
        <v>-0.00613001568578409</v>
      </c>
      <c r="M46" s="34" t="n">
        <f aca="false">IFERROR((M43/SUM(M21:M26))/(L43/SUM(L21:L26))-1, 0)</f>
        <v>-0.00613000210721859</v>
      </c>
      <c r="N46" s="34" t="n">
        <f aca="false">IFERROR((N43/SUM(N21:N26))/(M43/SUM(M21:M26))-1, 0)</f>
        <v>-0.0061300021329298</v>
      </c>
      <c r="O46" s="11"/>
      <c r="P46" s="11"/>
    </row>
    <row r="48" customFormat="false" ht="15" hidden="false" customHeight="true" outlineLevel="0" collapsed="false">
      <c r="C48" s="1" t="s">
        <v>1792</v>
      </c>
    </row>
    <row r="50" customFormat="false" ht="15" hidden="false" customHeight="true" outlineLevel="0" collapsed="false">
      <c r="B50" s="1" t="s">
        <v>1793</v>
      </c>
      <c r="C50" s="1" t="s">
        <v>1794</v>
      </c>
      <c r="D50" s="1" t="n">
        <f aca="false">Drivers!$C11*Drivers!$D$810+Drivers!$C12*Drivers!$D$811+Drivers!$C13*Drivers!$D$812+Drivers!$C14*Drivers!$D$813+Drivers!$C15*Drivers!$D$814+Drivers!$C11*Drivers!$D$816+Drivers!$C12*Drivers!$D$817+Drivers!$C13*Drivers!$D$818+Drivers!$C14*Drivers!$D$819+Drivers!$C15*Drivers!$D$820</f>
        <v>20000</v>
      </c>
      <c r="E50" s="1" t="n">
        <f aca="false">Drivers!$C11*(Drivers!$E$810-Drivers!$D$810)+Drivers!$C12*(Drivers!$E$811-Drivers!$D$811)+Drivers!$C13*(Drivers!$E$812-Drivers!$D$812)+Drivers!$C14*(Drivers!$E$813-Drivers!$D$813)+Drivers!$C15*(Drivers!$E$814-Drivers!$D$814)+Drivers!$C11*(Drivers!$E$816-Drivers!$D$816)+Drivers!$C12*(Drivers!$E$817-Drivers!$D$817)+Drivers!$C13*(Drivers!$E$818-Drivers!$D$818)+Drivers!$C14*(Drivers!$E$819-Drivers!$D$819)+Drivers!$C15*(Drivers!$E$820-Drivers!$D$820)</f>
        <v>12333.3333333333</v>
      </c>
      <c r="F50" s="1" t="n">
        <f aca="false">Drivers!$C11*(Drivers!$F$810-Drivers!$E$810)+Drivers!$C12*(Drivers!$F$811-Drivers!$E$811)+Drivers!$C13*(Drivers!$F$812-Drivers!$E$812)+Drivers!$C14*(Drivers!$F$813-Drivers!$E$813)+Drivers!$C15*(Drivers!$F$814-Drivers!$E$814)+Drivers!$C11*(Drivers!$F$816-Drivers!$E$816)+Drivers!$C12*(Drivers!$F$817-Drivers!$E$817)+Drivers!$C13*(Drivers!$F$818-Drivers!$E$818)+Drivers!$C14*(Drivers!$F$819-Drivers!$E$819)+Drivers!$C15*(Drivers!$F$820-Drivers!$E$820)</f>
        <v>6166.66666666666</v>
      </c>
      <c r="G50" s="1" t="n">
        <f aca="false">Drivers!$C11*(Drivers!$G$810-Drivers!$F$810)+Drivers!$C12*(Drivers!$G$811-Drivers!$F$811)+Drivers!$C13*(Drivers!$G$812-Drivers!$F$812)+Drivers!$C14*(Drivers!$G$813-Drivers!$F$813)+Drivers!$C15*(Drivers!$G$814-Drivers!$F$814)+Drivers!$C11*(Drivers!$G$816-Drivers!$F$816)+Drivers!$C12*(Drivers!$G$817-Drivers!$F$817)+Drivers!$C13*(Drivers!$G$818-Drivers!$F$818)+Drivers!$C14*(Drivers!$G$819-Drivers!$F$819)+Drivers!$C15*(Drivers!$G$820-Drivers!$F$820)</f>
        <v>10908.3333333333</v>
      </c>
      <c r="H50" s="1" t="n">
        <f aca="false">Drivers!$C11*(Drivers!$H$810-Drivers!$G$810)+Drivers!$C12*(Drivers!$H$811-Drivers!$G$811)+Drivers!$C13*(Drivers!$H$812-Drivers!$G$812)+Drivers!$C14*(Drivers!$H$813-Drivers!$G$813)+Drivers!$C15*(Drivers!$H$814-Drivers!$G$814)+Drivers!$C11*(Drivers!$H$816-Drivers!$G$816)+Drivers!$C12*(Drivers!$H$817-Drivers!$G$817)+Drivers!$C13*(Drivers!$H$818-Drivers!$G$818)+Drivers!$C14*(Drivers!$H$819-Drivers!$G$819)+Drivers!$C15*(Drivers!$H$820-Drivers!$G$820)</f>
        <v>40775</v>
      </c>
      <c r="I50" s="1" t="n">
        <f aca="false">Drivers!$C11*(Drivers!$I$810-Drivers!$H$810)+Drivers!$C12*(Drivers!$I$811-Drivers!$H$811)+Drivers!$C13*(Drivers!$I$812-Drivers!$H$812)+Drivers!$C14*(Drivers!$I$813-Drivers!$H$813)+Drivers!$C15*(Drivers!$I$814-Drivers!$H$814)+Drivers!$C11*(Drivers!$I$816-Drivers!$H$816)+Drivers!$C12*(Drivers!$I$817-Drivers!$H$817)+Drivers!$C13*(Drivers!$I$818-Drivers!$H$818)+Drivers!$C14*(Drivers!$I$819-Drivers!$H$819)+Drivers!$C15*(Drivers!$I$820-Drivers!$H$820)</f>
        <v>27916.6666666667</v>
      </c>
      <c r="P50" s="1" t="s">
        <v>1795</v>
      </c>
    </row>
    <row r="51" customFormat="false" ht="15" hidden="false" customHeight="true" outlineLevel="0" collapsed="false">
      <c r="C51" s="1" t="s">
        <v>1796</v>
      </c>
      <c r="D51" s="1" t="n">
        <f aca="false">D50/21500-1</f>
        <v>-0.0697674418604651</v>
      </c>
    </row>
    <row r="55" customFormat="false" ht="15" hidden="false" customHeight="true" outlineLevel="0" collapsed="false">
      <c r="C55" s="1" t="s">
        <v>1797</v>
      </c>
    </row>
    <row r="56" customFormat="false" ht="15" hidden="false" customHeight="true" outlineLevel="0" collapsed="false">
      <c r="C56" s="1" t="s">
        <v>1798</v>
      </c>
    </row>
    <row r="57" customFormat="false" ht="15" hidden="false" customHeight="true" outlineLevel="0" collapsed="false">
      <c r="C57" s="1" t="s">
        <v>1530</v>
      </c>
      <c r="D57" s="1" t="s">
        <v>1531</v>
      </c>
      <c r="E57" s="1" t="s">
        <v>1532</v>
      </c>
      <c r="F57" s="1" t="s">
        <v>1533</v>
      </c>
      <c r="G57" s="1" t="s">
        <v>1534</v>
      </c>
      <c r="H57" s="1" t="s">
        <v>1535</v>
      </c>
      <c r="I57" s="1" t="s">
        <v>1536</v>
      </c>
      <c r="J57" s="1" t="s">
        <v>1537</v>
      </c>
      <c r="K57" s="1" t="s">
        <v>1538</v>
      </c>
      <c r="L57" s="1" t="s">
        <v>1539</v>
      </c>
      <c r="M57" s="1" t="s">
        <v>1540</v>
      </c>
      <c r="N57" s="1" t="s">
        <v>1541</v>
      </c>
      <c r="P57" s="1" t="s">
        <v>1799</v>
      </c>
    </row>
    <row r="58" customFormat="false" ht="15" hidden="false" customHeight="true" outlineLevel="0" collapsed="false">
      <c r="C58" s="1" t="s">
        <v>1800</v>
      </c>
      <c r="D58" s="1" t="n">
        <v>21500</v>
      </c>
      <c r="E58" s="1" t="n">
        <v>13700</v>
      </c>
      <c r="F58" s="1" t="n">
        <f aca="false">Drivers!$C$5*12/Drivers!$C$785</f>
        <v>22354</v>
      </c>
      <c r="G58" s="1" t="n">
        <f aca="false">Drivers!$C$5*12/Drivers!$C$785</f>
        <v>22354</v>
      </c>
      <c r="H58" s="1" t="n">
        <f aca="false">Drivers!$C$5*12/Drivers!$C$785</f>
        <v>22354</v>
      </c>
      <c r="I58" s="1" t="n">
        <f aca="false">Drivers!$C$5*12/Drivers!$C$785</f>
        <v>22354</v>
      </c>
      <c r="J58" s="1" t="n">
        <f aca="false">Drivers!$C$5*12/Drivers!$C$785</f>
        <v>22354</v>
      </c>
      <c r="K58" s="1" t="n">
        <f aca="false">Drivers!$C$5*12/Drivers!$C$785</f>
        <v>22354</v>
      </c>
      <c r="L58" s="1" t="n">
        <f aca="false">Drivers!$C$5*12/Drivers!$C$785</f>
        <v>22354</v>
      </c>
      <c r="M58" s="1" t="n">
        <f aca="false">Drivers!$C$5*12/Drivers!$C$785</f>
        <v>22354</v>
      </c>
      <c r="N58" s="1" t="n">
        <f aca="false">Drivers!$C$5*12/Drivers!$C$785</f>
        <v>22354</v>
      </c>
      <c r="O58" s="1" t="s">
        <v>170</v>
      </c>
      <c r="P58" s="1" t="n">
        <v>19400</v>
      </c>
    </row>
    <row r="59" customFormat="false" ht="15" hidden="false" customHeight="true" outlineLevel="0" collapsed="false">
      <c r="D59" s="1" t="s">
        <v>1801</v>
      </c>
      <c r="E59" s="1" t="s">
        <v>1802</v>
      </c>
      <c r="P59" s="1" t="s">
        <v>1803</v>
      </c>
    </row>
    <row r="60" customFormat="false" ht="15" hidden="false" customHeight="true" outlineLevel="0" collapsed="false">
      <c r="C60" s="1" t="s">
        <v>1804</v>
      </c>
      <c r="D60" s="43" t="n">
        <f aca="false">Drivers!$C$8</f>
        <v>0.873</v>
      </c>
      <c r="E60" s="43" t="n">
        <f aca="false">Drivers!$C$37</f>
        <v>0.808</v>
      </c>
      <c r="F60" s="43" t="n">
        <f aca="false">Drivers!$C$38</f>
        <v>0.85</v>
      </c>
      <c r="G60" s="43" t="n">
        <f aca="false">Drivers!$C$38</f>
        <v>0.85</v>
      </c>
      <c r="H60" s="43" t="n">
        <f aca="false">Drivers!$C$38</f>
        <v>0.85</v>
      </c>
      <c r="I60" s="43" t="n">
        <f aca="false">Drivers!$C$38</f>
        <v>0.85</v>
      </c>
      <c r="J60" s="43" t="n">
        <f aca="false">Drivers!$C$38</f>
        <v>0.85</v>
      </c>
      <c r="K60" s="43" t="n">
        <f aca="false">Drivers!$C$38</f>
        <v>0.85</v>
      </c>
      <c r="L60" s="43" t="n">
        <f aca="false">Drivers!$C$38</f>
        <v>0.85</v>
      </c>
      <c r="M60" s="43" t="n">
        <f aca="false">Drivers!$C$38</f>
        <v>0.85</v>
      </c>
      <c r="N60" s="43" t="n">
        <f aca="false">Drivers!$C$38</f>
        <v>0.85</v>
      </c>
      <c r="P60" s="43" t="n">
        <f aca="false">Drivers!$C$8</f>
        <v>0.873</v>
      </c>
    </row>
    <row r="61" customFormat="false" ht="15" hidden="false" customHeight="true" outlineLevel="0" collapsed="false">
      <c r="C61" s="1" t="s">
        <v>1805</v>
      </c>
      <c r="D61" s="1" t="n">
        <f aca="false">D58*D60</f>
        <v>18769.5</v>
      </c>
      <c r="E61" s="1" t="n">
        <f aca="false">E58*E60</f>
        <v>11069.6</v>
      </c>
      <c r="F61" s="1" t="n">
        <f aca="false">F58*F60</f>
        <v>19000.9</v>
      </c>
      <c r="G61" s="1" t="n">
        <f aca="false">G58*G60</f>
        <v>19000.9</v>
      </c>
      <c r="H61" s="1" t="n">
        <f aca="false">H58*H60</f>
        <v>19000.9</v>
      </c>
      <c r="I61" s="1" t="n">
        <f aca="false">I58*I60</f>
        <v>19000.9</v>
      </c>
      <c r="J61" s="1" t="n">
        <f aca="false">J58*J60</f>
        <v>19000.9</v>
      </c>
      <c r="K61" s="1" t="n">
        <f aca="false">K58*K60</f>
        <v>19000.9</v>
      </c>
      <c r="L61" s="1" t="n">
        <f aca="false">L58*L60</f>
        <v>19000.9</v>
      </c>
      <c r="M61" s="1" t="n">
        <f aca="false">M58*M60</f>
        <v>19000.9</v>
      </c>
      <c r="N61" s="1" t="n">
        <f aca="false">N58*N60</f>
        <v>19000.9</v>
      </c>
      <c r="P61" s="1" t="n">
        <f aca="false">P58*P60</f>
        <v>16936.2</v>
      </c>
    </row>
    <row r="62" customFormat="false" ht="15" hidden="false" customHeight="true" outlineLevel="0" collapsed="false">
      <c r="C62" s="1" t="s">
        <v>1806</v>
      </c>
      <c r="D62" s="1" t="n">
        <f aca="false">Drivers!$C$5*Drivers!$C$7</f>
        <v>99587.07</v>
      </c>
      <c r="E62" s="1" t="n">
        <f aca="false">Drivers!$C$5*Drivers!$C$7</f>
        <v>99587.07</v>
      </c>
      <c r="F62" s="1" t="n">
        <f aca="false">Drivers!$C$5*Drivers!$C$7</f>
        <v>99587.07</v>
      </c>
      <c r="G62" s="1" t="n">
        <f aca="false">Drivers!$C$5*Drivers!$C$7</f>
        <v>99587.07</v>
      </c>
      <c r="H62" s="1" t="n">
        <f aca="false">Drivers!$C$5*Drivers!$C$7</f>
        <v>99587.07</v>
      </c>
      <c r="I62" s="1" t="n">
        <f aca="false">Drivers!$C$5*Drivers!$C$7</f>
        <v>99587.07</v>
      </c>
      <c r="J62" s="1" t="n">
        <f aca="false">Drivers!$C$5*Drivers!$C$7</f>
        <v>99587.07</v>
      </c>
      <c r="K62" s="1" t="n">
        <f aca="false">Drivers!$C$5*Drivers!$C$7</f>
        <v>99587.07</v>
      </c>
      <c r="L62" s="1" t="n">
        <f aca="false">Drivers!$C$5*Drivers!$C$7</f>
        <v>99587.07</v>
      </c>
      <c r="M62" s="1" t="n">
        <f aca="false">Drivers!$C$5*Drivers!$C$7</f>
        <v>99587.07</v>
      </c>
      <c r="N62" s="1" t="n">
        <f aca="false">Drivers!$C$5*Drivers!$C$7</f>
        <v>99587.07</v>
      </c>
      <c r="P62" s="1" t="n">
        <f aca="false">Drivers!$C$5*Drivers!$C$7</f>
        <v>99587.07</v>
      </c>
    </row>
    <row r="63" customFormat="false" ht="15" hidden="false" customHeight="true" outlineLevel="0" collapsed="false">
      <c r="C63" s="1" t="s">
        <v>1807</v>
      </c>
      <c r="D63" s="43" t="n">
        <f aca="false">Drivers!$C$9</f>
        <v>0.219</v>
      </c>
      <c r="E63" s="43" t="n">
        <f aca="false">Drivers!$C$32</f>
        <v>0.185</v>
      </c>
      <c r="F63" s="43" t="n">
        <f aca="false">Drivers!$C$33</f>
        <v>0.15</v>
      </c>
      <c r="G63" s="43" t="n">
        <f aca="false">Drivers!$C$34</f>
        <v>0.1</v>
      </c>
      <c r="H63" s="43" t="n">
        <f aca="false">Drivers!$C$35</f>
        <v>0.05</v>
      </c>
      <c r="I63" s="43" t="n">
        <f aca="false">Drivers!$C$36</f>
        <v>-0.02</v>
      </c>
      <c r="J63" s="43" t="n">
        <f aca="false">Drivers!$C$704</f>
        <v>0.02</v>
      </c>
      <c r="K63" s="43" t="n">
        <f aca="false">Drivers!$C$704</f>
        <v>0.02</v>
      </c>
      <c r="L63" s="43" t="n">
        <f aca="false">Drivers!$C$704</f>
        <v>0.02</v>
      </c>
      <c r="M63" s="43" t="n">
        <f aca="false">Drivers!$C$704</f>
        <v>0.02</v>
      </c>
      <c r="N63" s="43" t="n">
        <f aca="false">Drivers!$C$704</f>
        <v>0.02</v>
      </c>
      <c r="P63" s="43" t="n">
        <f aca="false">Drivers!$C$9</f>
        <v>0.219</v>
      </c>
    </row>
    <row r="64" customFormat="false" ht="15" hidden="false" customHeight="true" outlineLevel="0" collapsed="false">
      <c r="C64" s="1" t="s">
        <v>1808</v>
      </c>
      <c r="D64" s="1" t="n">
        <f aca="false">P65*1000000/D62</f>
        <v>7860.18470631896</v>
      </c>
      <c r="E64" s="1" t="n">
        <f aca="false">D65*1000000/E62</f>
        <v>9581.56515700281</v>
      </c>
      <c r="F64" s="1" t="n">
        <f aca="false">E65*1000000/F62</f>
        <v>9842.29834102245</v>
      </c>
      <c r="G64" s="1" t="n">
        <f aca="false">F65*1000000/G62</f>
        <v>10081.655399673</v>
      </c>
      <c r="H64" s="1" t="n">
        <f aca="false">G65*1000000/H62</f>
        <v>10318.6737776138</v>
      </c>
      <c r="I64" s="1" t="n">
        <f aca="false">H65*1000000/I62</f>
        <v>10464.0704492772</v>
      </c>
      <c r="J64" s="1" t="n">
        <f aca="false">I65*1000000/J62</f>
        <v>10493.3245949462</v>
      </c>
      <c r="K64" s="1" t="n">
        <f aca="false">J65*1000000/K62</f>
        <v>10493.3804109368</v>
      </c>
      <c r="L64" s="1" t="n">
        <f aca="false">K65*1000000/L62</f>
        <v>10533.4223845732</v>
      </c>
      <c r="M64" s="1" t="n">
        <f aca="false">L65*1000000/M62</f>
        <v>10573.5408635321</v>
      </c>
      <c r="N64" s="1" t="n">
        <f aca="false">M65*1000000/N62</f>
        <v>10613.8122861154</v>
      </c>
      <c r="P64" s="1" t="n">
        <f aca="false">P65*1000000/P62</f>
        <v>7860.18470631896</v>
      </c>
    </row>
    <row r="65" customFormat="false" ht="15" hidden="false" customHeight="true" outlineLevel="0" collapsed="false">
      <c r="C65" s="1" t="s">
        <v>1809</v>
      </c>
      <c r="D65" s="73" t="n">
        <f aca="false">Drivers!$C$45</f>
        <v>954.2</v>
      </c>
      <c r="E65" s="1" t="n">
        <f aca="false">D65 + 0.5*E66 + 0.5*D66</f>
        <v>980.165653848287</v>
      </c>
      <c r="F65" s="1" t="n">
        <f aca="false">E65 + 0.5*F66 + 0.5*E66</f>
        <v>1004.00252200311</v>
      </c>
      <c r="G65" s="1" t="n">
        <f aca="false">F65 + 0.5*G66 + 0.5*F66</f>
        <v>1027.60648779839</v>
      </c>
      <c r="H65" s="1" t="n">
        <f aca="false">G65 + 0.5*H66 + 0.5*G66</f>
        <v>1042.0861163171</v>
      </c>
      <c r="I65" s="1" t="n">
        <f aca="false">H65 + 0.5*I66 + 0.5*H66</f>
        <v>1044.99945096963</v>
      </c>
      <c r="J65" s="1" t="n">
        <f aca="false">I65 + 0.5*J66 + 0.5*I66</f>
        <v>1045.00500952059</v>
      </c>
      <c r="K65" s="1" t="n">
        <f aca="false">J65 + 0.5*K66 + 0.5*J66</f>
        <v>1048.99267235206</v>
      </c>
      <c r="L65" s="1" t="n">
        <f aca="false">K65 + 0.5*L66 + 0.5*K66</f>
        <v>1052.98795412443</v>
      </c>
      <c r="M65" s="1" t="n">
        <f aca="false">L65 + 0.5*M66 + 0.5*L66</f>
        <v>1056.99846710424</v>
      </c>
      <c r="N65" s="1" t="n">
        <f aca="false">M65 + 0.5*N66 + 0.5*M66</f>
        <v>1061.02425488885</v>
      </c>
      <c r="P65" s="1" t="n">
        <f aca="false">D65/(1+Drivers!$C$9)</f>
        <v>782.772764561116</v>
      </c>
    </row>
    <row r="66" customFormat="false" ht="15" hidden="false" customHeight="true" outlineLevel="0" collapsed="false">
      <c r="C66" s="1" t="s">
        <v>1810</v>
      </c>
      <c r="D66" s="1" t="n">
        <f aca="false">D61*D64*D63/1000000</f>
        <v>32.3094503691106</v>
      </c>
      <c r="E66" s="1" t="n">
        <f aca="false">E61*E64*E63/1000000</f>
        <v>19.6218573274623</v>
      </c>
      <c r="F66" s="1" t="n">
        <f aca="false">F61*F64*F63/1000000</f>
        <v>28.05187898219</v>
      </c>
      <c r="G66" s="1" t="n">
        <f aca="false">G61*G64*G63/1000000</f>
        <v>19.1560526083647</v>
      </c>
      <c r="H66" s="1" t="n">
        <f aca="false">H61*H64*H63/1000000</f>
        <v>9.8032044290531</v>
      </c>
      <c r="I66" s="1" t="n">
        <f aca="false">I61*I64*I63/1000000</f>
        <v>-3.97653512399342</v>
      </c>
      <c r="J66" s="1" t="n">
        <f aca="false">J61*J64*J63/1000000</f>
        <v>3.98765222592226</v>
      </c>
      <c r="K66" s="1" t="n">
        <f aca="false">K61*K64*K63/1000000</f>
        <v>3.98767343700338</v>
      </c>
      <c r="L66" s="1" t="n">
        <f aca="false">L61*L64*L63/1000000</f>
        <v>4.00289010774073</v>
      </c>
      <c r="M66" s="1" t="n">
        <f aca="false">M61*M64*M63/1000000</f>
        <v>4.01813585187773</v>
      </c>
      <c r="N66" s="1" t="n">
        <f aca="false">N61*N64*N63/1000000</f>
        <v>4.03343971734501</v>
      </c>
      <c r="P66" s="1" t="n">
        <f aca="false">P61*P64*P63/1000000</f>
        <v>29.1536435888719</v>
      </c>
    </row>
    <row r="68" customFormat="false" ht="15" hidden="false" customHeight="true" outlineLevel="0" collapsed="false">
      <c r="C68" s="1" t="s">
        <v>1811</v>
      </c>
      <c r="D68" s="1" t="n">
        <f aca="false">D58</f>
        <v>21500</v>
      </c>
      <c r="E68" s="1" t="n">
        <f aca="false">E58</f>
        <v>13700</v>
      </c>
      <c r="F68" s="1" t="n">
        <f aca="false">F58</f>
        <v>22354</v>
      </c>
      <c r="G68" s="1" t="n">
        <f aca="false">G58</f>
        <v>22354</v>
      </c>
      <c r="H68" s="1" t="n">
        <f aca="false">H58</f>
        <v>22354</v>
      </c>
      <c r="I68" s="1" t="n">
        <f aca="false">I58</f>
        <v>22354</v>
      </c>
      <c r="J68" s="1" t="n">
        <f aca="false">J58</f>
        <v>22354</v>
      </c>
      <c r="K68" s="1" t="n">
        <f aca="false">K58</f>
        <v>22354</v>
      </c>
      <c r="L68" s="1" t="n">
        <f aca="false">L58</f>
        <v>22354</v>
      </c>
      <c r="M68" s="1" t="n">
        <f aca="false">M58</f>
        <v>22354</v>
      </c>
      <c r="N68" s="1" t="n">
        <f aca="false">N58</f>
        <v>22354</v>
      </c>
      <c r="P68" s="1" t="n">
        <f aca="false">P58</f>
        <v>19400</v>
      </c>
    </row>
  </sheetData>
  <mergeCells count="1">
    <mergeCell ref="C13:P1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P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3" topLeftCell="D14" activePane="bottomRight" state="frozen"/>
      <selection pane="topLeft" activeCell="A1" activeCellId="0" sqref="A1"/>
      <selection pane="topRight" activeCell="D1" activeCellId="0" sqref="D1"/>
      <selection pane="bottomLeft" activeCell="A14" activeCellId="0" sqref="A14"/>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1" width="1.7"/>
    <col collapsed="false" customWidth="true" hidden="false" outlineLevel="0" max="3" min="3" style="1" width="46"/>
    <col collapsed="false" customWidth="true" hidden="false" outlineLevel="0" max="15" min="4" style="1" width="12.3"/>
    <col collapsed="false" customWidth="true" hidden="false" outlineLevel="0" max="16" min="16" style="1" width="26"/>
  </cols>
  <sheetData>
    <row r="2" customFormat="false" ht="21.75" hidden="false" customHeight="true" outlineLevel="0" collapsed="false">
      <c r="C2" s="46" t="str">
        <f aca="false">"Financial Statement Model - "&amp;Cover!$D$5</f>
        <v>Financial Statement Model - GATX Corporation</v>
      </c>
      <c r="D2" s="47"/>
      <c r="E2" s="47"/>
      <c r="F2" s="47"/>
      <c r="G2" s="47"/>
      <c r="H2" s="47"/>
      <c r="I2" s="47"/>
      <c r="J2" s="47"/>
      <c r="K2" s="47"/>
      <c r="L2" s="47"/>
      <c r="M2" s="47"/>
      <c r="N2" s="47"/>
      <c r="O2" s="47"/>
      <c r="P2" s="47"/>
    </row>
    <row r="3" customFormat="false" ht="15" hidden="false" customHeight="true" outlineLevel="0" collapsed="false">
      <c r="C3" s="48" t="s">
        <v>1</v>
      </c>
    </row>
    <row r="5" customFormat="false" ht="15" hidden="false" customHeight="true" outlineLevel="0" collapsed="false">
      <c r="C5" s="4" t="s">
        <v>2</v>
      </c>
      <c r="D5" s="49" t="str">
        <f aca="false">Cover!$D$5</f>
        <v>GATX Corporation</v>
      </c>
    </row>
    <row r="6" customFormat="false" ht="15" hidden="false" customHeight="true" outlineLevel="0" collapsed="false">
      <c r="C6" s="4" t="s">
        <v>4</v>
      </c>
      <c r="D6" s="49" t="str">
        <f aca="false">Cover!$D$6</f>
        <v>GATX</v>
      </c>
    </row>
    <row r="7" customFormat="false" ht="15" hidden="false" customHeight="true" outlineLevel="0" collapsed="false">
      <c r="C7" s="4" t="s">
        <v>1551</v>
      </c>
      <c r="D7" s="49" t="n">
        <f aca="false">Cover!$D$7</f>
        <v>1</v>
      </c>
    </row>
    <row r="8" customFormat="false" ht="15" hidden="false" customHeight="true" outlineLevel="0" collapsed="false">
      <c r="C8" s="4" t="s">
        <v>7</v>
      </c>
      <c r="D8" s="6" t="n">
        <f aca="false">Cover!$D$8</f>
        <v>162.78</v>
      </c>
    </row>
    <row r="9" customFormat="false" ht="15" hidden="false" customHeight="true" outlineLevel="0" collapsed="false">
      <c r="C9" s="4" t="s">
        <v>8</v>
      </c>
      <c r="D9" s="50" t="n">
        <f aca="false">Cover!$D$9</f>
        <v>46303</v>
      </c>
    </row>
    <row r="10" customFormat="false" ht="15" hidden="false" customHeight="true" outlineLevel="0" collapsed="false">
      <c r="C10" s="4" t="s">
        <v>9</v>
      </c>
      <c r="D10" s="50" t="n">
        <f aca="false">Cover!$D$10</f>
        <v>46022</v>
      </c>
    </row>
    <row r="11" customFormat="false" ht="15" hidden="false" customHeight="true" outlineLevel="0" collapsed="false">
      <c r="C11" s="4" t="s">
        <v>1552</v>
      </c>
      <c r="D11" s="8" t="n">
        <f aca="false">Cover!$D$11</f>
        <v>35.8</v>
      </c>
    </row>
    <row r="13" customFormat="false" ht="15" hidden="false" customHeight="true" outlineLevel="0" collapsed="false">
      <c r="C13" s="51" t="s">
        <v>1812</v>
      </c>
      <c r="D13" s="51"/>
      <c r="E13" s="51"/>
      <c r="F13" s="51"/>
      <c r="G13" s="51"/>
      <c r="H13" s="51"/>
      <c r="I13" s="51"/>
      <c r="J13" s="51"/>
      <c r="K13" s="51"/>
      <c r="L13" s="51"/>
      <c r="M13" s="51"/>
      <c r="N13" s="51"/>
      <c r="O13" s="51"/>
      <c r="P13" s="51"/>
    </row>
    <row r="14" customFormat="false" ht="14.25" hidden="false" customHeight="true" outlineLevel="0" collapsed="false">
      <c r="C14" s="11"/>
      <c r="D14" s="11"/>
      <c r="E14" s="11"/>
      <c r="F14" s="11"/>
      <c r="G14" s="11"/>
      <c r="H14" s="11"/>
      <c r="I14" s="11"/>
      <c r="J14" s="11"/>
      <c r="K14" s="11"/>
      <c r="L14" s="11"/>
      <c r="M14" s="11"/>
      <c r="N14" s="11"/>
      <c r="O14" s="11"/>
      <c r="P14" s="11"/>
    </row>
    <row r="15" customFormat="false" ht="14.25" hidden="false" customHeight="true" outlineLevel="0" collapsed="false">
      <c r="C15" s="11" t="s">
        <v>1813</v>
      </c>
      <c r="D15" s="11"/>
      <c r="E15" s="11"/>
      <c r="F15" s="11"/>
      <c r="G15" s="11"/>
      <c r="H15" s="11"/>
      <c r="I15" s="11"/>
      <c r="J15" s="11"/>
      <c r="K15" s="11"/>
      <c r="L15" s="11"/>
      <c r="M15" s="11"/>
      <c r="N15" s="11"/>
      <c r="O15" s="11"/>
      <c r="P15" s="11"/>
    </row>
    <row r="16" customFormat="false" ht="14.25" hidden="false" customHeight="true" outlineLevel="0" collapsed="false">
      <c r="C16" s="11" t="s">
        <v>1814</v>
      </c>
      <c r="D16" s="11"/>
      <c r="E16" s="11"/>
      <c r="F16" s="11"/>
      <c r="G16" s="11"/>
      <c r="H16" s="11"/>
      <c r="I16" s="11"/>
      <c r="J16" s="11"/>
      <c r="K16" s="11"/>
      <c r="L16" s="11"/>
      <c r="M16" s="11"/>
      <c r="N16" s="11"/>
      <c r="O16" s="11"/>
      <c r="P16" s="11"/>
    </row>
    <row r="17" customFormat="false" ht="14.25" hidden="false" customHeight="true" outlineLevel="0" collapsed="false">
      <c r="C17" s="11"/>
      <c r="D17" s="11"/>
      <c r="E17" s="11"/>
      <c r="F17" s="11"/>
      <c r="G17" s="11"/>
      <c r="H17" s="11"/>
      <c r="I17" s="11"/>
      <c r="J17" s="11"/>
      <c r="K17" s="11"/>
      <c r="L17" s="11"/>
      <c r="M17" s="11"/>
      <c r="N17" s="11"/>
      <c r="O17" s="11"/>
      <c r="P17" s="11"/>
    </row>
    <row r="18" customFormat="false" ht="14.25" hidden="false" customHeight="true" outlineLevel="0" collapsed="false">
      <c r="C18" s="11"/>
      <c r="D18" s="58" t="s">
        <v>1531</v>
      </c>
      <c r="E18" s="58" t="s">
        <v>1532</v>
      </c>
      <c r="F18" s="58" t="s">
        <v>1533</v>
      </c>
      <c r="G18" s="58" t="s">
        <v>1534</v>
      </c>
      <c r="H18" s="58" t="s">
        <v>1535</v>
      </c>
      <c r="I18" s="58" t="s">
        <v>1536</v>
      </c>
      <c r="J18" s="11" t="s">
        <v>1537</v>
      </c>
      <c r="K18" s="11" t="s">
        <v>1538</v>
      </c>
      <c r="L18" s="11" t="s">
        <v>1539</v>
      </c>
      <c r="M18" s="11" t="s">
        <v>1540</v>
      </c>
      <c r="N18" s="11" t="s">
        <v>1541</v>
      </c>
      <c r="O18" s="11"/>
      <c r="P18" s="11"/>
    </row>
    <row r="19" customFormat="false" ht="14.25" hidden="false" customHeight="true" outlineLevel="0" collapsed="false">
      <c r="C19" s="17" t="s">
        <v>1815</v>
      </c>
      <c r="D19" s="31" t="n">
        <v>0</v>
      </c>
      <c r="E19" s="42" t="n">
        <f aca="false">Drivers!$C$25</f>
        <v>98535</v>
      </c>
      <c r="F19" s="42" t="n">
        <f aca="false">Drivers!$C$25</f>
        <v>98535</v>
      </c>
      <c r="G19" s="42" t="n">
        <f aca="false">Drivers!$C$25</f>
        <v>98535</v>
      </c>
      <c r="H19" s="42" t="n">
        <f aca="false">Drivers!$C$25</f>
        <v>98535</v>
      </c>
      <c r="I19" s="42" t="n">
        <f aca="false">Drivers!$C$25</f>
        <v>98535</v>
      </c>
      <c r="J19" s="42" t="n">
        <f aca="false">I19*(1+Drivers!$C$705)</f>
        <v>99520.35</v>
      </c>
      <c r="K19" s="42" t="n">
        <f aca="false">J19*(1+Drivers!$C$705)</f>
        <v>100515.5535</v>
      </c>
      <c r="L19" s="42" t="n">
        <f aca="false">K19*(1+Drivers!$C$705)</f>
        <v>101520.709035</v>
      </c>
      <c r="M19" s="42" t="n">
        <f aca="false">L19*(1+Drivers!$C$705)</f>
        <v>102535.91612535</v>
      </c>
      <c r="N19" s="42" t="n">
        <f aca="false">M19*(1+Drivers!$C$705)</f>
        <v>103561.275286604</v>
      </c>
      <c r="O19" s="11"/>
      <c r="P19" s="11"/>
    </row>
    <row r="20" customFormat="false" ht="14.25" hidden="false" customHeight="true" outlineLevel="0" collapsed="false">
      <c r="C20" s="17" t="s">
        <v>1816</v>
      </c>
      <c r="D20" s="33" t="n">
        <v>0</v>
      </c>
      <c r="E20" s="41" t="n">
        <f aca="false">Drivers!$C$26*2*1000000/Drivers!$C$25</f>
        <v>5510.73222712742</v>
      </c>
      <c r="F20" s="34" t="n">
        <f aca="false">E20</f>
        <v>5510.73222712742</v>
      </c>
      <c r="G20" s="34" t="n">
        <f aca="false">E20</f>
        <v>5510.73222712742</v>
      </c>
      <c r="H20" s="34" t="n">
        <f aca="false">E20</f>
        <v>5510.73222712742</v>
      </c>
      <c r="I20" s="34" t="n">
        <f aca="false">E20</f>
        <v>5510.73222712742</v>
      </c>
      <c r="J20" s="34" t="n">
        <f aca="false">I20</f>
        <v>5510.73222712742</v>
      </c>
      <c r="K20" s="34" t="n">
        <f aca="false">J20</f>
        <v>5510.73222712742</v>
      </c>
      <c r="L20" s="34" t="n">
        <f aca="false">K20</f>
        <v>5510.73222712742</v>
      </c>
      <c r="M20" s="34" t="n">
        <f aca="false">L20</f>
        <v>5510.73222712742</v>
      </c>
      <c r="N20" s="34" t="n">
        <f aca="false">M20</f>
        <v>5510.73222712742</v>
      </c>
      <c r="O20" s="11"/>
      <c r="P20" s="11"/>
    </row>
    <row r="21" customFormat="false" ht="14.25" hidden="false" customHeight="true" outlineLevel="0" collapsed="false">
      <c r="C21" s="17" t="s">
        <v>1817</v>
      </c>
      <c r="D21" s="31" t="n">
        <v>0</v>
      </c>
      <c r="E21" s="41" t="n">
        <f aca="false">Drivers!$C$176</f>
        <v>0.25</v>
      </c>
      <c r="F21" s="41" t="n">
        <f aca="false">Drivers!$C$176</f>
        <v>0.25</v>
      </c>
      <c r="G21" s="41" t="n">
        <f aca="false">Drivers!$C$176</f>
        <v>0.25</v>
      </c>
      <c r="H21" s="41" t="n">
        <f aca="false">Drivers!$C$176</f>
        <v>0.25</v>
      </c>
      <c r="I21" s="41" t="n">
        <f aca="false">Drivers!$C$176</f>
        <v>0.25</v>
      </c>
      <c r="J21" s="41" t="n">
        <f aca="false">Drivers!$C$176</f>
        <v>0.25</v>
      </c>
      <c r="K21" s="41" t="n">
        <f aca="false">Drivers!$C$176</f>
        <v>0.25</v>
      </c>
      <c r="L21" s="41" t="n">
        <f aca="false">Drivers!$C$176</f>
        <v>0.25</v>
      </c>
      <c r="M21" s="41" t="n">
        <f aca="false">Drivers!$C$176</f>
        <v>0.25</v>
      </c>
      <c r="N21" s="41" t="n">
        <f aca="false">Drivers!$C$176</f>
        <v>0.25</v>
      </c>
      <c r="O21" s="11"/>
      <c r="P21" s="11"/>
    </row>
    <row r="22" customFormat="false" ht="14.25" hidden="false" customHeight="true" outlineLevel="0" collapsed="false">
      <c r="C22" s="17" t="s">
        <v>1818</v>
      </c>
      <c r="D22" s="33" t="n">
        <v>0</v>
      </c>
      <c r="E22" s="34" t="n">
        <f aca="false">E20</f>
        <v>5510.73222712742</v>
      </c>
      <c r="F22" s="41" t="n">
        <f aca="false">E22*(1+Drivers!$C$33*F21)</f>
        <v>5717.3846856447</v>
      </c>
      <c r="G22" s="41" t="n">
        <f aca="false">F22*(1+Drivers!$C$34*G21)</f>
        <v>5860.31930278581</v>
      </c>
      <c r="H22" s="41" t="n">
        <f aca="false">G22*(1+Drivers!$C$35*H21)</f>
        <v>5933.57329407064</v>
      </c>
      <c r="I22" s="41" t="n">
        <f aca="false">H22*(1+Drivers!$C$36*I21)</f>
        <v>5903.90542760028</v>
      </c>
      <c r="J22" s="41" t="n">
        <f aca="false">I22*(1+Drivers!$C$704*J21)</f>
        <v>5933.42495473828</v>
      </c>
      <c r="K22" s="41" t="n">
        <f aca="false">J22*(1+Drivers!$C$704*K21)</f>
        <v>5963.09207951197</v>
      </c>
      <c r="L22" s="41" t="n">
        <f aca="false">K22*(1+Drivers!$C$704*L21)</f>
        <v>5992.90753990953</v>
      </c>
      <c r="M22" s="41" t="n">
        <f aca="false">L22*(1+Drivers!$C$704*M21)</f>
        <v>6022.87207760908</v>
      </c>
      <c r="N22" s="41" t="n">
        <f aca="false">M22*(1+Drivers!$C$704*N21)</f>
        <v>6052.98643799712</v>
      </c>
      <c r="O22" s="11"/>
      <c r="P22" s="11"/>
    </row>
    <row r="23" customFormat="false" ht="14.25" hidden="false" customHeight="true" outlineLevel="0" collapsed="false">
      <c r="A23" s="22" t="s">
        <v>11</v>
      </c>
      <c r="C23" s="67" t="s">
        <v>1819</v>
      </c>
      <c r="D23" s="79" t="n">
        <f aca="false">D19*D22/1000000</f>
        <v>0</v>
      </c>
      <c r="E23" s="79" t="n">
        <f aca="false">E19*E22/1000000</f>
        <v>543</v>
      </c>
      <c r="F23" s="79" t="n">
        <f aca="false">F19*F22/1000000</f>
        <v>563.3625</v>
      </c>
      <c r="G23" s="79" t="n">
        <f aca="false">G19*G22/1000000</f>
        <v>577.4465625</v>
      </c>
      <c r="H23" s="79" t="n">
        <f aca="false">H19*H22/1000000</f>
        <v>584.66464453125</v>
      </c>
      <c r="I23" s="79" t="n">
        <f aca="false">I19*I22/1000000</f>
        <v>581.741321308594</v>
      </c>
      <c r="J23" s="84" t="n">
        <f aca="false">J19*J22/1000000</f>
        <v>590.496528194288</v>
      </c>
      <c r="K23" s="84" t="n">
        <f aca="false">K19*K22/1000000</f>
        <v>599.383500943612</v>
      </c>
      <c r="L23" s="84" t="n">
        <f aca="false">L19*L22/1000000</f>
        <v>608.404222632813</v>
      </c>
      <c r="M23" s="84" t="n">
        <f aca="false">M19*M22/1000000</f>
        <v>617.560706183437</v>
      </c>
      <c r="N23" s="84" t="n">
        <f aca="false">N19*N22/1000000</f>
        <v>626.854994811498</v>
      </c>
      <c r="O23" s="54"/>
      <c r="P23" s="85" t="s">
        <v>1820</v>
      </c>
    </row>
    <row r="24" customFormat="false" ht="14.25" hidden="false" customHeight="true" outlineLevel="0" collapsed="false">
      <c r="C24" s="11"/>
      <c r="D24" s="11"/>
      <c r="E24" s="11"/>
      <c r="F24" s="11"/>
      <c r="G24" s="11"/>
      <c r="H24" s="11"/>
      <c r="I24" s="11"/>
      <c r="J24" s="11"/>
      <c r="K24" s="11"/>
      <c r="L24" s="11"/>
      <c r="M24" s="11"/>
      <c r="N24" s="11"/>
      <c r="O24" s="11"/>
      <c r="P24" s="11"/>
    </row>
    <row r="25" customFormat="false" ht="14.25" hidden="false" customHeight="true" outlineLevel="0" collapsed="false">
      <c r="C25" s="11" t="s">
        <v>1821</v>
      </c>
      <c r="D25" s="11"/>
      <c r="E25" s="11"/>
      <c r="F25" s="11"/>
      <c r="G25" s="11"/>
      <c r="H25" s="11"/>
      <c r="I25" s="11"/>
      <c r="J25" s="11"/>
      <c r="K25" s="11"/>
      <c r="L25" s="11"/>
      <c r="M25" s="11"/>
      <c r="N25" s="11"/>
      <c r="O25" s="11"/>
      <c r="P25" s="11"/>
    </row>
    <row r="27" customFormat="false" ht="15" hidden="false" customHeight="true" outlineLevel="0" collapsed="false">
      <c r="C27" s="1" t="s">
        <v>1822</v>
      </c>
    </row>
    <row r="29" customFormat="false" ht="15" hidden="false" customHeight="true" outlineLevel="0" collapsed="false">
      <c r="A29" s="1" t="s">
        <v>11</v>
      </c>
      <c r="C29" s="1" t="s">
        <v>1823</v>
      </c>
    </row>
    <row r="30" customFormat="false" ht="15" hidden="false" customHeight="true" outlineLevel="0" collapsed="false">
      <c r="C30" s="1" t="s">
        <v>1824</v>
      </c>
      <c r="D30" s="1" t="n">
        <v>0.2</v>
      </c>
      <c r="E30" s="1" t="n">
        <v>0.25</v>
      </c>
      <c r="F30" s="1" t="n">
        <v>0.3</v>
      </c>
    </row>
    <row r="31" customFormat="false" ht="15" hidden="false" customHeight="true" outlineLevel="0" collapsed="false">
      <c r="C31" s="1" t="s">
        <v>1825</v>
      </c>
      <c r="D31" s="1" t="n">
        <f aca="false">$E$20*(1+Drivers!$C$33*D30)</f>
        <v>5676.05419394124</v>
      </c>
      <c r="E31" s="1" t="n">
        <f aca="false">$E$20*(1+Drivers!$C$33*E30)</f>
        <v>5717.3846856447</v>
      </c>
      <c r="F31" s="1" t="n">
        <f aca="false">$E$20*(1+Drivers!$C$33*F30)</f>
        <v>5758.71517734815</v>
      </c>
    </row>
    <row r="32" customFormat="false" ht="15" hidden="false" customHeight="true" outlineLevel="0" collapsed="false">
      <c r="C32" s="1" t="s">
        <v>1826</v>
      </c>
      <c r="D32" s="1" t="n">
        <f aca="false">$F$19*D31/1000000</f>
        <v>559.29</v>
      </c>
      <c r="E32" s="1" t="n">
        <f aca="false">$F$19*E31/1000000</f>
        <v>563.3625</v>
      </c>
      <c r="F32" s="1" t="n">
        <f aca="false">$F$19*F31/1000000</f>
        <v>567.435</v>
      </c>
    </row>
    <row r="33" customFormat="false" ht="15" hidden="false" customHeight="true" outlineLevel="0" collapsed="false">
      <c r="C33" s="1" t="s">
        <v>1827</v>
      </c>
      <c r="D33" s="1" t="n">
        <f aca="false">'3 Statement Forecast'!$F$33+(D32-$E$32)*(1-Drivers!$C$274)/Drivers!$C$277</f>
        <v>10.0853931650202</v>
      </c>
      <c r="E33" s="1" t="n">
        <f aca="false">'3 Statement Forecast'!$F$33+(E32-$E$32)*(1-Drivers!$C$274)/Drivers!$C$277</f>
        <v>10.1760599616912</v>
      </c>
      <c r="F33" s="1" t="n">
        <f aca="false">'3 Statement Forecast'!$F$33+(F32-$E$32)*(1-Drivers!$C$274)/Drivers!$C$277</f>
        <v>10.2667267583622</v>
      </c>
    </row>
    <row r="34" customFormat="false" ht="15" hidden="false" customHeight="true" outlineLevel="0" collapsed="false">
      <c r="C34" s="1" t="s">
        <v>1828</v>
      </c>
    </row>
    <row r="35" customFormat="false" ht="15" hidden="false" customHeight="true" outlineLevel="0" collapsed="false">
      <c r="A35" s="1" t="s">
        <v>11</v>
      </c>
      <c r="C35" s="1" t="s">
        <v>1829</v>
      </c>
    </row>
    <row r="36" customFormat="false" ht="15" hidden="false" customHeight="true" outlineLevel="0" collapsed="false">
      <c r="C36" s="1" t="s">
        <v>1830</v>
      </c>
      <c r="E36" s="1" t="n">
        <f aca="false">'Acquired Pool'!E19*(Drivers!$C$764-Drivers!$C$769)*Drivers!$C$763</f>
        <v>0</v>
      </c>
      <c r="F36" s="1" t="n">
        <f aca="false">'Acquired Pool'!F19*(Drivers!$C$765-Drivers!$C$769)*Drivers!$C$763</f>
        <v>0</v>
      </c>
      <c r="G36" s="1" t="n">
        <f aca="false">'Acquired Pool'!G19*(Drivers!$C$766-Drivers!$C$769)*Drivers!$C$763</f>
        <v>0</v>
      </c>
      <c r="H36" s="1" t="n">
        <f aca="false">'Acquired Pool'!H19*(Drivers!$C$767-Drivers!$C$769)*Drivers!$C$763</f>
        <v>0</v>
      </c>
      <c r="I36" s="1" t="n">
        <f aca="false">'Acquired Pool'!I19*(Drivers!$C$768-Drivers!$C$769)*Drivers!$C$763</f>
        <v>0</v>
      </c>
    </row>
    <row r="37" customFormat="false" ht="15" hidden="false" customHeight="true" outlineLevel="0" collapsed="false">
      <c r="C37" s="1" t="s">
        <v>1831</v>
      </c>
      <c r="E37" s="1" t="n">
        <f aca="false">'Acquired Pool'!E36*'Acquired Pool'!E22/1000000</f>
        <v>0</v>
      </c>
      <c r="F37" s="1" t="n">
        <f aca="false">'Acquired Pool'!F36*'Acquired Pool'!F22/1000000</f>
        <v>0</v>
      </c>
      <c r="G37" s="1" t="n">
        <f aca="false">'Acquired Pool'!G36*'Acquired Pool'!G22/1000000</f>
        <v>0</v>
      </c>
      <c r="H37" s="1" t="n">
        <f aca="false">'Acquired Pool'!H36*'Acquired Pool'!H22/1000000</f>
        <v>0</v>
      </c>
      <c r="I37" s="1" t="n">
        <f aca="false">'Acquired Pool'!I36*'Acquired Pool'!I22/1000000</f>
        <v>0</v>
      </c>
    </row>
    <row r="38" customFormat="false" ht="15" hidden="false" customHeight="true" outlineLevel="0" collapsed="false">
      <c r="C38" s="1" t="s">
        <v>1832</v>
      </c>
      <c r="E38" s="1" t="n">
        <f aca="false">'Acquired Pool'!E37*Drivers!$C$128</f>
        <v>0</v>
      </c>
      <c r="F38" s="1" t="n">
        <f aca="false">'Acquired Pool'!F37*Drivers!$C$128</f>
        <v>0</v>
      </c>
      <c r="G38" s="1" t="n">
        <f aca="false">'Acquired Pool'!G37*Drivers!$C$128</f>
        <v>0</v>
      </c>
      <c r="H38" s="1" t="n">
        <f aca="false">'Acquired Pool'!H37*Drivers!$C$128</f>
        <v>0</v>
      </c>
      <c r="I38" s="1" t="n">
        <f aca="false">'Acquired Pool'!I37*Drivers!$C$128</f>
        <v>0</v>
      </c>
    </row>
    <row r="39" customFormat="false" ht="15" hidden="false" customHeight="true" outlineLevel="0" collapsed="false">
      <c r="C39" s="1" t="s">
        <v>1833</v>
      </c>
      <c r="E39" s="1" t="n">
        <f aca="false">'Acquired Pool'!E37-'Acquired Pool'!E38</f>
        <v>0</v>
      </c>
      <c r="F39" s="1" t="n">
        <f aca="false">'Acquired Pool'!F37-'Acquired Pool'!F38</f>
        <v>0</v>
      </c>
      <c r="G39" s="1" t="n">
        <f aca="false">'Acquired Pool'!G37-'Acquired Pool'!G38</f>
        <v>0</v>
      </c>
      <c r="H39" s="1" t="n">
        <f aca="false">'Acquired Pool'!H37-'Acquired Pool'!H38</f>
        <v>0</v>
      </c>
      <c r="I39" s="1" t="n">
        <f aca="false">'Acquired Pool'!I37-'Acquired Pool'!I38</f>
        <v>0</v>
      </c>
    </row>
    <row r="40" customFormat="false" ht="15" hidden="false" customHeight="true" outlineLevel="0" collapsed="false">
      <c r="C40" s="1" t="s">
        <v>1834</v>
      </c>
      <c r="E40" s="1" t="n">
        <f aca="false">'Acquired Pool'!E39*Drivers!$C$251</f>
        <v>0</v>
      </c>
      <c r="F40" s="1" t="n">
        <f aca="false">'Acquired Pool'!F39*Drivers!$C$251</f>
        <v>0</v>
      </c>
      <c r="G40" s="1" t="n">
        <f aca="false">'Acquired Pool'!G39*Drivers!$C$251</f>
        <v>0</v>
      </c>
      <c r="H40" s="1" t="n">
        <f aca="false">'Acquired Pool'!H39*Drivers!$C$251</f>
        <v>0</v>
      </c>
      <c r="I40" s="1" t="n">
        <f aca="false">'Acquired Pool'!I39*Drivers!$C$251</f>
        <v>0</v>
      </c>
    </row>
  </sheetData>
  <mergeCells count="1">
    <mergeCell ref="C13:P1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P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3" topLeftCell="D14" activePane="bottomRight" state="frozen"/>
      <selection pane="topLeft" activeCell="A1" activeCellId="0" sqref="A1"/>
      <selection pane="topRight" activeCell="D1" activeCellId="0" sqref="D1"/>
      <selection pane="bottomLeft" activeCell="A14" activeCellId="0" sqref="A14"/>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1" width="1.7"/>
    <col collapsed="false" customWidth="true" hidden="false" outlineLevel="0" max="3" min="3" style="1" width="46"/>
    <col collapsed="false" customWidth="true" hidden="false" outlineLevel="0" max="15" min="4" style="1" width="12.3"/>
    <col collapsed="false" customWidth="true" hidden="false" outlineLevel="0" max="16" min="16" style="1" width="26"/>
  </cols>
  <sheetData>
    <row r="2" customFormat="false" ht="21.75" hidden="false" customHeight="true" outlineLevel="0" collapsed="false">
      <c r="C2" s="46" t="str">
        <f aca="false">"Financial Statement Model - "&amp;Cover!$D$5</f>
        <v>Financial Statement Model - GATX Corporation</v>
      </c>
      <c r="D2" s="47"/>
      <c r="E2" s="47"/>
      <c r="F2" s="47"/>
      <c r="G2" s="47"/>
      <c r="H2" s="47"/>
      <c r="I2" s="47"/>
      <c r="J2" s="47"/>
      <c r="K2" s="47"/>
      <c r="L2" s="47"/>
      <c r="M2" s="47"/>
      <c r="N2" s="47"/>
      <c r="O2" s="47"/>
      <c r="P2" s="47"/>
    </row>
    <row r="3" customFormat="false" ht="15" hidden="false" customHeight="true" outlineLevel="0" collapsed="false">
      <c r="C3" s="48" t="s">
        <v>1</v>
      </c>
    </row>
    <row r="5" customFormat="false" ht="15" hidden="false" customHeight="true" outlineLevel="0" collapsed="false">
      <c r="C5" s="4" t="s">
        <v>2</v>
      </c>
      <c r="D5" s="49" t="str">
        <f aca="false">Cover!$D$5</f>
        <v>GATX Corporation</v>
      </c>
    </row>
    <row r="6" customFormat="false" ht="15" hidden="false" customHeight="true" outlineLevel="0" collapsed="false">
      <c r="C6" s="4" t="s">
        <v>4</v>
      </c>
      <c r="D6" s="49" t="str">
        <f aca="false">Cover!$D$6</f>
        <v>GATX</v>
      </c>
    </row>
    <row r="7" customFormat="false" ht="15" hidden="false" customHeight="true" outlineLevel="0" collapsed="false">
      <c r="C7" s="4" t="s">
        <v>1551</v>
      </c>
      <c r="D7" s="49" t="n">
        <f aca="false">Cover!$D$7</f>
        <v>1</v>
      </c>
    </row>
    <row r="8" customFormat="false" ht="15" hidden="false" customHeight="true" outlineLevel="0" collapsed="false">
      <c r="C8" s="4" t="s">
        <v>7</v>
      </c>
      <c r="D8" s="6" t="n">
        <f aca="false">Cover!$D$8</f>
        <v>162.78</v>
      </c>
    </row>
    <row r="9" customFormat="false" ht="15" hidden="false" customHeight="true" outlineLevel="0" collapsed="false">
      <c r="C9" s="4" t="s">
        <v>8</v>
      </c>
      <c r="D9" s="50" t="n">
        <f aca="false">Cover!$D$9</f>
        <v>46303</v>
      </c>
    </row>
    <row r="10" customFormat="false" ht="15" hidden="false" customHeight="true" outlineLevel="0" collapsed="false">
      <c r="C10" s="4" t="s">
        <v>9</v>
      </c>
      <c r="D10" s="50" t="n">
        <f aca="false">Cover!$D$10</f>
        <v>46022</v>
      </c>
    </row>
    <row r="11" customFormat="false" ht="15" hidden="false" customHeight="true" outlineLevel="0" collapsed="false">
      <c r="C11" s="4" t="s">
        <v>1552</v>
      </c>
      <c r="D11" s="8" t="n">
        <f aca="false">Cover!$D$11</f>
        <v>35.8</v>
      </c>
    </row>
    <row r="13" customFormat="false" ht="15" hidden="false" customHeight="true" outlineLevel="0" collapsed="false">
      <c r="C13" s="51" t="s">
        <v>1835</v>
      </c>
      <c r="D13" s="51"/>
      <c r="E13" s="51"/>
      <c r="F13" s="51"/>
      <c r="G13" s="51"/>
      <c r="H13" s="51"/>
      <c r="I13" s="51"/>
      <c r="J13" s="51"/>
      <c r="K13" s="51"/>
      <c r="L13" s="51"/>
      <c r="M13" s="51"/>
      <c r="N13" s="51"/>
      <c r="O13" s="51"/>
      <c r="P13" s="51"/>
    </row>
    <row r="14" customFormat="false" ht="14.25" hidden="false" customHeight="true" outlineLevel="0" collapsed="false">
      <c r="C14" s="11" t="s">
        <v>1836</v>
      </c>
      <c r="D14" s="11"/>
      <c r="E14" s="11"/>
      <c r="F14" s="11"/>
      <c r="G14" s="11"/>
      <c r="H14" s="11"/>
      <c r="I14" s="11"/>
      <c r="J14" s="11"/>
      <c r="K14" s="11"/>
      <c r="L14" s="11"/>
      <c r="M14" s="11"/>
      <c r="N14" s="11"/>
      <c r="O14" s="11"/>
      <c r="P14" s="11"/>
    </row>
    <row r="15" customFormat="false" ht="14.25" hidden="false" customHeight="true" outlineLevel="0" collapsed="false">
      <c r="C15" s="11" t="s">
        <v>1837</v>
      </c>
      <c r="D15" s="11"/>
      <c r="E15" s="11"/>
      <c r="F15" s="11"/>
      <c r="G15" s="11"/>
      <c r="H15" s="11"/>
      <c r="I15" s="11"/>
      <c r="J15" s="11"/>
      <c r="K15" s="11"/>
      <c r="L15" s="11"/>
      <c r="M15" s="11"/>
      <c r="N15" s="11"/>
      <c r="O15" s="11"/>
      <c r="P15" s="11"/>
    </row>
    <row r="16" customFormat="false" ht="14.25" hidden="false" customHeight="true" outlineLevel="0" collapsed="false">
      <c r="A16" s="22" t="s">
        <v>11</v>
      </c>
      <c r="C16" s="71" t="s">
        <v>1838</v>
      </c>
      <c r="D16" s="54"/>
      <c r="E16" s="54"/>
      <c r="F16" s="54"/>
      <c r="G16" s="54"/>
      <c r="H16" s="54"/>
      <c r="I16" s="54"/>
      <c r="J16" s="54"/>
      <c r="K16" s="54"/>
      <c r="L16" s="54"/>
      <c r="M16" s="54"/>
      <c r="N16" s="54"/>
      <c r="O16" s="54"/>
      <c r="P16" s="54"/>
    </row>
    <row r="17" customFormat="false" ht="14.25" hidden="false" customHeight="true" outlineLevel="0" collapsed="false">
      <c r="C17" s="11" t="s">
        <v>1839</v>
      </c>
      <c r="D17" s="11"/>
      <c r="E17" s="11"/>
      <c r="F17" s="11"/>
      <c r="G17" s="11"/>
      <c r="H17" s="11"/>
      <c r="I17" s="11"/>
      <c r="J17" s="11"/>
      <c r="K17" s="11"/>
      <c r="L17" s="11"/>
      <c r="M17" s="11"/>
      <c r="N17" s="11"/>
      <c r="O17" s="11"/>
      <c r="P17" s="11"/>
    </row>
    <row r="18" customFormat="false" ht="14.25" hidden="false" customHeight="true" outlineLevel="0" collapsed="false">
      <c r="C18" s="11"/>
      <c r="D18" s="11"/>
      <c r="E18" s="11"/>
      <c r="F18" s="11"/>
      <c r="G18" s="11"/>
      <c r="H18" s="11"/>
      <c r="I18" s="11"/>
      <c r="J18" s="11"/>
      <c r="K18" s="11"/>
      <c r="L18" s="11"/>
      <c r="M18" s="11"/>
      <c r="N18" s="11"/>
      <c r="O18" s="11"/>
      <c r="P18" s="11"/>
    </row>
    <row r="19" customFormat="false" ht="14.25" hidden="false" customHeight="true" outlineLevel="0" collapsed="false">
      <c r="C19" s="11"/>
      <c r="D19" s="58" t="s">
        <v>1840</v>
      </c>
      <c r="E19" s="58" t="s">
        <v>1841</v>
      </c>
      <c r="F19" s="58" t="s">
        <v>1842</v>
      </c>
      <c r="G19" s="58" t="s">
        <v>1843</v>
      </c>
      <c r="H19" s="58" t="s">
        <v>1844</v>
      </c>
      <c r="I19" s="11" t="s">
        <v>1845</v>
      </c>
      <c r="J19" s="11" t="s">
        <v>1846</v>
      </c>
      <c r="K19" s="11" t="s">
        <v>1847</v>
      </c>
      <c r="L19" s="11" t="s">
        <v>1848</v>
      </c>
      <c r="M19" s="11" t="s">
        <v>1849</v>
      </c>
      <c r="N19" s="11" t="s">
        <v>1850</v>
      </c>
      <c r="O19" s="11" t="s">
        <v>1851</v>
      </c>
      <c r="P19" s="11" t="s">
        <v>1852</v>
      </c>
    </row>
    <row r="20" customFormat="false" ht="14.25" hidden="false" customHeight="true" outlineLevel="0" collapsed="false">
      <c r="C20" s="17" t="s">
        <v>1642</v>
      </c>
      <c r="D20" s="42" t="n">
        <f aca="false">Drivers!$C$61</f>
        <v>136.6</v>
      </c>
      <c r="E20" s="42" t="n">
        <f aca="false">Drivers!$C$67</f>
        <v>271.5</v>
      </c>
      <c r="F20" s="32" t="n">
        <f aca="false">E20-D20</f>
        <v>134.9</v>
      </c>
      <c r="G20" s="32" t="n">
        <f aca="false">F20+D20*3</f>
        <v>544.7</v>
      </c>
      <c r="H20" s="42" t="n">
        <f aca="false">'Acquired Pool'!F23</f>
        <v>563.3625</v>
      </c>
      <c r="I20" s="42" t="n">
        <f aca="false">'Acquired Pool'!G23</f>
        <v>577.4465625</v>
      </c>
      <c r="J20" s="42" t="n">
        <f aca="false">'Acquired Pool'!H23</f>
        <v>584.66464453125</v>
      </c>
      <c r="K20" s="42" t="n">
        <f aca="false">'Acquired Pool'!I23</f>
        <v>581.741321308594</v>
      </c>
      <c r="L20" s="42" t="n">
        <f aca="false">'Acquired Pool'!J23</f>
        <v>590.496528194288</v>
      </c>
      <c r="M20" s="42" t="n">
        <f aca="false">'Acquired Pool'!K23</f>
        <v>599.383500943612</v>
      </c>
      <c r="N20" s="42" t="n">
        <f aca="false">'Acquired Pool'!L23</f>
        <v>608.404222632813</v>
      </c>
      <c r="O20" s="42" t="n">
        <f aca="false">'Acquired Pool'!M23</f>
        <v>617.560706183437</v>
      </c>
      <c r="P20" s="42" t="n">
        <f aca="false">'Acquired Pool'!N23</f>
        <v>626.854994811498</v>
      </c>
    </row>
    <row r="21" customFormat="false" ht="14.25" hidden="false" customHeight="true" outlineLevel="0" collapsed="false">
      <c r="C21" s="17" t="s">
        <v>1853</v>
      </c>
      <c r="D21" s="42" t="n">
        <f aca="false">Drivers!$C$62</f>
        <v>-108.6</v>
      </c>
      <c r="E21" s="42" t="n">
        <f aca="false">Drivers!$C$68</f>
        <v>-208.8</v>
      </c>
      <c r="F21" s="32" t="n">
        <f aca="false">E21-D21</f>
        <v>-100.2</v>
      </c>
      <c r="G21" s="32" t="n">
        <f aca="false">F21+D21*3</f>
        <v>-426</v>
      </c>
      <c r="H21" s="32" t="n">
        <f aca="false">D21*4</f>
        <v>-434.4</v>
      </c>
      <c r="I21" s="32" t="n">
        <f aca="false">H21</f>
        <v>-434.4</v>
      </c>
      <c r="J21" s="32" t="n">
        <f aca="false">H21</f>
        <v>-434.4</v>
      </c>
      <c r="K21" s="32" t="n">
        <f aca="false">H21</f>
        <v>-434.4</v>
      </c>
      <c r="L21" s="32" t="n">
        <f aca="false">K21</f>
        <v>-434.4</v>
      </c>
      <c r="M21" s="32" t="n">
        <f aca="false">L21</f>
        <v>-434.4</v>
      </c>
      <c r="N21" s="32" t="n">
        <f aca="false">M21</f>
        <v>-434.4</v>
      </c>
      <c r="O21" s="32" t="n">
        <f aca="false">N21</f>
        <v>-434.4</v>
      </c>
      <c r="P21" s="32" t="n">
        <f aca="false">O21</f>
        <v>-434.4</v>
      </c>
    </row>
    <row r="22" customFormat="false" ht="14.25" hidden="false" customHeight="true" outlineLevel="0" collapsed="false">
      <c r="C22" s="17" t="s">
        <v>1854</v>
      </c>
      <c r="D22" s="42" t="n">
        <f aca="false">Drivers!$C$63</f>
        <v>21.9</v>
      </c>
      <c r="E22" s="42" t="n">
        <f aca="false">Drivers!$C$69</f>
        <v>23.9</v>
      </c>
      <c r="F22" s="32" t="n">
        <f aca="false">E22-D22</f>
        <v>2</v>
      </c>
      <c r="G22" s="42" t="n">
        <f aca="false">Drivers!$C$57</f>
        <v>70</v>
      </c>
      <c r="H22" s="42" t="n">
        <f aca="false">Drivers!$C$59</f>
        <v>70</v>
      </c>
      <c r="I22" s="42" t="n">
        <f aca="false">Drivers!$C$243</f>
        <v>69.999264</v>
      </c>
      <c r="J22" s="42" t="n">
        <f aca="false">Drivers!$C$244</f>
        <v>69.999264</v>
      </c>
      <c r="K22" s="42" t="n">
        <f aca="false">Drivers!$C$245</f>
        <v>69.999264</v>
      </c>
      <c r="L22" s="42" t="n">
        <f aca="false">K22*(1+Drivers!$C$397)</f>
        <v>72.44923824</v>
      </c>
      <c r="M22" s="42" t="n">
        <f aca="false">L22*(1+Drivers!$C$397)</f>
        <v>74.9849615784</v>
      </c>
      <c r="N22" s="42" t="n">
        <f aca="false">M22*(1+Drivers!$C$397)</f>
        <v>77.609435233644</v>
      </c>
      <c r="O22" s="42" t="n">
        <f aca="false">N22*(1+Drivers!$C$397)</f>
        <v>80.3257654668215</v>
      </c>
      <c r="P22" s="42" t="n">
        <f aca="false">O22*(1+Drivers!$C$397)</f>
        <v>83.1371672581603</v>
      </c>
    </row>
    <row r="23" customFormat="false" ht="14.25" hidden="false" customHeight="true" outlineLevel="0" collapsed="false">
      <c r="C23" s="17" t="s">
        <v>1855</v>
      </c>
      <c r="D23" s="42" t="n">
        <f aca="false">Drivers!$C$64</f>
        <v>-36.6</v>
      </c>
      <c r="E23" s="42" t="n">
        <f aca="false">Drivers!$C$70</f>
        <v>-80.5</v>
      </c>
      <c r="F23" s="32" t="n">
        <f aca="false">E23-D23</f>
        <v>-43.9</v>
      </c>
      <c r="G23" s="32" t="n">
        <f aca="false">F23+D23*3</f>
        <v>-153.7</v>
      </c>
      <c r="H23" s="32" t="n">
        <f aca="false">D23*4</f>
        <v>-146.4</v>
      </c>
      <c r="I23" s="32" t="n">
        <f aca="false">H23</f>
        <v>-146.4</v>
      </c>
      <c r="J23" s="32" t="n">
        <f aca="false">H23</f>
        <v>-146.4</v>
      </c>
      <c r="K23" s="32" t="n">
        <f aca="false">H23</f>
        <v>-146.4</v>
      </c>
      <c r="L23" s="32" t="n">
        <f aca="false">K23</f>
        <v>-146.4</v>
      </c>
      <c r="M23" s="32" t="n">
        <f aca="false">L23</f>
        <v>-146.4</v>
      </c>
      <c r="N23" s="32" t="n">
        <f aca="false">M23</f>
        <v>-146.4</v>
      </c>
      <c r="O23" s="32" t="n">
        <f aca="false">N23</f>
        <v>-146.4</v>
      </c>
      <c r="P23" s="32" t="n">
        <f aca="false">O23</f>
        <v>-146.4</v>
      </c>
    </row>
    <row r="24" customFormat="false" ht="14.25" hidden="false" customHeight="true" outlineLevel="0" collapsed="false">
      <c r="C24" s="55" t="s">
        <v>1856</v>
      </c>
      <c r="D24" s="62" t="n">
        <f aca="false">D20+D21+D22+D23</f>
        <v>13.3</v>
      </c>
      <c r="E24" s="62" t="n">
        <f aca="false">E20+E21+E22+E23</f>
        <v>6.09999999999999</v>
      </c>
      <c r="F24" s="62" t="n">
        <f aca="false">F20+F21+F22+F23</f>
        <v>-7.20000000000001</v>
      </c>
      <c r="G24" s="62" t="n">
        <f aca="false">G20+G21+G22+G23</f>
        <v>34.9999999999999</v>
      </c>
      <c r="H24" s="62" t="n">
        <f aca="false">H20+H21+H22+H23</f>
        <v>52.5625</v>
      </c>
      <c r="I24" s="32" t="n">
        <f aca="false">I20+I21+I22+I23</f>
        <v>66.6458265</v>
      </c>
      <c r="J24" s="32" t="n">
        <f aca="false">J20+J21+J22+J23</f>
        <v>73.86390853125</v>
      </c>
      <c r="K24" s="32" t="n">
        <f aca="false">K20+K21+K22+K23</f>
        <v>70.9405853085938</v>
      </c>
      <c r="L24" s="32" t="n">
        <f aca="false">L20+L21+L22+L23</f>
        <v>82.145766434288</v>
      </c>
      <c r="M24" s="32" t="n">
        <f aca="false">M20+M21+M22+M23</f>
        <v>93.568462522012</v>
      </c>
      <c r="N24" s="32" t="n">
        <f aca="false">N20+N21+N22+N23</f>
        <v>105.213657866457</v>
      </c>
      <c r="O24" s="32" t="n">
        <f aca="false">O20+O21+O22+O23</f>
        <v>117.086471650259</v>
      </c>
      <c r="P24" s="32" t="n">
        <f aca="false">P20+P21+P22+P23</f>
        <v>129.192162069658</v>
      </c>
    </row>
    <row r="25" customFormat="false" ht="14.25" hidden="false" customHeight="true" outlineLevel="0" collapsed="false">
      <c r="C25" s="17" t="s">
        <v>1577</v>
      </c>
      <c r="D25" s="42" t="n">
        <f aca="false">Drivers!$C$65</f>
        <v>-2.5</v>
      </c>
      <c r="E25" s="42" t="n">
        <f aca="false">Drivers!$C$71</f>
        <v>-4.4</v>
      </c>
      <c r="F25" s="32" t="n">
        <f aca="false">E25-D25</f>
        <v>-1.9</v>
      </c>
      <c r="G25" s="32" t="n">
        <f aca="false">F25+D25*3</f>
        <v>-9.4</v>
      </c>
      <c r="H25" s="32" t="n">
        <f aca="false">D25*4</f>
        <v>-10</v>
      </c>
      <c r="I25" s="32" t="n">
        <f aca="false">H25</f>
        <v>-10</v>
      </c>
      <c r="J25" s="32" t="n">
        <f aca="false">H25</f>
        <v>-10</v>
      </c>
      <c r="K25" s="32" t="n">
        <f aca="false">H25</f>
        <v>-10</v>
      </c>
      <c r="L25" s="32" t="n">
        <f aca="false">K25</f>
        <v>-10</v>
      </c>
      <c r="M25" s="32" t="n">
        <f aca="false">L25</f>
        <v>-10</v>
      </c>
      <c r="N25" s="32" t="n">
        <f aca="false">M25</f>
        <v>-10</v>
      </c>
      <c r="O25" s="32" t="n">
        <f aca="false">N25</f>
        <v>-10</v>
      </c>
      <c r="P25" s="32" t="n">
        <f aca="false">O25</f>
        <v>-10</v>
      </c>
    </row>
    <row r="26" customFormat="false" ht="14.25" hidden="false" customHeight="true" outlineLevel="0" collapsed="false">
      <c r="C26" s="55" t="s">
        <v>1857</v>
      </c>
      <c r="D26" s="62" t="n">
        <f aca="false">D24+D25</f>
        <v>10.8</v>
      </c>
      <c r="E26" s="62" t="n">
        <f aca="false">E24+E25</f>
        <v>1.69999999999999</v>
      </c>
      <c r="F26" s="62" t="n">
        <f aca="false">F24+F25</f>
        <v>-9.10000000000001</v>
      </c>
      <c r="G26" s="62" t="n">
        <f aca="false">G24+G25</f>
        <v>25.5999999999999</v>
      </c>
      <c r="H26" s="62" t="n">
        <f aca="false">H24+H25</f>
        <v>42.5625</v>
      </c>
      <c r="I26" s="32" t="n">
        <f aca="false">I24+I25</f>
        <v>56.6458265</v>
      </c>
      <c r="J26" s="32" t="n">
        <f aca="false">J24+J25</f>
        <v>63.86390853125</v>
      </c>
      <c r="K26" s="32" t="n">
        <f aca="false">K24+K25</f>
        <v>60.9405853085938</v>
      </c>
      <c r="L26" s="32" t="n">
        <f aca="false">L24+L25</f>
        <v>72.145766434288</v>
      </c>
      <c r="M26" s="32" t="n">
        <f aca="false">M24+M25</f>
        <v>83.568462522012</v>
      </c>
      <c r="N26" s="32" t="n">
        <f aca="false">N24+N25</f>
        <v>95.2136578664572</v>
      </c>
      <c r="O26" s="32" t="n">
        <f aca="false">O24+O25</f>
        <v>107.086471650259</v>
      </c>
      <c r="P26" s="32" t="n">
        <f aca="false">P24+P25</f>
        <v>119.192162069658</v>
      </c>
    </row>
    <row r="27" customFormat="false" ht="14.25" hidden="false" customHeight="true" outlineLevel="0" collapsed="false">
      <c r="C27" s="55" t="s">
        <v>1858</v>
      </c>
      <c r="D27" s="86" t="n">
        <f aca="false">D26*D30</f>
        <v>7.56</v>
      </c>
      <c r="E27" s="86" t="n">
        <f aca="false">E26*E30</f>
        <v>1.19</v>
      </c>
      <c r="F27" s="86" t="n">
        <f aca="false">F26*F30</f>
        <v>-6.37000000000001</v>
      </c>
      <c r="G27" s="86" t="n">
        <f aca="false">G26*G30</f>
        <v>17.0150399999999</v>
      </c>
      <c r="H27" s="86" t="n">
        <f aca="false">H26*H30</f>
        <v>25.309790625</v>
      </c>
      <c r="I27" s="34" t="n">
        <f aca="false">I26*I30</f>
        <v>29.719232873225</v>
      </c>
      <c r="J27" s="34" t="n">
        <f aca="false">J26*J30</f>
        <v>29.0357260137328</v>
      </c>
      <c r="K27" s="34" t="n">
        <f aca="false">K26*K30</f>
        <v>23.4407961389506</v>
      </c>
      <c r="L27" s="34" t="n">
        <f aca="false">L26*L30</f>
        <v>22.7006654085487</v>
      </c>
      <c r="M27" s="34" t="n">
        <f aca="false">M26*M30</f>
        <v>20.4450243560102</v>
      </c>
      <c r="N27" s="34" t="n">
        <f aca="false">N26*N30</f>
        <v>16.6290653463767</v>
      </c>
      <c r="O27" s="34" t="n">
        <f aca="false">O26*O30</f>
        <v>11.2065992581995</v>
      </c>
      <c r="P27" s="87" t="n">
        <f aca="false">P26*P30</f>
        <v>4.1300084157136</v>
      </c>
    </row>
    <row r="28" customFormat="false" ht="14.25" hidden="false" customHeight="true" outlineLevel="0" collapsed="false">
      <c r="C28" s="11"/>
      <c r="D28" s="11"/>
      <c r="E28" s="11"/>
      <c r="F28" s="11"/>
      <c r="G28" s="11"/>
      <c r="H28" s="11"/>
      <c r="I28" s="11"/>
      <c r="J28" s="11"/>
      <c r="K28" s="11"/>
      <c r="L28" s="11"/>
      <c r="M28" s="11"/>
      <c r="N28" s="11"/>
      <c r="O28" s="11"/>
      <c r="P28" s="11"/>
    </row>
    <row r="29" customFormat="false" ht="14.25" hidden="false" customHeight="true" outlineLevel="0" collapsed="false">
      <c r="C29" s="11" t="s">
        <v>1859</v>
      </c>
      <c r="D29" s="41" t="n">
        <f aca="false">Drivers!$C$248</f>
        <v>0.3</v>
      </c>
      <c r="E29" s="41" t="n">
        <f aca="false">Drivers!$C$248</f>
        <v>0.3</v>
      </c>
      <c r="F29" s="41" t="n">
        <f aca="false">Drivers!$C$248</f>
        <v>0.3</v>
      </c>
      <c r="G29" s="41" t="n">
        <f aca="false">Drivers!$C$251</f>
        <v>0.33535</v>
      </c>
      <c r="H29" s="41" t="n">
        <f aca="false">Drivers!$C$252</f>
        <v>0.40535</v>
      </c>
      <c r="I29" s="41" t="n">
        <f aca="false">Drivers!$C$253</f>
        <v>0.47535</v>
      </c>
      <c r="J29" s="41" t="n">
        <f aca="false">Drivers!$C$254</f>
        <v>0.54535</v>
      </c>
      <c r="K29" s="41" t="n">
        <f aca="false">Drivers!$C$255</f>
        <v>0.61535</v>
      </c>
      <c r="L29" s="41" t="n">
        <f aca="false">Drivers!$C$488</f>
        <v>0.68535</v>
      </c>
      <c r="M29" s="41" t="n">
        <f aca="false">Drivers!$C$489</f>
        <v>0.75535</v>
      </c>
      <c r="N29" s="41" t="n">
        <f aca="false">Drivers!$C$490</f>
        <v>0.82535</v>
      </c>
      <c r="O29" s="41" t="n">
        <f aca="false">Drivers!$C$491</f>
        <v>0.89535</v>
      </c>
      <c r="P29" s="41" t="n">
        <f aca="false">Drivers!$C$492</f>
        <v>0.96535</v>
      </c>
    </row>
    <row r="30" customFormat="false" ht="14.25" hidden="false" customHeight="true" outlineLevel="0" collapsed="false">
      <c r="C30" s="11" t="s">
        <v>1860</v>
      </c>
      <c r="D30" s="34" t="n">
        <f aca="false">1-D29</f>
        <v>0.7</v>
      </c>
      <c r="E30" s="34" t="n">
        <f aca="false">1-E29</f>
        <v>0.7</v>
      </c>
      <c r="F30" s="34" t="n">
        <f aca="false">1-F29</f>
        <v>0.7</v>
      </c>
      <c r="G30" s="34" t="n">
        <f aca="false">1-G29</f>
        <v>0.66465</v>
      </c>
      <c r="H30" s="34" t="n">
        <f aca="false">1-H29</f>
        <v>0.59465</v>
      </c>
      <c r="I30" s="34" t="n">
        <f aca="false">1-I29</f>
        <v>0.52465</v>
      </c>
      <c r="J30" s="34" t="n">
        <f aca="false">1-J29</f>
        <v>0.45465</v>
      </c>
      <c r="K30" s="34" t="n">
        <f aca="false">1-K29</f>
        <v>0.38465</v>
      </c>
      <c r="L30" s="34" t="n">
        <f aca="false">1-L29</f>
        <v>0.31465</v>
      </c>
      <c r="M30" s="34" t="n">
        <f aca="false">1-M29</f>
        <v>0.24465</v>
      </c>
      <c r="N30" s="34" t="n">
        <f aca="false">1-N29</f>
        <v>0.17465</v>
      </c>
      <c r="O30" s="34" t="n">
        <f aca="false">1-O29</f>
        <v>0.10465</v>
      </c>
      <c r="P30" s="34" t="n">
        <f aca="false">1-P29</f>
        <v>0.0346499999999996</v>
      </c>
    </row>
    <row r="31" customFormat="false" ht="14.25" hidden="false" customHeight="true" outlineLevel="0" collapsed="false">
      <c r="C31" s="11" t="s">
        <v>1861</v>
      </c>
      <c r="D31" s="11"/>
      <c r="E31" s="11"/>
      <c r="F31" s="11"/>
      <c r="G31" s="42" t="n">
        <f aca="false">IF(G30&gt;0,Drivers!$C$258,0)</f>
        <v>66.2</v>
      </c>
      <c r="H31" s="42" t="n">
        <f aca="false">IF(H30&gt;0,Drivers!$C$259,0)</f>
        <v>131.089108910891</v>
      </c>
      <c r="I31" s="42" t="n">
        <f aca="false">IF(I30&gt;0,Drivers!$C$259,0)</f>
        <v>131.089108910891</v>
      </c>
      <c r="J31" s="42" t="n">
        <f aca="false">IF(J30&gt;0,Drivers!$C$259,0)</f>
        <v>131.089108910891</v>
      </c>
      <c r="K31" s="42" t="n">
        <f aca="false">IF(K30&gt;0,Drivers!$C$259,0)</f>
        <v>131.089108910891</v>
      </c>
      <c r="L31" s="42" t="n">
        <f aca="false">IF(L30&gt;0,Drivers!$C$493,0)</f>
        <v>131.089108910891</v>
      </c>
      <c r="M31" s="42" t="n">
        <f aca="false">IF(M30&gt;0,Drivers!$C$494,0)</f>
        <v>131.089108910891</v>
      </c>
      <c r="N31" s="42" t="n">
        <f aca="false">IF(N30&gt;0,Drivers!$C$495,0)</f>
        <v>131.089108910891</v>
      </c>
      <c r="O31" s="42" t="n">
        <f aca="false">IF(O30&gt;0,Drivers!$C$496,0)</f>
        <v>131.089108910891</v>
      </c>
      <c r="P31" s="42" t="n">
        <f aca="false">IF(P30&gt;0,Drivers!$C$497,0)</f>
        <v>131.089108910891</v>
      </c>
    </row>
    <row r="32" customFormat="false" ht="14.25" hidden="false" customHeight="true" outlineLevel="0" collapsed="false">
      <c r="C32" s="11" t="s">
        <v>1862</v>
      </c>
      <c r="D32" s="11"/>
      <c r="E32" s="11"/>
      <c r="F32" s="11"/>
      <c r="G32" s="11"/>
      <c r="H32" s="11"/>
      <c r="I32" s="11"/>
      <c r="J32" s="11"/>
      <c r="K32" s="11"/>
      <c r="L32" s="11"/>
      <c r="M32" s="11"/>
      <c r="N32" s="11"/>
      <c r="O32" s="11"/>
      <c r="P32" s="11"/>
    </row>
  </sheetData>
  <mergeCells count="1">
    <mergeCell ref="C13:P1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P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3" topLeftCell="D14" activePane="bottomRight" state="frozen"/>
      <selection pane="topLeft" activeCell="A1" activeCellId="0" sqref="A1"/>
      <selection pane="topRight" activeCell="D1" activeCellId="0" sqref="D1"/>
      <selection pane="bottomLeft" activeCell="A14" activeCellId="0" sqref="A14"/>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1" width="1.7"/>
    <col collapsed="false" customWidth="true" hidden="false" outlineLevel="0" max="3" min="3" style="1" width="46"/>
    <col collapsed="false" customWidth="true" hidden="false" outlineLevel="0" max="16" min="4" style="1" width="12.3"/>
  </cols>
  <sheetData>
    <row r="2" customFormat="false" ht="21.75" hidden="false" customHeight="true" outlineLevel="0" collapsed="false">
      <c r="C2" s="46" t="str">
        <f aca="false">"Financial Statement Model - "&amp;Cover!$D$5</f>
        <v>Financial Statement Model - GATX Corporation</v>
      </c>
      <c r="D2" s="47"/>
      <c r="E2" s="47"/>
      <c r="F2" s="47"/>
      <c r="G2" s="47"/>
      <c r="H2" s="47"/>
      <c r="I2" s="47"/>
      <c r="J2" s="47"/>
      <c r="K2" s="47"/>
      <c r="L2" s="47"/>
      <c r="M2" s="47"/>
      <c r="N2" s="47"/>
      <c r="O2" s="47"/>
      <c r="P2" s="47"/>
    </row>
    <row r="3" customFormat="false" ht="15" hidden="false" customHeight="true" outlineLevel="0" collapsed="false">
      <c r="C3" s="48" t="s">
        <v>1</v>
      </c>
    </row>
    <row r="5" customFormat="false" ht="15" hidden="false" customHeight="true" outlineLevel="0" collapsed="false">
      <c r="C5" s="4" t="s">
        <v>2</v>
      </c>
      <c r="D5" s="49" t="str">
        <f aca="false">Cover!$D$5</f>
        <v>GATX Corporation</v>
      </c>
    </row>
    <row r="6" customFormat="false" ht="15" hidden="false" customHeight="true" outlineLevel="0" collapsed="false">
      <c r="C6" s="4" t="s">
        <v>4</v>
      </c>
      <c r="D6" s="49" t="str">
        <f aca="false">Cover!$D$6</f>
        <v>GATX</v>
      </c>
    </row>
    <row r="7" customFormat="false" ht="15" hidden="false" customHeight="true" outlineLevel="0" collapsed="false">
      <c r="C7" s="4" t="s">
        <v>1551</v>
      </c>
      <c r="D7" s="49" t="n">
        <f aca="false">Cover!$D$7</f>
        <v>1</v>
      </c>
    </row>
    <row r="8" customFormat="false" ht="15" hidden="false" customHeight="true" outlineLevel="0" collapsed="false">
      <c r="C8" s="4" t="s">
        <v>7</v>
      </c>
      <c r="D8" s="6" t="n">
        <f aca="false">Cover!$D$8</f>
        <v>162.78</v>
      </c>
    </row>
    <row r="9" customFormat="false" ht="15" hidden="false" customHeight="true" outlineLevel="0" collapsed="false">
      <c r="C9" s="4" t="s">
        <v>8</v>
      </c>
      <c r="D9" s="50" t="n">
        <f aca="false">Cover!$D$9</f>
        <v>46303</v>
      </c>
    </row>
    <row r="10" customFormat="false" ht="15" hidden="false" customHeight="true" outlineLevel="0" collapsed="false">
      <c r="C10" s="4" t="s">
        <v>9</v>
      </c>
      <c r="D10" s="50" t="n">
        <f aca="false">Cover!$D$10</f>
        <v>46022</v>
      </c>
    </row>
    <row r="11" customFormat="false" ht="15" hidden="false" customHeight="true" outlineLevel="0" collapsed="false">
      <c r="C11" s="4" t="s">
        <v>1552</v>
      </c>
      <c r="D11" s="8" t="n">
        <f aca="false">Cover!$D$11</f>
        <v>35.8</v>
      </c>
    </row>
    <row r="13" customFormat="false" ht="15" hidden="false" customHeight="true" outlineLevel="0" collapsed="false">
      <c r="C13" s="51" t="s">
        <v>1863</v>
      </c>
      <c r="D13" s="51"/>
      <c r="E13" s="51"/>
      <c r="F13" s="51"/>
      <c r="G13" s="51"/>
      <c r="H13" s="51"/>
      <c r="I13" s="51"/>
      <c r="J13" s="51"/>
      <c r="K13" s="51"/>
      <c r="L13" s="51"/>
      <c r="M13" s="51"/>
      <c r="N13" s="51"/>
      <c r="O13" s="51"/>
      <c r="P13" s="51"/>
    </row>
    <row r="14" customFormat="false" ht="14.25" hidden="false" customHeight="true" outlineLevel="0" collapsed="false">
      <c r="C14" s="11"/>
      <c r="D14" s="11"/>
      <c r="E14" s="11"/>
      <c r="F14" s="11"/>
      <c r="G14" s="11"/>
      <c r="H14" s="11"/>
      <c r="I14" s="11"/>
      <c r="J14" s="11"/>
      <c r="K14" s="11"/>
      <c r="L14" s="11"/>
      <c r="M14" s="11"/>
      <c r="N14" s="11"/>
      <c r="O14" s="11"/>
      <c r="P14" s="11"/>
    </row>
    <row r="15" customFormat="false" ht="14.25" hidden="false" customHeight="true" outlineLevel="0" collapsed="false">
      <c r="C15" s="11"/>
      <c r="D15" s="58" t="s">
        <v>1531</v>
      </c>
      <c r="E15" s="58" t="s">
        <v>1532</v>
      </c>
      <c r="F15" s="58" t="s">
        <v>1533</v>
      </c>
      <c r="G15" s="11" t="s">
        <v>1534</v>
      </c>
      <c r="H15" s="11" t="s">
        <v>1535</v>
      </c>
      <c r="I15" s="11" t="s">
        <v>1536</v>
      </c>
      <c r="J15" s="11" t="s">
        <v>1537</v>
      </c>
      <c r="K15" s="11" t="s">
        <v>1538</v>
      </c>
      <c r="L15" s="11" t="s">
        <v>1539</v>
      </c>
      <c r="M15" s="11" t="s">
        <v>1540</v>
      </c>
      <c r="N15" s="11" t="s">
        <v>1541</v>
      </c>
      <c r="O15" s="11"/>
      <c r="P15" s="11"/>
    </row>
    <row r="16" customFormat="false" ht="14.25" hidden="false" customHeight="true" outlineLevel="0" collapsed="false">
      <c r="A16" s="22" t="s">
        <v>11</v>
      </c>
      <c r="C16" s="52" t="s">
        <v>1864</v>
      </c>
      <c r="D16" s="54"/>
      <c r="E16" s="54"/>
      <c r="F16" s="54"/>
      <c r="G16" s="54"/>
      <c r="H16" s="54"/>
      <c r="I16" s="54"/>
      <c r="J16" s="54"/>
      <c r="K16" s="54"/>
      <c r="L16" s="54"/>
      <c r="M16" s="54"/>
      <c r="N16" s="54"/>
      <c r="O16" s="54"/>
      <c r="P16" s="54"/>
    </row>
    <row r="17" customFormat="false" ht="14.25" hidden="false" customHeight="true" outlineLevel="0" collapsed="false">
      <c r="C17" s="17" t="s">
        <v>1865</v>
      </c>
      <c r="D17" s="42" t="n">
        <f aca="false">'Legacy Cohort Model'!D43+Drivers!$C$43+Drivers!$C$44</f>
        <v>1049.1</v>
      </c>
      <c r="E17" s="42" t="n">
        <f aca="false">'Legacy Cohort Model'!E43+Drivers!$C$43+Drivers!$C$44</f>
        <v>1075.06565384829</v>
      </c>
      <c r="F17" s="42" t="n">
        <f aca="false">'Legacy Cohort Model'!F43+Drivers!$C$43+Drivers!$C$44</f>
        <v>1098.90252200311</v>
      </c>
      <c r="G17" s="42" t="n">
        <f aca="false">'Legacy Cohort Model'!G43+Drivers!$C$43+Drivers!$C$44</f>
        <v>1122.50648779839</v>
      </c>
      <c r="H17" s="42" t="n">
        <f aca="false">'Legacy Cohort Model'!H43+Drivers!$C$43+Drivers!$C$44</f>
        <v>1136.9861163171</v>
      </c>
      <c r="I17" s="42" t="n">
        <f aca="false">'Legacy Cohort Model'!I43+Drivers!$C$43+Drivers!$C$44</f>
        <v>1139.89945096963</v>
      </c>
      <c r="J17" s="42" t="n">
        <f aca="false">'Legacy Cohort Model'!J43+Drivers!$C$43+Drivers!$C$44</f>
        <v>1139.90500952059</v>
      </c>
      <c r="K17" s="42" t="n">
        <f aca="false">'Legacy Cohort Model'!K43+Drivers!$C$43+Drivers!$C$44</f>
        <v>1143.89267235206</v>
      </c>
      <c r="L17" s="42" t="n">
        <f aca="false">'Legacy Cohort Model'!L43+Drivers!$C$43+Drivers!$C$44</f>
        <v>1147.88795412443</v>
      </c>
      <c r="M17" s="42" t="n">
        <f aca="false">'Legacy Cohort Model'!M43+Drivers!$C$43+Drivers!$C$44</f>
        <v>1151.89846710424</v>
      </c>
      <c r="N17" s="42" t="n">
        <f aca="false">'Legacy Cohort Model'!N43+Drivers!$C$43+Drivers!$C$44</f>
        <v>1155.92425488885</v>
      </c>
      <c r="O17" s="11"/>
      <c r="P17" s="11"/>
    </row>
    <row r="18" customFormat="false" ht="14.25" hidden="false" customHeight="true" outlineLevel="0" collapsed="false">
      <c r="C18" s="17" t="s">
        <v>1866</v>
      </c>
      <c r="D18" s="31" t="n">
        <v>0</v>
      </c>
      <c r="E18" s="42" t="n">
        <f aca="false">'Acquired Pool'!E23</f>
        <v>543</v>
      </c>
      <c r="F18" s="42" t="n">
        <f aca="false">'Acquired Pool'!F23</f>
        <v>563.3625</v>
      </c>
      <c r="G18" s="42" t="n">
        <f aca="false">'Acquired Pool'!G23</f>
        <v>577.4465625</v>
      </c>
      <c r="H18" s="42" t="n">
        <f aca="false">'Acquired Pool'!H23</f>
        <v>584.66464453125</v>
      </c>
      <c r="I18" s="42" t="n">
        <f aca="false">'Acquired Pool'!I23</f>
        <v>581.741321308594</v>
      </c>
      <c r="J18" s="42" t="n">
        <f aca="false">'Acquired Pool'!J23</f>
        <v>590.496528194288</v>
      </c>
      <c r="K18" s="42" t="n">
        <f aca="false">'Acquired Pool'!K23</f>
        <v>599.383500943612</v>
      </c>
      <c r="L18" s="42" t="n">
        <f aca="false">'Acquired Pool'!L23</f>
        <v>608.404222632813</v>
      </c>
      <c r="M18" s="42" t="n">
        <f aca="false">'Acquired Pool'!M23</f>
        <v>617.560706183437</v>
      </c>
      <c r="N18" s="42" t="n">
        <f aca="false">'Acquired Pool'!N23</f>
        <v>626.854994811498</v>
      </c>
      <c r="O18" s="11"/>
      <c r="P18" s="11"/>
    </row>
    <row r="19" customFormat="false" ht="14.25" hidden="false" customHeight="true" outlineLevel="0" collapsed="false">
      <c r="C19" s="55" t="s">
        <v>1867</v>
      </c>
      <c r="D19" s="62" t="n">
        <f aca="false">D17+D18</f>
        <v>1049.1</v>
      </c>
      <c r="E19" s="62" t="n">
        <f aca="false">E17+E18</f>
        <v>1618.06565384829</v>
      </c>
      <c r="F19" s="62" t="n">
        <f aca="false">F17+F18</f>
        <v>1662.26502200311</v>
      </c>
      <c r="G19" s="32" t="n">
        <f aca="false">G17+G18</f>
        <v>1699.95305029839</v>
      </c>
      <c r="H19" s="32" t="n">
        <f aca="false">H17+H18</f>
        <v>1721.65076084835</v>
      </c>
      <c r="I19" s="32" t="n">
        <f aca="false">I17+I18</f>
        <v>1721.64077227822</v>
      </c>
      <c r="J19" s="32" t="n">
        <f aca="false">J17+J18</f>
        <v>1730.40153771488</v>
      </c>
      <c r="K19" s="32" t="n">
        <f aca="false">K17+K18</f>
        <v>1743.27617329567</v>
      </c>
      <c r="L19" s="32" t="n">
        <f aca="false">L17+L18</f>
        <v>1756.29217675724</v>
      </c>
      <c r="M19" s="32" t="n">
        <f aca="false">M17+M18</f>
        <v>1769.45917328767</v>
      </c>
      <c r="N19" s="32" t="n">
        <f aca="false">N17+N18</f>
        <v>1782.77924970035</v>
      </c>
      <c r="O19" s="11"/>
      <c r="P19" s="11"/>
    </row>
    <row r="20" customFormat="false" ht="14.25" hidden="false" customHeight="true" outlineLevel="0" collapsed="false">
      <c r="C20" s="17" t="s">
        <v>1868</v>
      </c>
      <c r="D20" s="42" t="n">
        <f aca="false">Drivers!$C$46</f>
        <v>137.3</v>
      </c>
      <c r="E20" s="42" t="n">
        <f aca="false">Drivers!$C$320</f>
        <v>160</v>
      </c>
      <c r="F20" s="42" t="n">
        <f aca="false">Drivers!$C$320*(1+Drivers!$C$321)</f>
        <v>164.8</v>
      </c>
      <c r="G20" s="42" t="n">
        <f aca="false">Drivers!$C$320*(1+Drivers!$C$321)^2</f>
        <v>169.744</v>
      </c>
      <c r="H20" s="42" t="n">
        <f aca="false">Drivers!$C$320*(1+Drivers!$C$321)^3</f>
        <v>174.83632</v>
      </c>
      <c r="I20" s="42" t="n">
        <f aca="false">Drivers!$C$320*(1+Drivers!$C$321)^4</f>
        <v>180.0814096</v>
      </c>
      <c r="J20" s="42" t="n">
        <f aca="false">I20*(1+Drivers!$C$397)</f>
        <v>186.384258936</v>
      </c>
      <c r="K20" s="42" t="n">
        <f aca="false">J20*(1+Drivers!$C$397)</f>
        <v>192.90770799876</v>
      </c>
      <c r="L20" s="42" t="n">
        <f aca="false">K20*(1+Drivers!$C$397)</f>
        <v>199.659477778717</v>
      </c>
      <c r="M20" s="42" t="n">
        <f aca="false">L20*(1+Drivers!$C$397)</f>
        <v>206.647559500972</v>
      </c>
      <c r="N20" s="42" t="n">
        <f aca="false">M20*(1+Drivers!$C$397)</f>
        <v>213.880224083506</v>
      </c>
      <c r="O20" s="11"/>
      <c r="P20" s="11"/>
    </row>
    <row r="21" customFormat="false" ht="14.25" hidden="false" customHeight="true" outlineLevel="0" collapsed="false">
      <c r="C21" s="55" t="s">
        <v>1869</v>
      </c>
      <c r="D21" s="62" t="n">
        <f aca="false">D19+D20</f>
        <v>1186.4</v>
      </c>
      <c r="E21" s="62" t="n">
        <f aca="false">E19+E20</f>
        <v>1778.06565384829</v>
      </c>
      <c r="F21" s="62" t="n">
        <f aca="false">F19+F20</f>
        <v>1827.06502200311</v>
      </c>
      <c r="G21" s="32" t="n">
        <f aca="false">G19+G20</f>
        <v>1869.69705029839</v>
      </c>
      <c r="H21" s="32" t="n">
        <f aca="false">H19+H20</f>
        <v>1896.48708084835</v>
      </c>
      <c r="I21" s="32" t="n">
        <f aca="false">I19+I20</f>
        <v>1901.72218187822</v>
      </c>
      <c r="J21" s="32" t="n">
        <f aca="false">J19+J20</f>
        <v>1916.78579665088</v>
      </c>
      <c r="K21" s="32" t="n">
        <f aca="false">K19+K20</f>
        <v>1936.18388129443</v>
      </c>
      <c r="L21" s="32" t="n">
        <f aca="false">L19+L20</f>
        <v>1955.95165453596</v>
      </c>
      <c r="M21" s="32" t="n">
        <f aca="false">M19+M20</f>
        <v>1976.10673278865</v>
      </c>
      <c r="N21" s="32" t="n">
        <f aca="false">N19+N20</f>
        <v>1996.65947378385</v>
      </c>
      <c r="O21" s="11"/>
      <c r="P21" s="11"/>
    </row>
    <row r="22" customFormat="false" ht="14.25" hidden="false" customHeight="true" outlineLevel="0" collapsed="false">
      <c r="C22" s="11"/>
      <c r="D22" s="11"/>
      <c r="E22" s="11"/>
      <c r="F22" s="11"/>
      <c r="G22" s="11"/>
      <c r="H22" s="11"/>
      <c r="I22" s="11"/>
      <c r="J22" s="11"/>
      <c r="K22" s="11"/>
      <c r="L22" s="11"/>
      <c r="M22" s="11"/>
      <c r="N22" s="11"/>
      <c r="O22" s="11"/>
      <c r="P22" s="11"/>
    </row>
    <row r="23" customFormat="false" ht="14.25" hidden="false" customHeight="true" outlineLevel="0" collapsed="false">
      <c r="A23" s="22" t="s">
        <v>11</v>
      </c>
      <c r="C23" s="52" t="s">
        <v>1870</v>
      </c>
      <c r="D23" s="54"/>
      <c r="E23" s="54"/>
      <c r="F23" s="54"/>
      <c r="G23" s="54"/>
      <c r="H23" s="54"/>
      <c r="I23" s="54"/>
      <c r="J23" s="54"/>
      <c r="K23" s="54"/>
      <c r="L23" s="54"/>
      <c r="M23" s="54"/>
      <c r="N23" s="54"/>
      <c r="O23" s="54"/>
      <c r="P23" s="54"/>
    </row>
    <row r="24" customFormat="false" ht="14.25" hidden="false" customHeight="true" outlineLevel="0" collapsed="false">
      <c r="C24" s="17" t="s">
        <v>1560</v>
      </c>
      <c r="D24" s="42" t="n">
        <f aca="false">Drivers!$C$47</f>
        <v>366.1</v>
      </c>
      <c r="E24" s="42" t="n">
        <f aca="false">D24*(1+Drivers!$C$137)</f>
        <v>391.727</v>
      </c>
      <c r="F24" s="42" t="n">
        <f aca="false">E24*(1+Drivers!$C$138)</f>
        <v>411.31335</v>
      </c>
      <c r="G24" s="42" t="n">
        <f aca="false">F24*(1+Drivers!$C$306)</f>
        <v>431.8790175</v>
      </c>
      <c r="H24" s="42" t="n">
        <f aca="false">G24*(1+Drivers!$C$307)</f>
        <v>453.472968375</v>
      </c>
      <c r="I24" s="42" t="n">
        <f aca="false">H24*(1+Drivers!$C$308)</f>
        <v>476.14661679375</v>
      </c>
      <c r="J24" s="42" t="n">
        <f aca="false">I24*(1+Drivers!$C$538)</f>
        <v>492.811748381531</v>
      </c>
      <c r="K24" s="42" t="n">
        <f aca="false">J24*(1+Drivers!$C$539)</f>
        <v>510.060159574885</v>
      </c>
      <c r="L24" s="42" t="n">
        <f aca="false">K24*(1+Drivers!$C$540)</f>
        <v>527.912265160006</v>
      </c>
      <c r="M24" s="42" t="n">
        <f aca="false">L24*(1+Drivers!$C$541)</f>
        <v>546.389194440606</v>
      </c>
      <c r="N24" s="42" t="n">
        <f aca="false">M24*(1+Drivers!$C$542)</f>
        <v>565.512816246027</v>
      </c>
      <c r="O24" s="11"/>
      <c r="P24" s="11"/>
    </row>
    <row r="25" customFormat="false" ht="14.25" hidden="false" customHeight="true" outlineLevel="0" collapsed="false">
      <c r="C25" s="17" t="s">
        <v>1564</v>
      </c>
      <c r="D25" s="42" t="n">
        <f aca="false">Drivers!$C$48</f>
        <v>22.3</v>
      </c>
      <c r="E25" s="42" t="n">
        <f aca="false">D25*(1+Drivers!$C$137)</f>
        <v>23.861</v>
      </c>
      <c r="F25" s="42" t="n">
        <f aca="false">E25*(1+Drivers!$C$138)</f>
        <v>25.05405</v>
      </c>
      <c r="G25" s="42" t="n">
        <f aca="false">F25*(1+Drivers!$C$306)</f>
        <v>26.3067525</v>
      </c>
      <c r="H25" s="42" t="n">
        <f aca="false">G25*(1+Drivers!$C$307)</f>
        <v>27.622090125</v>
      </c>
      <c r="I25" s="42" t="n">
        <f aca="false">H25*(1+Drivers!$C$308)</f>
        <v>29.00319463125</v>
      </c>
      <c r="J25" s="42" t="n">
        <f aca="false">I25*(1+Drivers!$C$538)</f>
        <v>30.0183064433438</v>
      </c>
      <c r="K25" s="42" t="n">
        <f aca="false">J25*(1+Drivers!$C$539)</f>
        <v>31.0689471688608</v>
      </c>
      <c r="L25" s="42" t="n">
        <f aca="false">K25*(1+Drivers!$C$540)</f>
        <v>32.1563603197709</v>
      </c>
      <c r="M25" s="42" t="n">
        <f aca="false">L25*(1+Drivers!$C$541)</f>
        <v>33.2818329309629</v>
      </c>
      <c r="N25" s="42" t="n">
        <f aca="false">M25*(1+Drivers!$C$542)</f>
        <v>34.4466970835466</v>
      </c>
      <c r="O25" s="11"/>
      <c r="P25" s="11"/>
    </row>
    <row r="26" customFormat="false" ht="14.25" hidden="false" customHeight="true" outlineLevel="0" collapsed="false">
      <c r="C26" s="55" t="s">
        <v>1871</v>
      </c>
      <c r="D26" s="62" t="n">
        <f aca="false">D24+D25</f>
        <v>388.4</v>
      </c>
      <c r="E26" s="62" t="n">
        <f aca="false">E24+E25</f>
        <v>415.588</v>
      </c>
      <c r="F26" s="62" t="n">
        <f aca="false">F24+F25</f>
        <v>436.3674</v>
      </c>
      <c r="G26" s="32" t="n">
        <f aca="false">G24+G25</f>
        <v>458.18577</v>
      </c>
      <c r="H26" s="32" t="n">
        <f aca="false">H24+H25</f>
        <v>481.0950585</v>
      </c>
      <c r="I26" s="32" t="n">
        <f aca="false">I24+I25</f>
        <v>505.149811425</v>
      </c>
      <c r="J26" s="32" t="n">
        <f aca="false">J24+J25</f>
        <v>522.830054824875</v>
      </c>
      <c r="K26" s="32" t="n">
        <f aca="false">K24+K25</f>
        <v>541.129106743746</v>
      </c>
      <c r="L26" s="32" t="n">
        <f aca="false">L24+L25</f>
        <v>560.068625479777</v>
      </c>
      <c r="M26" s="32" t="n">
        <f aca="false">M24+M25</f>
        <v>579.671027371569</v>
      </c>
      <c r="N26" s="32" t="n">
        <f aca="false">N24+N25</f>
        <v>599.959513329574</v>
      </c>
      <c r="O26" s="11"/>
      <c r="P26" s="11"/>
    </row>
    <row r="27" customFormat="false" ht="14.25" hidden="false" customHeight="true" outlineLevel="0" collapsed="false">
      <c r="C27" s="11"/>
      <c r="D27" s="11"/>
      <c r="E27" s="11"/>
      <c r="F27" s="11"/>
      <c r="G27" s="11"/>
      <c r="H27" s="11"/>
      <c r="I27" s="11"/>
      <c r="J27" s="11"/>
      <c r="K27" s="11"/>
      <c r="L27" s="11"/>
      <c r="M27" s="11"/>
      <c r="N27" s="11"/>
      <c r="O27" s="11"/>
      <c r="P27" s="11"/>
    </row>
    <row r="28" customFormat="false" ht="14.25" hidden="false" customHeight="true" outlineLevel="0" collapsed="false">
      <c r="A28" s="22" t="s">
        <v>11</v>
      </c>
      <c r="C28" s="52" t="s">
        <v>1872</v>
      </c>
      <c r="D28" s="54"/>
      <c r="E28" s="54"/>
      <c r="F28" s="54"/>
      <c r="G28" s="54"/>
      <c r="H28" s="54"/>
      <c r="I28" s="54"/>
      <c r="J28" s="54"/>
      <c r="K28" s="54"/>
      <c r="L28" s="54"/>
      <c r="M28" s="54"/>
      <c r="N28" s="54"/>
      <c r="O28" s="54"/>
      <c r="P28" s="54"/>
    </row>
    <row r="29" customFormat="false" ht="14.25" hidden="false" customHeight="true" outlineLevel="0" collapsed="false">
      <c r="C29" s="17" t="s">
        <v>1873</v>
      </c>
      <c r="D29" s="42" t="n">
        <f aca="false">Drivers!$C$49</f>
        <v>38.2</v>
      </c>
      <c r="E29" s="42" t="n">
        <f aca="false">D29*(1+Drivers!$C$139)</f>
        <v>45.84</v>
      </c>
      <c r="F29" s="42" t="n">
        <f aca="false">E29*(1+Drivers!$C$140)</f>
        <v>50.424</v>
      </c>
      <c r="G29" s="42" t="n">
        <f aca="false">F29*(1+Drivers!$C$309)</f>
        <v>55.4664</v>
      </c>
      <c r="H29" s="42" t="n">
        <f aca="false">G29*(1+Drivers!$C$310)</f>
        <v>61.01304</v>
      </c>
      <c r="I29" s="42" t="n">
        <f aca="false">H29*(1+Drivers!$C$311)</f>
        <v>67.114344</v>
      </c>
      <c r="J29" s="42" t="n">
        <f aca="false">I29*(1+Drivers!$C$543)</f>
        <v>69.46334604</v>
      </c>
      <c r="K29" s="42" t="n">
        <f aca="false">J29*(1+Drivers!$C$544)</f>
        <v>71.8945631514</v>
      </c>
      <c r="L29" s="42" t="n">
        <f aca="false">K29*(1+Drivers!$C$545)</f>
        <v>74.410872861699</v>
      </c>
      <c r="M29" s="42" t="n">
        <f aca="false">L29*(1+Drivers!$C$546)</f>
        <v>77.0152534118585</v>
      </c>
      <c r="N29" s="42" t="n">
        <f aca="false">M29*(1+Drivers!$C$547)</f>
        <v>79.7107872812735</v>
      </c>
      <c r="O29" s="11"/>
      <c r="P29" s="11"/>
    </row>
    <row r="30" customFormat="false" ht="14.25" hidden="false" customHeight="true" outlineLevel="0" collapsed="false">
      <c r="C30" s="17" t="s">
        <v>1562</v>
      </c>
      <c r="D30" s="42" t="n">
        <f aca="false">Drivers!$C$50</f>
        <v>86.7</v>
      </c>
      <c r="E30" s="42" t="n">
        <f aca="false">D30*(1+Drivers!$C$139)</f>
        <v>104.04</v>
      </c>
      <c r="F30" s="42" t="n">
        <f aca="false">E30*(1+Drivers!$C$140)</f>
        <v>114.444</v>
      </c>
      <c r="G30" s="42" t="n">
        <f aca="false">F30*(1+Drivers!$C$309)</f>
        <v>125.8884</v>
      </c>
      <c r="H30" s="42" t="n">
        <f aca="false">G30*(1+Drivers!$C$310)</f>
        <v>138.47724</v>
      </c>
      <c r="I30" s="42" t="n">
        <f aca="false">H30*(1+Drivers!$C$311)</f>
        <v>152.324964</v>
      </c>
      <c r="J30" s="42" t="n">
        <f aca="false">I30*(1+Drivers!$C$543)</f>
        <v>157.65633774</v>
      </c>
      <c r="K30" s="42" t="n">
        <f aca="false">J30*(1+Drivers!$C$544)</f>
        <v>163.1743095609</v>
      </c>
      <c r="L30" s="42" t="n">
        <f aca="false">K30*(1+Drivers!$C$545)</f>
        <v>168.885410395532</v>
      </c>
      <c r="M30" s="42" t="n">
        <f aca="false">L30*(1+Drivers!$C$546)</f>
        <v>174.796399759375</v>
      </c>
      <c r="N30" s="42" t="n">
        <f aca="false">M30*(1+Drivers!$C$547)</f>
        <v>180.914273750953</v>
      </c>
      <c r="O30" s="11"/>
      <c r="P30" s="11"/>
    </row>
    <row r="31" customFormat="false" ht="14.25" hidden="false" customHeight="true" outlineLevel="0" collapsed="false">
      <c r="C31" s="55" t="s">
        <v>1874</v>
      </c>
      <c r="D31" s="62" t="n">
        <f aca="false">D29+D30</f>
        <v>124.9</v>
      </c>
      <c r="E31" s="62" t="n">
        <f aca="false">E29+E30</f>
        <v>149.88</v>
      </c>
      <c r="F31" s="62" t="n">
        <f aca="false">F29+F30</f>
        <v>164.868</v>
      </c>
      <c r="G31" s="32" t="n">
        <f aca="false">G29+G30</f>
        <v>181.3548</v>
      </c>
      <c r="H31" s="32" t="n">
        <f aca="false">H29+H30</f>
        <v>199.49028</v>
      </c>
      <c r="I31" s="32" t="n">
        <f aca="false">I29+I30</f>
        <v>219.439308</v>
      </c>
      <c r="J31" s="32" t="n">
        <f aca="false">J29+J30</f>
        <v>227.11968378</v>
      </c>
      <c r="K31" s="32" t="n">
        <f aca="false">K29+K30</f>
        <v>235.0688727123</v>
      </c>
      <c r="L31" s="32" t="n">
        <f aca="false">L29+L30</f>
        <v>243.296283257231</v>
      </c>
      <c r="M31" s="32" t="n">
        <f aca="false">M29+M30</f>
        <v>251.811653171234</v>
      </c>
      <c r="N31" s="32" t="n">
        <f aca="false">N29+N30</f>
        <v>260.625061032227</v>
      </c>
      <c r="O31" s="11"/>
      <c r="P31" s="11"/>
    </row>
    <row r="32" customFormat="false" ht="14.25" hidden="false" customHeight="true" outlineLevel="0" collapsed="false">
      <c r="C32" s="11"/>
      <c r="D32" s="11"/>
      <c r="E32" s="11"/>
      <c r="F32" s="11"/>
      <c r="G32" s="11"/>
      <c r="H32" s="11"/>
      <c r="I32" s="11"/>
      <c r="J32" s="11"/>
      <c r="K32" s="11"/>
      <c r="L32" s="11"/>
      <c r="M32" s="11"/>
      <c r="N32" s="11"/>
      <c r="O32" s="11"/>
      <c r="P32" s="11"/>
    </row>
    <row r="33" customFormat="false" ht="14.25" hidden="false" customHeight="true" outlineLevel="0" collapsed="false">
      <c r="C33" s="21" t="s">
        <v>1875</v>
      </c>
      <c r="D33" s="11"/>
      <c r="E33" s="11"/>
      <c r="F33" s="11"/>
      <c r="G33" s="11"/>
      <c r="H33" s="11"/>
      <c r="I33" s="11"/>
      <c r="J33" s="11"/>
      <c r="K33" s="11"/>
      <c r="L33" s="11"/>
      <c r="M33" s="11"/>
      <c r="N33" s="11"/>
      <c r="O33" s="11"/>
      <c r="P33" s="11"/>
    </row>
    <row r="34" customFormat="false" ht="14.25" hidden="false" customHeight="true" outlineLevel="0" collapsed="false">
      <c r="C34" s="17" t="s">
        <v>1642</v>
      </c>
      <c r="D34" s="42" t="n">
        <f aca="false">Drivers!$C$51</f>
        <v>40.7</v>
      </c>
      <c r="E34" s="42" t="n">
        <f aca="false">D34*(1+Drivers!$C$141)</f>
        <v>41.921</v>
      </c>
      <c r="F34" s="42" t="n">
        <f aca="false">E34*(1+Drivers!$C$141)</f>
        <v>43.17863</v>
      </c>
      <c r="G34" s="42" t="n">
        <f aca="false">F34*(1+Drivers!$C$141)</f>
        <v>44.4739889</v>
      </c>
      <c r="H34" s="42" t="n">
        <f aca="false">G34*(1+Drivers!$C$141)</f>
        <v>45.808208567</v>
      </c>
      <c r="I34" s="42" t="n">
        <f aca="false">H34*(1+Drivers!$C$141)</f>
        <v>47.18245482401</v>
      </c>
      <c r="J34" s="42" t="n">
        <f aca="false">I34*(1+Drivers!$C$397)</f>
        <v>48.8338407428504</v>
      </c>
      <c r="K34" s="42" t="n">
        <f aca="false">J34*(1+Drivers!$C$397)</f>
        <v>50.5430251688501</v>
      </c>
      <c r="L34" s="42" t="n">
        <f aca="false">K34*(1+Drivers!$C$397)</f>
        <v>52.3120310497599</v>
      </c>
      <c r="M34" s="42" t="n">
        <f aca="false">L34*(1+Drivers!$C$397)</f>
        <v>54.1429521365015</v>
      </c>
      <c r="N34" s="42" t="n">
        <f aca="false">M34*(1+Drivers!$C$397)</f>
        <v>56.037955461279</v>
      </c>
      <c r="O34" s="11"/>
      <c r="P34" s="11"/>
    </row>
    <row r="35" customFormat="false" ht="14.25" hidden="false" customHeight="true" outlineLevel="0" collapsed="false">
      <c r="C35" s="11"/>
      <c r="D35" s="11"/>
      <c r="E35" s="11"/>
      <c r="F35" s="11"/>
      <c r="G35" s="11"/>
      <c r="H35" s="11"/>
      <c r="I35" s="11"/>
      <c r="J35" s="11"/>
      <c r="K35" s="11"/>
      <c r="L35" s="11"/>
      <c r="M35" s="11"/>
      <c r="N35" s="11"/>
      <c r="O35" s="11"/>
      <c r="P35" s="11"/>
    </row>
    <row r="36" customFormat="false" ht="14.25" hidden="false" customHeight="true" outlineLevel="0" collapsed="false">
      <c r="A36" s="22" t="s">
        <v>11</v>
      </c>
      <c r="C36" s="67" t="s">
        <v>1876</v>
      </c>
      <c r="D36" s="79" t="n">
        <f aca="false">D21+D26+D31+D34</f>
        <v>1740.4</v>
      </c>
      <c r="E36" s="79" t="n">
        <f aca="false">E21+E26+E31+E34</f>
        <v>2385.45465384829</v>
      </c>
      <c r="F36" s="79" t="n">
        <f aca="false">F21+F26+F31+F34</f>
        <v>2471.47905200311</v>
      </c>
      <c r="G36" s="80" t="n">
        <f aca="false">G21+G26+G31+G34</f>
        <v>2553.71160919839</v>
      </c>
      <c r="H36" s="80" t="n">
        <f aca="false">H21+H26+H31+H34</f>
        <v>2622.88062791535</v>
      </c>
      <c r="I36" s="80" t="n">
        <f aca="false">I21+I26+I31+I34</f>
        <v>2673.49375612723</v>
      </c>
      <c r="J36" s="80" t="n">
        <f aca="false">J21+J26+J31+J34</f>
        <v>2715.56937599861</v>
      </c>
      <c r="K36" s="80" t="n">
        <f aca="false">K21+K26+K31+K34</f>
        <v>2762.92488591932</v>
      </c>
      <c r="L36" s="80" t="n">
        <f aca="false">L21+L26+L31+L34</f>
        <v>2811.62859432273</v>
      </c>
      <c r="M36" s="80" t="n">
        <f aca="false">M21+M26+M31+M34</f>
        <v>2861.73236546795</v>
      </c>
      <c r="N36" s="80" t="n">
        <f aca="false">N21+N26+N31+N34</f>
        <v>2913.28200360693</v>
      </c>
      <c r="O36" s="54"/>
      <c r="P36" s="54"/>
    </row>
    <row r="37" customFormat="false" ht="14.25" hidden="false" customHeight="true" outlineLevel="0" collapsed="false">
      <c r="C37" s="11"/>
      <c r="D37" s="11"/>
      <c r="E37" s="11"/>
      <c r="F37" s="11"/>
      <c r="G37" s="11"/>
      <c r="H37" s="11"/>
      <c r="I37" s="11"/>
      <c r="J37" s="11"/>
      <c r="K37" s="11"/>
      <c r="L37" s="11"/>
      <c r="M37" s="11"/>
      <c r="N37" s="11"/>
      <c r="O37" s="11"/>
      <c r="P37" s="11"/>
    </row>
    <row r="38" customFormat="false" ht="14.25" hidden="false" customHeight="true" outlineLevel="0" collapsed="false">
      <c r="C38" s="11" t="s">
        <v>1877</v>
      </c>
      <c r="D38" s="31" t="n">
        <v>0</v>
      </c>
      <c r="E38" s="42" t="n">
        <f aca="false">Drivers!$C$260</f>
        <v>44</v>
      </c>
      <c r="F38" s="42" t="n">
        <f aca="false">Drivers!$C$260</f>
        <v>44</v>
      </c>
      <c r="G38" s="42" t="n">
        <f aca="false">Drivers!$C$260</f>
        <v>44</v>
      </c>
      <c r="H38" s="42" t="n">
        <f aca="false">Drivers!$C$260</f>
        <v>44</v>
      </c>
      <c r="I38" s="42" t="n">
        <f aca="false">Drivers!$C$260</f>
        <v>44</v>
      </c>
      <c r="J38" s="42" t="n">
        <f aca="false">Drivers!$C$260</f>
        <v>44</v>
      </c>
      <c r="K38" s="42" t="n">
        <f aca="false">Drivers!$C$260</f>
        <v>44</v>
      </c>
      <c r="L38" s="42" t="n">
        <f aca="false">Drivers!$C$260</f>
        <v>44</v>
      </c>
      <c r="M38" s="42" t="n">
        <f aca="false">Drivers!$C$260</f>
        <v>44</v>
      </c>
      <c r="N38" s="42" t="n">
        <f aca="false">Drivers!$C$260</f>
        <v>44</v>
      </c>
      <c r="O38" s="11"/>
      <c r="P38" s="11"/>
    </row>
    <row r="39" customFormat="false" ht="14.25" hidden="false" customHeight="true" outlineLevel="0" collapsed="false">
      <c r="C39" s="11" t="s">
        <v>1878</v>
      </c>
      <c r="D39" s="31" t="n">
        <v>0</v>
      </c>
      <c r="E39" s="42" t="n">
        <f aca="false">Drivers!$C$261</f>
        <v>11</v>
      </c>
      <c r="F39" s="42" t="n">
        <f aca="false">Drivers!$C$261</f>
        <v>11</v>
      </c>
      <c r="G39" s="42" t="n">
        <f aca="false">Drivers!$C$261</f>
        <v>11</v>
      </c>
      <c r="H39" s="42" t="n">
        <f aca="false">Drivers!$C$261</f>
        <v>11</v>
      </c>
      <c r="I39" s="42" t="n">
        <f aca="false">Drivers!$C$261</f>
        <v>11</v>
      </c>
      <c r="J39" s="42" t="n">
        <f aca="false">Drivers!$C$261</f>
        <v>11</v>
      </c>
      <c r="K39" s="42" t="n">
        <f aca="false">Drivers!$C$261</f>
        <v>11</v>
      </c>
      <c r="L39" s="42" t="n">
        <f aca="false">Drivers!$C$261</f>
        <v>11</v>
      </c>
      <c r="M39" s="42" t="n">
        <f aca="false">Drivers!$C$261</f>
        <v>11</v>
      </c>
      <c r="N39" s="42" t="n">
        <f aca="false">Drivers!$C$261</f>
        <v>11</v>
      </c>
      <c r="O39" s="11"/>
      <c r="P39" s="11"/>
    </row>
    <row r="40" customFormat="false" ht="14.25" hidden="false" customHeight="true" outlineLevel="0" collapsed="false">
      <c r="C40" s="11" t="s">
        <v>1879</v>
      </c>
      <c r="D40" s="11"/>
      <c r="E40" s="11"/>
      <c r="F40" s="11"/>
      <c r="G40" s="11"/>
      <c r="H40" s="11"/>
      <c r="I40" s="11"/>
      <c r="J40" s="11"/>
      <c r="K40" s="11"/>
      <c r="L40" s="11"/>
      <c r="M40" s="11"/>
      <c r="N40" s="11"/>
      <c r="O40" s="11"/>
      <c r="P40" s="11"/>
    </row>
    <row r="42" customFormat="false" ht="15" hidden="false" customHeight="true" outlineLevel="0" collapsed="false">
      <c r="C42" s="1" t="s">
        <v>1880</v>
      </c>
      <c r="E42" s="1" t="n">
        <f aca="false">'Acquired Pool'!E39*Drivers!$C$763</f>
        <v>0</v>
      </c>
      <c r="F42" s="1" t="n">
        <f aca="false">'Acquired Pool'!F39*Drivers!$C$763</f>
        <v>0</v>
      </c>
      <c r="G42" s="1" t="n">
        <f aca="false">'Acquired Pool'!G39*Drivers!$C$763</f>
        <v>0</v>
      </c>
      <c r="H42" s="1" t="n">
        <f aca="false">'Acquired Pool'!H39*Drivers!$C$763</f>
        <v>0</v>
      </c>
      <c r="I42" s="1" t="n">
        <f aca="false">'Acquired Pool'!I39*Drivers!$C$763</f>
        <v>0</v>
      </c>
      <c r="J42" s="1" t="n">
        <v>0</v>
      </c>
      <c r="K42" s="1" t="n">
        <v>0</v>
      </c>
      <c r="L42" s="1" t="n">
        <v>0</v>
      </c>
      <c r="M42" s="1" t="n">
        <v>0</v>
      </c>
      <c r="N42" s="1" t="n">
        <v>0</v>
      </c>
    </row>
    <row r="43" customFormat="false" ht="15" hidden="false" customHeight="true" outlineLevel="0" collapsed="false">
      <c r="C43" s="1" t="s">
        <v>1881</v>
      </c>
    </row>
  </sheetData>
  <mergeCells count="1">
    <mergeCell ref="C13:P1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N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3" topLeftCell="D14" activePane="bottomRight" state="frozen"/>
      <selection pane="topLeft" activeCell="A1" activeCellId="0" sqref="A1"/>
      <selection pane="topRight" activeCell="D1" activeCellId="0" sqref="D1"/>
      <selection pane="bottomLeft" activeCell="A14" activeCellId="0" sqref="A14"/>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1" width="1.7"/>
    <col collapsed="false" customWidth="true" hidden="false" outlineLevel="0" max="3" min="3" style="1" width="46"/>
    <col collapsed="false" customWidth="true" hidden="false" outlineLevel="0" max="13" min="4" style="1" width="12.3"/>
  </cols>
  <sheetData>
    <row r="2" customFormat="false" ht="21.75" hidden="false" customHeight="true" outlineLevel="0" collapsed="false">
      <c r="C2" s="46" t="str">
        <f aca="false">"Financial Statement Model - "&amp;Cover!$D$5</f>
        <v>Financial Statement Model - GATX Corporation</v>
      </c>
      <c r="D2" s="47"/>
      <c r="E2" s="47"/>
      <c r="F2" s="47"/>
      <c r="G2" s="47"/>
      <c r="H2" s="47"/>
      <c r="I2" s="47"/>
      <c r="J2" s="47"/>
      <c r="K2" s="47"/>
      <c r="L2" s="47"/>
      <c r="M2" s="47"/>
    </row>
    <row r="3" customFormat="false" ht="15" hidden="false" customHeight="true" outlineLevel="0" collapsed="false">
      <c r="C3" s="48" t="s">
        <v>1</v>
      </c>
    </row>
    <row r="5" customFormat="false" ht="15" hidden="false" customHeight="true" outlineLevel="0" collapsed="false">
      <c r="C5" s="4" t="s">
        <v>2</v>
      </c>
      <c r="D5" s="49" t="str">
        <f aca="false">Cover!$D$5</f>
        <v>GATX Corporation</v>
      </c>
    </row>
    <row r="6" customFormat="false" ht="15" hidden="false" customHeight="true" outlineLevel="0" collapsed="false">
      <c r="C6" s="4" t="s">
        <v>4</v>
      </c>
      <c r="D6" s="49" t="str">
        <f aca="false">Cover!$D$6</f>
        <v>GATX</v>
      </c>
    </row>
    <row r="7" customFormat="false" ht="15" hidden="false" customHeight="true" outlineLevel="0" collapsed="false">
      <c r="C7" s="4" t="s">
        <v>1551</v>
      </c>
      <c r="D7" s="49" t="n">
        <f aca="false">Cover!$D$7</f>
        <v>1</v>
      </c>
    </row>
    <row r="8" customFormat="false" ht="15" hidden="false" customHeight="true" outlineLevel="0" collapsed="false">
      <c r="C8" s="4" t="s">
        <v>7</v>
      </c>
      <c r="D8" s="6" t="n">
        <f aca="false">Cover!$D$8</f>
        <v>162.78</v>
      </c>
    </row>
    <row r="9" customFormat="false" ht="15" hidden="false" customHeight="true" outlineLevel="0" collapsed="false">
      <c r="C9" s="4" t="s">
        <v>8</v>
      </c>
      <c r="D9" s="50" t="n">
        <f aca="false">Cover!$D$9</f>
        <v>46303</v>
      </c>
    </row>
    <row r="10" customFormat="false" ht="15" hidden="false" customHeight="true" outlineLevel="0" collapsed="false">
      <c r="C10" s="4" t="s">
        <v>9</v>
      </c>
      <c r="D10" s="50" t="n">
        <f aca="false">Cover!$D$10</f>
        <v>46022</v>
      </c>
    </row>
    <row r="11" customFormat="false" ht="15" hidden="false" customHeight="true" outlineLevel="0" collapsed="false">
      <c r="C11" s="4" t="s">
        <v>1552</v>
      </c>
      <c r="D11" s="8" t="n">
        <f aca="false">Cover!$D$11</f>
        <v>35.8</v>
      </c>
    </row>
    <row r="13" customFormat="false" ht="15" hidden="false" customHeight="true" outlineLevel="0" collapsed="false">
      <c r="C13" s="10" t="s">
        <v>1882</v>
      </c>
      <c r="D13" s="11"/>
      <c r="E13" s="11"/>
      <c r="F13" s="11"/>
      <c r="G13" s="11"/>
      <c r="H13" s="11"/>
      <c r="I13" s="11"/>
      <c r="J13" s="11"/>
      <c r="K13" s="11"/>
      <c r="L13" s="11"/>
      <c r="M13" s="11"/>
    </row>
    <row r="14" customFormat="false" ht="14.25" hidden="false" customHeight="true" outlineLevel="0" collapsed="false">
      <c r="C14" s="25" t="s">
        <v>1883</v>
      </c>
      <c r="D14" s="11"/>
      <c r="E14" s="11"/>
      <c r="F14" s="11"/>
      <c r="G14" s="11"/>
      <c r="H14" s="11"/>
      <c r="I14" s="11"/>
      <c r="J14" s="11"/>
      <c r="K14" s="11"/>
      <c r="L14" s="11"/>
      <c r="M14" s="11"/>
    </row>
    <row r="15" customFormat="false" ht="14.25" hidden="false" customHeight="true" outlineLevel="0" collapsed="false">
      <c r="C15" s="11"/>
      <c r="D15" s="11"/>
      <c r="E15" s="11"/>
      <c r="F15" s="11"/>
      <c r="G15" s="11"/>
      <c r="H15" s="11"/>
      <c r="I15" s="11"/>
      <c r="J15" s="11"/>
      <c r="K15" s="11"/>
      <c r="L15" s="11"/>
      <c r="M15" s="11"/>
    </row>
    <row r="16" customFormat="false" ht="14.25" hidden="false" customHeight="true" outlineLevel="0" collapsed="false">
      <c r="A16" s="22" t="s">
        <v>11</v>
      </c>
      <c r="C16" s="71" t="s">
        <v>1884</v>
      </c>
      <c r="D16" s="54"/>
      <c r="E16" s="54"/>
      <c r="F16" s="54"/>
      <c r="G16" s="54"/>
      <c r="H16" s="54"/>
      <c r="I16" s="54"/>
      <c r="J16" s="54"/>
      <c r="K16" s="54"/>
      <c r="L16" s="54"/>
      <c r="M16" s="54"/>
    </row>
    <row r="17" customFormat="false" ht="14.25" hidden="false" customHeight="true" outlineLevel="0" collapsed="false">
      <c r="C17" s="11"/>
      <c r="D17" s="88" t="n">
        <v>2020</v>
      </c>
      <c r="E17" s="88" t="n">
        <v>2021</v>
      </c>
      <c r="F17" s="88" t="n">
        <v>2022</v>
      </c>
      <c r="G17" s="88" t="n">
        <v>2023</v>
      </c>
      <c r="H17" s="88" t="n">
        <v>2024</v>
      </c>
      <c r="I17" s="88" t="n">
        <v>2025</v>
      </c>
      <c r="J17" s="11"/>
      <c r="K17" s="11"/>
      <c r="L17" s="11"/>
      <c r="M17" s="11"/>
    </row>
    <row r="18" customFormat="false" ht="14.25" hidden="false" customHeight="true" outlineLevel="0" collapsed="false">
      <c r="C18" s="11" t="s">
        <v>1885</v>
      </c>
      <c r="D18" s="11"/>
      <c r="E18" s="11"/>
      <c r="F18" s="11"/>
      <c r="G18" s="42" t="n">
        <f aca="false">Drivers!C201</f>
        <v>3154</v>
      </c>
      <c r="H18" s="42" t="n">
        <f aca="false">Drivers!C202</f>
        <v>2127</v>
      </c>
      <c r="I18" s="42" t="n">
        <f aca="false">Drivers!C203</f>
        <v>3413</v>
      </c>
      <c r="J18" s="11"/>
      <c r="K18" s="11"/>
      <c r="L18" s="11"/>
      <c r="M18" s="11"/>
    </row>
    <row r="19" customFormat="false" ht="14.25" hidden="false" customHeight="true" outlineLevel="0" collapsed="false">
      <c r="C19" s="11" t="s">
        <v>1886</v>
      </c>
      <c r="D19" s="11"/>
      <c r="E19" s="11"/>
      <c r="F19" s="11"/>
      <c r="G19" s="42" t="n">
        <f aca="false">Drivers!C204</f>
        <v>1286</v>
      </c>
      <c r="H19" s="42" t="n">
        <f aca="false">Drivers!C205</f>
        <v>1433</v>
      </c>
      <c r="I19" s="42" t="n">
        <f aca="false">Drivers!C206</f>
        <v>2305</v>
      </c>
      <c r="J19" s="11"/>
      <c r="K19" s="11"/>
      <c r="L19" s="11"/>
      <c r="M19" s="11"/>
    </row>
    <row r="20" customFormat="false" ht="14.25" hidden="false" customHeight="true" outlineLevel="0" collapsed="false">
      <c r="C20" s="11" t="s">
        <v>1887</v>
      </c>
      <c r="D20" s="42" t="n">
        <f aca="false">Historicals!D28</f>
        <v>41.7</v>
      </c>
      <c r="E20" s="42" t="n">
        <f aca="false">Historicals!E28</f>
        <v>105.9</v>
      </c>
      <c r="F20" s="42" t="n">
        <f aca="false">Historicals!F28</f>
        <v>77.9</v>
      </c>
      <c r="G20" s="42" t="n">
        <f aca="false">Historicals!G28</f>
        <v>130.3</v>
      </c>
      <c r="H20" s="42" t="n">
        <f aca="false">Historicals!H28</f>
        <v>138.3</v>
      </c>
      <c r="I20" s="42" t="n">
        <f aca="false">Historicals!I28</f>
        <v>136.9</v>
      </c>
      <c r="J20" s="11"/>
      <c r="K20" s="11"/>
      <c r="L20" s="11"/>
      <c r="M20" s="11"/>
    </row>
    <row r="21" customFormat="false" ht="14.25" hidden="false" customHeight="true" outlineLevel="0" collapsed="false">
      <c r="C21" s="11" t="s">
        <v>1888</v>
      </c>
      <c r="D21" s="11"/>
      <c r="E21" s="11"/>
      <c r="F21" s="11"/>
      <c r="G21" s="42" t="n">
        <f aca="false">Drivers!C207</f>
        <v>112.1</v>
      </c>
      <c r="H21" s="42" t="n">
        <f aca="false">Drivers!C208</f>
        <v>119.9</v>
      </c>
      <c r="I21" s="42" t="n">
        <f aca="false">Drivers!C209</f>
        <v>117</v>
      </c>
      <c r="J21" s="11"/>
      <c r="K21" s="11"/>
      <c r="L21" s="11"/>
      <c r="M21" s="11"/>
    </row>
    <row r="22" customFormat="false" ht="14.25" hidden="false" customHeight="true" outlineLevel="0" collapsed="false">
      <c r="C22" s="11" t="s">
        <v>1889</v>
      </c>
      <c r="D22" s="11"/>
      <c r="E22" s="11"/>
      <c r="F22" s="11"/>
      <c r="G22" s="42" t="n">
        <f aca="false">Drivers!C210</f>
        <v>8.4</v>
      </c>
      <c r="H22" s="42" t="n">
        <f aca="false">Drivers!C211</f>
        <v>12.9</v>
      </c>
      <c r="I22" s="42" t="n">
        <f aca="false">Drivers!C212</f>
        <v>16.6</v>
      </c>
      <c r="J22" s="11"/>
      <c r="K22" s="11"/>
      <c r="L22" s="11"/>
      <c r="M22" s="11"/>
    </row>
    <row r="23" customFormat="false" ht="14.25" hidden="false" customHeight="true" outlineLevel="0" collapsed="false">
      <c r="C23" s="11" t="s">
        <v>1890</v>
      </c>
      <c r="D23" s="11"/>
      <c r="E23" s="11"/>
      <c r="F23" s="11"/>
      <c r="G23" s="42" t="n">
        <f aca="false">Drivers!C213</f>
        <v>0</v>
      </c>
      <c r="H23" s="42" t="n">
        <f aca="false">Drivers!C214</f>
        <v>0</v>
      </c>
      <c r="I23" s="42" t="n">
        <f aca="false">Drivers!C215</f>
        <v>-3.6</v>
      </c>
      <c r="J23" s="11"/>
      <c r="K23" s="11"/>
      <c r="L23" s="11"/>
      <c r="M23" s="11"/>
    </row>
    <row r="24" customFormat="false" ht="14.25" hidden="false" customHeight="true" outlineLevel="0" collapsed="false">
      <c r="C24" s="11" t="s">
        <v>1891</v>
      </c>
      <c r="D24" s="11"/>
      <c r="E24" s="11"/>
      <c r="F24" s="11"/>
      <c r="G24" s="32" t="n">
        <f aca="false">G21*1000000/G18</f>
        <v>35542.1686746988</v>
      </c>
      <c r="H24" s="32" t="n">
        <f aca="false">H21*1000000/H18</f>
        <v>56370.4748472026</v>
      </c>
      <c r="I24" s="32" t="n">
        <f aca="false">I21*1000000/I18</f>
        <v>34280.6914737767</v>
      </c>
      <c r="J24" s="11"/>
      <c r="K24" s="11"/>
      <c r="L24" s="11"/>
      <c r="M24" s="11"/>
    </row>
    <row r="25" customFormat="false" ht="14.25" hidden="false" customHeight="true" outlineLevel="0" collapsed="false">
      <c r="C25" s="11" t="s">
        <v>1892</v>
      </c>
      <c r="D25" s="11"/>
      <c r="E25" s="11"/>
      <c r="F25" s="11"/>
      <c r="G25" s="32" t="n">
        <f aca="false">G22*1000000/G19</f>
        <v>6531.88180404355</v>
      </c>
      <c r="H25" s="32" t="n">
        <f aca="false">H22*1000000/H19</f>
        <v>9002.09351011863</v>
      </c>
      <c r="I25" s="32" t="n">
        <f aca="false">I22*1000000/I19</f>
        <v>7201.73535791757</v>
      </c>
      <c r="J25" s="11"/>
      <c r="K25" s="11"/>
      <c r="L25" s="11"/>
      <c r="M25" s="11"/>
    </row>
    <row r="26" customFormat="false" ht="14.25" hidden="false" customHeight="true" outlineLevel="0" collapsed="false">
      <c r="C26" s="11" t="s">
        <v>1893</v>
      </c>
      <c r="D26" s="11"/>
      <c r="E26" s="11"/>
      <c r="F26" s="11"/>
      <c r="G26" s="11"/>
      <c r="H26" s="11"/>
      <c r="I26" s="11"/>
      <c r="J26" s="32" t="n">
        <f aca="false">AVERAGE(G24:I24)</f>
        <v>42064.4449985594</v>
      </c>
      <c r="K26" s="11"/>
      <c r="L26" s="11"/>
      <c r="M26" s="11"/>
    </row>
    <row r="27" customFormat="false" ht="14.25" hidden="false" customHeight="true" outlineLevel="0" collapsed="false">
      <c r="C27" s="11" t="s">
        <v>1894</v>
      </c>
      <c r="D27" s="11"/>
      <c r="E27" s="11"/>
      <c r="F27" s="11"/>
      <c r="G27" s="11"/>
      <c r="H27" s="11"/>
      <c r="I27" s="11"/>
      <c r="J27" s="32" t="n">
        <f aca="false">AVERAGE(G25:I25)</f>
        <v>7578.57022402658</v>
      </c>
      <c r="K27" s="11"/>
      <c r="L27" s="11"/>
      <c r="M27" s="11"/>
    </row>
    <row r="28" customFormat="false" ht="14.25" hidden="false" customHeight="true" outlineLevel="0" collapsed="false">
      <c r="C28" s="11"/>
      <c r="D28" s="11"/>
      <c r="E28" s="11"/>
      <c r="F28" s="11"/>
      <c r="G28" s="11"/>
      <c r="H28" s="11"/>
      <c r="I28" s="11"/>
      <c r="J28" s="11"/>
      <c r="K28" s="11"/>
      <c r="L28" s="11"/>
      <c r="M28" s="11"/>
    </row>
    <row r="29" customFormat="false" ht="14.25" hidden="false" customHeight="true" outlineLevel="0" collapsed="false">
      <c r="A29" s="22" t="s">
        <v>11</v>
      </c>
      <c r="C29" s="71" t="s">
        <v>1895</v>
      </c>
      <c r="D29" s="54"/>
      <c r="E29" s="54"/>
      <c r="F29" s="54"/>
      <c r="G29" s="54"/>
      <c r="H29" s="54"/>
      <c r="I29" s="54"/>
      <c r="J29" s="54"/>
      <c r="K29" s="54"/>
      <c r="L29" s="54"/>
      <c r="M29" s="54"/>
    </row>
    <row r="30" customFormat="false" ht="14.25" hidden="false" customHeight="true" outlineLevel="0" collapsed="false">
      <c r="C30" s="11" t="s">
        <v>1896</v>
      </c>
      <c r="D30" s="14" t="n">
        <f aca="false">Drivers!C216</f>
        <v>420</v>
      </c>
      <c r="E30" s="11"/>
      <c r="F30" s="11"/>
      <c r="G30" s="11"/>
      <c r="H30" s="11"/>
      <c r="I30" s="11"/>
      <c r="J30" s="11"/>
      <c r="K30" s="11"/>
      <c r="L30" s="11"/>
      <c r="M30" s="11"/>
    </row>
    <row r="31" customFormat="false" ht="14.25" hidden="false" customHeight="true" outlineLevel="0" collapsed="false">
      <c r="C31" s="11" t="s">
        <v>1897</v>
      </c>
      <c r="D31" s="42" t="n">
        <f aca="false">Drivers!C217</f>
        <v>32</v>
      </c>
      <c r="E31" s="11"/>
      <c r="F31" s="11"/>
      <c r="G31" s="11"/>
      <c r="H31" s="11"/>
      <c r="I31" s="11"/>
      <c r="J31" s="11"/>
      <c r="K31" s="11"/>
      <c r="L31" s="11"/>
      <c r="M31" s="11"/>
    </row>
    <row r="32" customFormat="false" ht="14.25" hidden="false" customHeight="true" outlineLevel="0" collapsed="false">
      <c r="C32" s="11" t="s">
        <v>1898</v>
      </c>
      <c r="D32" s="64" t="n">
        <f aca="false">D30*D31</f>
        <v>13440</v>
      </c>
      <c r="E32" s="11"/>
      <c r="F32" s="11"/>
      <c r="G32" s="11"/>
      <c r="H32" s="11"/>
      <c r="I32" s="11"/>
      <c r="J32" s="11"/>
      <c r="K32" s="11"/>
      <c r="L32" s="11"/>
      <c r="M32" s="11"/>
    </row>
    <row r="33" customFormat="false" ht="14.25" hidden="false" customHeight="true" outlineLevel="0" collapsed="false">
      <c r="C33" s="11"/>
      <c r="D33" s="11"/>
      <c r="E33" s="11"/>
      <c r="F33" s="11"/>
      <c r="G33" s="11"/>
      <c r="H33" s="11"/>
      <c r="I33" s="11"/>
      <c r="J33" s="11"/>
      <c r="K33" s="11"/>
      <c r="L33" s="11"/>
      <c r="M33" s="11"/>
    </row>
    <row r="34" customFormat="false" ht="14.25" hidden="false" customHeight="true" outlineLevel="0" collapsed="false">
      <c r="A34" s="22" t="s">
        <v>11</v>
      </c>
      <c r="C34" s="71" t="s">
        <v>1899</v>
      </c>
      <c r="D34" s="54"/>
      <c r="E34" s="54"/>
      <c r="F34" s="54"/>
      <c r="G34" s="54"/>
      <c r="H34" s="54"/>
      <c r="I34" s="54"/>
      <c r="J34" s="54"/>
      <c r="K34" s="54"/>
      <c r="L34" s="54"/>
      <c r="M34" s="54"/>
    </row>
    <row r="35" customFormat="false" ht="14.25" hidden="false" customHeight="true" outlineLevel="0" collapsed="false">
      <c r="C35" s="11"/>
      <c r="D35" s="88" t="n">
        <v>2026</v>
      </c>
      <c r="E35" s="88" t="n">
        <v>2027</v>
      </c>
      <c r="F35" s="88" t="n">
        <v>2028</v>
      </c>
      <c r="G35" s="88" t="n">
        <v>2029</v>
      </c>
      <c r="H35" s="88" t="n">
        <v>2030</v>
      </c>
      <c r="I35" s="44" t="n">
        <v>2031</v>
      </c>
      <c r="J35" s="44" t="n">
        <v>2032</v>
      </c>
      <c r="K35" s="44" t="n">
        <v>2033</v>
      </c>
      <c r="L35" s="44" t="n">
        <v>2034</v>
      </c>
      <c r="M35" s="44" t="n">
        <v>2035</v>
      </c>
    </row>
    <row r="36" customFormat="false" ht="14.25" hidden="false" customHeight="true" outlineLevel="0" collapsed="false">
      <c r="C36" s="11" t="s">
        <v>1900</v>
      </c>
      <c r="D36" s="42" t="n">
        <f aca="false">Drivers!C218</f>
        <v>3413</v>
      </c>
      <c r="E36" s="42" t="n">
        <f aca="false">Drivers!C219</f>
        <v>3413</v>
      </c>
      <c r="F36" s="42" t="n">
        <f aca="false">Drivers!C220</f>
        <v>3413</v>
      </c>
      <c r="G36" s="42" t="n">
        <f aca="false">Drivers!C221</f>
        <v>3413</v>
      </c>
      <c r="H36" s="42" t="n">
        <f aca="false">Drivers!C222</f>
        <v>3413</v>
      </c>
      <c r="I36" s="42" t="n">
        <f aca="false">Drivers!C463</f>
        <v>3413</v>
      </c>
      <c r="J36" s="42" t="n">
        <f aca="false">$I$36</f>
        <v>3413</v>
      </c>
      <c r="K36" s="42" t="n">
        <f aca="false">$I$36</f>
        <v>3413</v>
      </c>
      <c r="L36" s="42" t="n">
        <f aca="false">$I$36</f>
        <v>3413</v>
      </c>
      <c r="M36" s="42" t="n">
        <f aca="false">$I$36</f>
        <v>3413</v>
      </c>
      <c r="N36" s="73" t="n">
        <f aca="false">$I$36</f>
        <v>3413</v>
      </c>
    </row>
    <row r="37" customFormat="false" ht="14.25" hidden="false" customHeight="true" outlineLevel="0" collapsed="false">
      <c r="C37" s="11" t="s">
        <v>1901</v>
      </c>
      <c r="D37" s="42" t="n">
        <f aca="false">Drivers!C223</f>
        <v>2305</v>
      </c>
      <c r="E37" s="42" t="n">
        <f aca="false">Drivers!C224</f>
        <v>2305</v>
      </c>
      <c r="F37" s="42" t="n">
        <f aca="false">Drivers!C225</f>
        <v>2305</v>
      </c>
      <c r="G37" s="42" t="n">
        <f aca="false">Drivers!C226</f>
        <v>2305</v>
      </c>
      <c r="H37" s="42" t="n">
        <f aca="false">Drivers!C227</f>
        <v>2305</v>
      </c>
      <c r="I37" s="42" t="n">
        <f aca="false">Drivers!C468</f>
        <v>2305</v>
      </c>
      <c r="J37" s="42" t="n">
        <f aca="false">$I$37</f>
        <v>2305</v>
      </c>
      <c r="K37" s="42" t="n">
        <f aca="false">$I$37</f>
        <v>2305</v>
      </c>
      <c r="L37" s="42" t="n">
        <f aca="false">$I$37</f>
        <v>2305</v>
      </c>
      <c r="M37" s="42" t="n">
        <f aca="false">$I$37</f>
        <v>2305</v>
      </c>
      <c r="N37" s="73" t="n">
        <f aca="false">$I$37</f>
        <v>2305</v>
      </c>
    </row>
    <row r="38" customFormat="false" ht="14.25" hidden="false" customHeight="true" outlineLevel="0" collapsed="false">
      <c r="C38" s="11" t="s">
        <v>1902</v>
      </c>
      <c r="D38" s="42" t="n">
        <f aca="false">Drivers!$C$228*$J$26+(1-Drivers!$C$228)*$I$24</f>
        <v>34280.6914737767</v>
      </c>
      <c r="E38" s="42" t="n">
        <f aca="false">Drivers!$C$228*$J$26+(1-Drivers!$C$228)*$I$24</f>
        <v>34280.6914737767</v>
      </c>
      <c r="F38" s="42" t="n">
        <f aca="false">Drivers!$C$228*$J$26+(1-Drivers!$C$228)*$I$24</f>
        <v>34280.6914737767</v>
      </c>
      <c r="G38" s="42" t="n">
        <f aca="false">Drivers!$C$228*$J$26+(1-Drivers!$C$228)*$I$24</f>
        <v>34280.6914737767</v>
      </c>
      <c r="H38" s="42" t="n">
        <f aca="false">Drivers!$C$228*$J$26+(1-Drivers!$C$228)*$I$24</f>
        <v>34280.6914737767</v>
      </c>
      <c r="I38" s="42" t="n">
        <f aca="false">Drivers!$C$228*$J$26+(1-Drivers!$C$228)*$I$24</f>
        <v>34280.6914737767</v>
      </c>
      <c r="J38" s="42" t="n">
        <f aca="false">Drivers!$C$228*$J$26+(1-Drivers!$C$228)*$I$24</f>
        <v>34280.6914737767</v>
      </c>
      <c r="K38" s="42" t="n">
        <f aca="false">Drivers!$C$228*$J$26+(1-Drivers!$C$228)*$I$24</f>
        <v>34280.6914737767</v>
      </c>
      <c r="L38" s="42" t="n">
        <f aca="false">Drivers!$C$228*$J$26+(1-Drivers!$C$228)*$I$24</f>
        <v>34280.6914737767</v>
      </c>
      <c r="M38" s="42" t="n">
        <f aca="false">Drivers!$C$228*$J$26+(1-Drivers!$C$228)*$I$24</f>
        <v>34280.6914737767</v>
      </c>
    </row>
    <row r="39" customFormat="false" ht="14.25" hidden="false" customHeight="true" outlineLevel="0" collapsed="false">
      <c r="C39" s="11" t="s">
        <v>1903</v>
      </c>
      <c r="D39" s="42" t="n">
        <f aca="false">Drivers!$C$228*$J$27+(1-Drivers!$C$228)*$I$25</f>
        <v>7201.73535791757</v>
      </c>
      <c r="E39" s="42" t="n">
        <f aca="false">Drivers!$C$228*$J$27+(1-Drivers!$C$228)*$I$25</f>
        <v>7201.73535791757</v>
      </c>
      <c r="F39" s="42" t="n">
        <f aca="false">Drivers!$C$228*$J$27+(1-Drivers!$C$228)*$I$25</f>
        <v>7201.73535791757</v>
      </c>
      <c r="G39" s="42" t="n">
        <f aca="false">Drivers!$C$228*$J$27+(1-Drivers!$C$228)*$I$25</f>
        <v>7201.73535791757</v>
      </c>
      <c r="H39" s="42" t="n">
        <f aca="false">Drivers!$C$228*$J$27+(1-Drivers!$C$228)*$I$25</f>
        <v>7201.73535791757</v>
      </c>
      <c r="I39" s="42" t="n">
        <f aca="false">Drivers!$C$228*$J$27+(1-Drivers!$C$228)*$I$25</f>
        <v>7201.73535791757</v>
      </c>
      <c r="J39" s="42" t="n">
        <f aca="false">Drivers!$C$228*$J$27+(1-Drivers!$C$228)*$I$25</f>
        <v>7201.73535791757</v>
      </c>
      <c r="K39" s="42" t="n">
        <f aca="false">Drivers!$C$228*$J$27+(1-Drivers!$C$228)*$I$25</f>
        <v>7201.73535791757</v>
      </c>
      <c r="L39" s="42" t="n">
        <f aca="false">Drivers!$C$228*$J$27+(1-Drivers!$C$228)*$I$25</f>
        <v>7201.73535791757</v>
      </c>
      <c r="M39" s="42" t="n">
        <f aca="false">Drivers!$C$228*$J$27+(1-Drivers!$C$228)*$I$25</f>
        <v>7201.73535791757</v>
      </c>
    </row>
    <row r="40" customFormat="false" ht="14.25" hidden="false" customHeight="true" outlineLevel="0" collapsed="false">
      <c r="C40" s="11" t="s">
        <v>1904</v>
      </c>
      <c r="D40" s="32" t="n">
        <f aca="false">D36*D38/1000000</f>
        <v>117</v>
      </c>
      <c r="E40" s="32" t="n">
        <f aca="false">E36*E38/1000000</f>
        <v>117</v>
      </c>
      <c r="F40" s="32" t="n">
        <f aca="false">F36*F38/1000000</f>
        <v>117</v>
      </c>
      <c r="G40" s="32" t="n">
        <f aca="false">G36*G38/1000000</f>
        <v>117</v>
      </c>
      <c r="H40" s="32" t="n">
        <f aca="false">H36*H38/1000000</f>
        <v>117</v>
      </c>
      <c r="I40" s="32" t="n">
        <f aca="false">I36*I38/1000000</f>
        <v>117</v>
      </c>
      <c r="J40" s="32" t="n">
        <f aca="false">J36*J38/1000000</f>
        <v>117</v>
      </c>
      <c r="K40" s="32" t="n">
        <f aca="false">K36*K38/1000000</f>
        <v>117</v>
      </c>
      <c r="L40" s="32" t="n">
        <f aca="false">L36*L38/1000000</f>
        <v>117</v>
      </c>
      <c r="M40" s="32" t="n">
        <f aca="false">M36*M38/1000000</f>
        <v>117</v>
      </c>
    </row>
    <row r="41" customFormat="false" ht="14.25" hidden="false" customHeight="true" outlineLevel="0" collapsed="false">
      <c r="C41" s="11" t="s">
        <v>1905</v>
      </c>
      <c r="D41" s="32" t="n">
        <f aca="false">D37*D39/1000000</f>
        <v>16.6</v>
      </c>
      <c r="E41" s="32" t="n">
        <f aca="false">E37*E39/1000000</f>
        <v>16.6</v>
      </c>
      <c r="F41" s="32" t="n">
        <f aca="false">F37*F39/1000000</f>
        <v>16.6</v>
      </c>
      <c r="G41" s="32" t="n">
        <f aca="false">G37*G39/1000000</f>
        <v>16.6</v>
      </c>
      <c r="H41" s="32" t="n">
        <f aca="false">H37*H39/1000000</f>
        <v>16.6</v>
      </c>
      <c r="I41" s="32" t="n">
        <f aca="false">I37*I39/1000000</f>
        <v>16.6</v>
      </c>
      <c r="J41" s="32" t="n">
        <f aca="false">J37*J39/1000000</f>
        <v>16.6</v>
      </c>
      <c r="K41" s="32" t="n">
        <f aca="false">K37*K39/1000000</f>
        <v>16.6</v>
      </c>
      <c r="L41" s="32" t="n">
        <f aca="false">L37*L39/1000000</f>
        <v>16.6</v>
      </c>
      <c r="M41" s="32" t="n">
        <f aca="false">M37*M39/1000000</f>
        <v>16.6</v>
      </c>
    </row>
    <row r="42" customFormat="false" ht="14.25" hidden="false" customHeight="true" outlineLevel="0" collapsed="false">
      <c r="C42" s="11" t="s">
        <v>1906</v>
      </c>
      <c r="D42" s="32" t="n">
        <f aca="false">D40+D41</f>
        <v>133.6</v>
      </c>
      <c r="E42" s="32" t="n">
        <f aca="false">E40+E41</f>
        <v>133.6</v>
      </c>
      <c r="F42" s="32" t="n">
        <f aca="false">F40+F41</f>
        <v>133.6</v>
      </c>
      <c r="G42" s="32" t="n">
        <f aca="false">G40+G41</f>
        <v>133.6</v>
      </c>
      <c r="H42" s="32" t="n">
        <f aca="false">H40+H41</f>
        <v>133.6</v>
      </c>
      <c r="I42" s="32" t="n">
        <f aca="false">I40+I41</f>
        <v>133.6</v>
      </c>
      <c r="J42" s="32" t="n">
        <f aca="false">J40+J41</f>
        <v>133.6</v>
      </c>
      <c r="K42" s="32" t="n">
        <f aca="false">K40+K41</f>
        <v>133.6</v>
      </c>
      <c r="L42" s="32" t="n">
        <f aca="false">L40+L41</f>
        <v>133.6</v>
      </c>
      <c r="M42" s="32" t="n">
        <f aca="false">M40+M41</f>
        <v>133.6</v>
      </c>
    </row>
    <row r="43" customFormat="false" ht="14.25" hidden="false" customHeight="true" outlineLevel="0" collapsed="false">
      <c r="C43" s="11" t="s">
        <v>1907</v>
      </c>
      <c r="D43" s="42" t="n">
        <f aca="false">Drivers!C229</f>
        <v>6.9</v>
      </c>
      <c r="E43" s="42" t="n">
        <f aca="false">Drivers!C230</f>
        <v>6.9</v>
      </c>
      <c r="F43" s="42" t="n">
        <f aca="false">Drivers!C231</f>
        <v>6.9</v>
      </c>
      <c r="G43" s="42" t="n">
        <f aca="false">Drivers!C232</f>
        <v>6.9</v>
      </c>
      <c r="H43" s="42" t="n">
        <f aca="false">Drivers!C233</f>
        <v>6.9</v>
      </c>
      <c r="I43" s="42" t="n">
        <f aca="false">Drivers!C473</f>
        <v>6.9</v>
      </c>
      <c r="J43" s="42" t="n">
        <f aca="false">Drivers!C474</f>
        <v>6.9</v>
      </c>
      <c r="K43" s="42" t="n">
        <f aca="false">Drivers!C475</f>
        <v>6.9</v>
      </c>
      <c r="L43" s="42" t="n">
        <f aca="false">Drivers!C476</f>
        <v>6.9</v>
      </c>
      <c r="M43" s="42" t="n">
        <f aca="false">Drivers!C477</f>
        <v>6.9</v>
      </c>
    </row>
    <row r="44" customFormat="false" ht="14.25" hidden="false" customHeight="true" outlineLevel="0" collapsed="false">
      <c r="C44" s="10" t="s">
        <v>1908</v>
      </c>
      <c r="D44" s="89" t="n">
        <f aca="false">D42+D43</f>
        <v>140.5</v>
      </c>
      <c r="E44" s="89" t="n">
        <f aca="false">E42+E43</f>
        <v>140.5</v>
      </c>
      <c r="F44" s="89" t="n">
        <f aca="false">F42+F43</f>
        <v>140.5</v>
      </c>
      <c r="G44" s="89" t="n">
        <f aca="false">G42+G43</f>
        <v>140.5</v>
      </c>
      <c r="H44" s="89" t="n">
        <f aca="false">H42+H43</f>
        <v>140.5</v>
      </c>
      <c r="I44" s="42" t="n">
        <f aca="false">H44*(1+Drivers!$C$397)</f>
        <v>145.4175</v>
      </c>
      <c r="J44" s="42" t="n">
        <f aca="false">$I$44</f>
        <v>145.4175</v>
      </c>
      <c r="K44" s="42" t="n">
        <f aca="false">$I$44</f>
        <v>145.4175</v>
      </c>
      <c r="L44" s="42" t="n">
        <f aca="false">$I$44</f>
        <v>145.4175</v>
      </c>
      <c r="M44" s="42" t="n">
        <f aca="false">$I$44</f>
        <v>145.4175</v>
      </c>
      <c r="N44" s="73" t="n">
        <f aca="false">$I$44</f>
        <v>145.4175</v>
      </c>
    </row>
    <row r="45" customFormat="false" ht="14.25" hidden="false" customHeight="true" outlineLevel="0" collapsed="false">
      <c r="C45" s="11"/>
      <c r="D45" s="11"/>
      <c r="E45" s="11"/>
      <c r="F45" s="11"/>
      <c r="G45" s="11"/>
      <c r="H45" s="11"/>
      <c r="I45" s="11"/>
      <c r="J45" s="11"/>
      <c r="K45" s="11"/>
      <c r="L45" s="11"/>
      <c r="M45" s="11"/>
    </row>
    <row r="46" customFormat="false" ht="14.25" hidden="false" customHeight="true" outlineLevel="0" collapsed="false">
      <c r="A46" s="22" t="s">
        <v>11</v>
      </c>
      <c r="C46" s="71" t="s">
        <v>1909</v>
      </c>
      <c r="D46" s="54"/>
      <c r="E46" s="54"/>
      <c r="F46" s="54"/>
      <c r="G46" s="54"/>
      <c r="H46" s="54"/>
      <c r="I46" s="54"/>
      <c r="J46" s="54"/>
      <c r="K46" s="54"/>
      <c r="L46" s="54"/>
      <c r="M46" s="54"/>
    </row>
    <row r="47" customFormat="false" ht="14.25" hidden="false" customHeight="true" outlineLevel="0" collapsed="false">
      <c r="C47" s="11" t="s">
        <v>1910</v>
      </c>
      <c r="D47" s="42" t="n">
        <f aca="false">Drivers!C56</f>
        <v>130</v>
      </c>
      <c r="E47" s="11"/>
      <c r="F47" s="11"/>
      <c r="G47" s="11"/>
      <c r="H47" s="11"/>
      <c r="I47" s="11"/>
      <c r="J47" s="11"/>
      <c r="K47" s="11"/>
      <c r="L47" s="11"/>
      <c r="M47" s="11"/>
    </row>
    <row r="48" customFormat="false" ht="14.25" hidden="false" customHeight="true" outlineLevel="0" collapsed="false">
      <c r="C48" s="11" t="s">
        <v>1911</v>
      </c>
      <c r="D48" s="32" t="n">
        <f aca="false">D44</f>
        <v>140.5</v>
      </c>
      <c r="E48" s="11"/>
      <c r="F48" s="11"/>
      <c r="G48" s="11"/>
      <c r="H48" s="11"/>
      <c r="I48" s="11"/>
      <c r="J48" s="11"/>
      <c r="K48" s="11"/>
      <c r="L48" s="11"/>
      <c r="M48" s="11"/>
    </row>
    <row r="49" customFormat="false" ht="14.25" hidden="false" customHeight="true" outlineLevel="0" collapsed="false">
      <c r="C49" s="11" t="s">
        <v>1912</v>
      </c>
      <c r="D49" s="32" t="n">
        <f aca="false">D48-D47</f>
        <v>10.5</v>
      </c>
      <c r="E49" s="11"/>
      <c r="F49" s="11"/>
      <c r="G49" s="11"/>
      <c r="H49" s="11"/>
      <c r="I49" s="11"/>
      <c r="J49" s="11"/>
      <c r="K49" s="11"/>
      <c r="L49" s="11"/>
      <c r="M49" s="11"/>
    </row>
    <row r="50" customFormat="false" ht="14.25" hidden="false" customHeight="true" outlineLevel="0" collapsed="false">
      <c r="C50" s="11" t="s">
        <v>1913</v>
      </c>
      <c r="D50" s="32" t="n">
        <f aca="false">D44</f>
        <v>140.5</v>
      </c>
      <c r="E50" s="11"/>
      <c r="F50" s="11"/>
      <c r="G50" s="11"/>
      <c r="H50" s="11"/>
      <c r="I50" s="11"/>
      <c r="J50" s="11"/>
      <c r="K50" s="11"/>
      <c r="L50" s="11"/>
      <c r="M50" s="11"/>
    </row>
    <row r="51" customFormat="false" ht="14.25" hidden="false" customHeight="true" outlineLevel="0" collapsed="false">
      <c r="C51" s="11" t="s">
        <v>1914</v>
      </c>
      <c r="D51" s="42" t="n">
        <f aca="false">Drivers!C56+Drivers!C57</f>
        <v>200</v>
      </c>
      <c r="E51" s="11"/>
      <c r="F51" s="11"/>
      <c r="G51" s="11"/>
      <c r="H51" s="11"/>
      <c r="I51" s="11"/>
      <c r="J51" s="11"/>
      <c r="K51" s="11"/>
      <c r="L51" s="11"/>
      <c r="M51" s="11"/>
    </row>
    <row r="52" customFormat="false" ht="14.25" hidden="false" customHeight="true" outlineLevel="0" collapsed="false">
      <c r="C52" s="11" t="s">
        <v>1915</v>
      </c>
      <c r="D52" s="42" t="n">
        <f aca="false">D44+'GABX Mini P&amp;L'!G22</f>
        <v>210.5</v>
      </c>
      <c r="E52" s="11"/>
      <c r="F52" s="11"/>
      <c r="G52" s="11"/>
      <c r="H52" s="11"/>
      <c r="I52" s="11"/>
      <c r="J52" s="11"/>
      <c r="K52" s="11"/>
      <c r="L52" s="11"/>
      <c r="M52" s="11"/>
    </row>
    <row r="53" customFormat="false" ht="14.25" hidden="false" customHeight="true" outlineLevel="0" collapsed="false">
      <c r="C53" s="11" t="s">
        <v>1916</v>
      </c>
      <c r="D53" s="32" t="n">
        <f aca="false">D52-D51</f>
        <v>10.5</v>
      </c>
      <c r="E53" s="11"/>
      <c r="F53" s="11"/>
      <c r="G53" s="11"/>
      <c r="H53" s="11"/>
      <c r="I53" s="11"/>
      <c r="J53" s="11"/>
      <c r="K53" s="11"/>
      <c r="L53" s="11"/>
      <c r="M53" s="11"/>
    </row>
    <row r="54" customFormat="false" ht="14.25" hidden="false" customHeight="true" outlineLevel="0" collapsed="false">
      <c r="C54" s="10" t="s">
        <v>1917</v>
      </c>
      <c r="D54" s="11"/>
      <c r="E54" s="11"/>
      <c r="F54" s="11"/>
      <c r="G54" s="11"/>
      <c r="H54" s="11"/>
      <c r="I54" s="11"/>
      <c r="J54" s="11"/>
      <c r="K54" s="11"/>
      <c r="L54" s="11"/>
      <c r="M54" s="11"/>
    </row>
    <row r="55" customFormat="false" ht="14.25" hidden="false" customHeight="true" outlineLevel="0" collapsed="false">
      <c r="C55" s="11" t="s">
        <v>1918</v>
      </c>
      <c r="D55" s="32" t="n">
        <f aca="false">D36*J26/1000000</f>
        <v>143.565950780083</v>
      </c>
      <c r="E55" s="11"/>
      <c r="F55" s="11"/>
      <c r="G55" s="11"/>
      <c r="H55" s="11"/>
      <c r="I55" s="11"/>
      <c r="J55" s="11"/>
      <c r="K55" s="11"/>
      <c r="L55" s="11"/>
      <c r="M55" s="11"/>
    </row>
    <row r="56" customFormat="false" ht="14.25" hidden="false" customHeight="true" outlineLevel="0" collapsed="false">
      <c r="C56" s="11" t="s">
        <v>1919</v>
      </c>
      <c r="D56" s="32" t="n">
        <f aca="false">D37*MAX(J27,D32)/1000000</f>
        <v>30.9792</v>
      </c>
      <c r="E56" s="11"/>
      <c r="F56" s="11"/>
      <c r="G56" s="11"/>
      <c r="H56" s="11"/>
      <c r="I56" s="11"/>
      <c r="J56" s="11"/>
      <c r="K56" s="11"/>
      <c r="L56" s="11"/>
      <c r="M56" s="11"/>
    </row>
    <row r="57" customFormat="false" ht="14.25" hidden="false" customHeight="true" outlineLevel="0" collapsed="false">
      <c r="C57" s="11" t="s">
        <v>1920</v>
      </c>
      <c r="D57" s="42" t="n">
        <f aca="false">Drivers!C229</f>
        <v>6.9</v>
      </c>
      <c r="E57" s="11"/>
      <c r="F57" s="11"/>
      <c r="G57" s="11"/>
      <c r="H57" s="11"/>
      <c r="I57" s="11"/>
      <c r="J57" s="11"/>
      <c r="K57" s="11"/>
      <c r="L57" s="11"/>
      <c r="M57" s="11"/>
    </row>
    <row r="58" customFormat="false" ht="14.25" hidden="false" customHeight="true" outlineLevel="0" collapsed="false">
      <c r="C58" s="11" t="s">
        <v>1921</v>
      </c>
      <c r="D58" s="32" t="n">
        <f aca="false">D55+D56+D57</f>
        <v>181.445150780083</v>
      </c>
      <c r="E58" s="11"/>
      <c r="F58" s="11"/>
      <c r="G58" s="11"/>
      <c r="H58" s="11"/>
      <c r="I58" s="11"/>
      <c r="J58" s="11"/>
      <c r="K58" s="11"/>
      <c r="L58" s="11"/>
      <c r="M58" s="11"/>
    </row>
    <row r="59" customFormat="false" ht="14.25" hidden="false" customHeight="true" outlineLevel="0" collapsed="false">
      <c r="C59" s="11" t="s">
        <v>1922</v>
      </c>
      <c r="D59" s="32" t="n">
        <f aca="false">D58-D49</f>
        <v>170.945150780083</v>
      </c>
      <c r="E59" s="11"/>
      <c r="F59" s="11"/>
      <c r="G59" s="11"/>
      <c r="H59" s="11"/>
      <c r="I59" s="11"/>
      <c r="J59" s="11"/>
      <c r="K59" s="11"/>
      <c r="L59" s="11"/>
      <c r="M59" s="11"/>
    </row>
    <row r="60" customFormat="false" ht="14.25" hidden="false" customHeight="true" outlineLevel="0" collapsed="false">
      <c r="C60" s="11"/>
      <c r="D60" s="11"/>
      <c r="E60" s="11"/>
      <c r="F60" s="11"/>
      <c r="G60" s="11"/>
      <c r="H60" s="11"/>
      <c r="I60" s="11"/>
      <c r="J60" s="11"/>
      <c r="K60" s="11"/>
      <c r="L60" s="11"/>
      <c r="M60" s="11"/>
    </row>
    <row r="61" customFormat="false" ht="14.25" hidden="false" customHeight="true" outlineLevel="0" collapsed="false">
      <c r="C61" s="11" t="s">
        <v>1923</v>
      </c>
      <c r="D61" s="11"/>
      <c r="E61" s="11"/>
      <c r="F61" s="11"/>
      <c r="G61" s="11"/>
      <c r="H61" s="11"/>
      <c r="I61" s="11"/>
      <c r="J61" s="11"/>
      <c r="K61" s="11"/>
      <c r="L61" s="11"/>
      <c r="M61" s="11"/>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M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3" topLeftCell="D14" activePane="bottomRight" state="frozen"/>
      <selection pane="topLeft" activeCell="A1" activeCellId="0" sqref="A1"/>
      <selection pane="topRight" activeCell="D1" activeCellId="0" sqref="D1"/>
      <selection pane="bottomLeft" activeCell="A14" activeCellId="0" sqref="A14"/>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1" width="1.7"/>
    <col collapsed="false" customWidth="true" hidden="false" outlineLevel="0" max="3" min="3" style="1" width="46"/>
    <col collapsed="false" customWidth="true" hidden="false" outlineLevel="0" max="13" min="4" style="1" width="12.3"/>
  </cols>
  <sheetData>
    <row r="2" customFormat="false" ht="21.75" hidden="false" customHeight="true" outlineLevel="0" collapsed="false">
      <c r="C2" s="46" t="str">
        <f aca="false">"Financial Statement Model - "&amp;Cover!$D$5</f>
        <v>Financial Statement Model - GATX Corporation</v>
      </c>
      <c r="D2" s="47"/>
      <c r="E2" s="47"/>
      <c r="F2" s="47"/>
      <c r="G2" s="47"/>
      <c r="H2" s="47"/>
      <c r="I2" s="47"/>
      <c r="J2" s="47"/>
      <c r="K2" s="47"/>
      <c r="L2" s="47"/>
      <c r="M2" s="47"/>
    </row>
    <row r="3" customFormat="false" ht="15" hidden="false" customHeight="true" outlineLevel="0" collapsed="false">
      <c r="C3" s="48" t="s">
        <v>1</v>
      </c>
    </row>
    <row r="5" customFormat="false" ht="15" hidden="false" customHeight="true" outlineLevel="0" collapsed="false">
      <c r="C5" s="4" t="s">
        <v>2</v>
      </c>
      <c r="D5" s="49" t="str">
        <f aca="false">Cover!$D$5</f>
        <v>GATX Corporation</v>
      </c>
    </row>
    <row r="6" customFormat="false" ht="15" hidden="false" customHeight="true" outlineLevel="0" collapsed="false">
      <c r="C6" s="4" t="s">
        <v>4</v>
      </c>
      <c r="D6" s="49" t="str">
        <f aca="false">Cover!$D$6</f>
        <v>GATX</v>
      </c>
    </row>
    <row r="7" customFormat="false" ht="15" hidden="false" customHeight="true" outlineLevel="0" collapsed="false">
      <c r="C7" s="4" t="s">
        <v>1551</v>
      </c>
      <c r="D7" s="49" t="n">
        <f aca="false">Cover!$D$7</f>
        <v>1</v>
      </c>
    </row>
    <row r="8" customFormat="false" ht="15" hidden="false" customHeight="true" outlineLevel="0" collapsed="false">
      <c r="C8" s="4" t="s">
        <v>7</v>
      </c>
      <c r="D8" s="6" t="n">
        <f aca="false">Cover!$D$8</f>
        <v>162.78</v>
      </c>
    </row>
    <row r="9" customFormat="false" ht="15" hidden="false" customHeight="true" outlineLevel="0" collapsed="false">
      <c r="C9" s="4" t="s">
        <v>8</v>
      </c>
      <c r="D9" s="50" t="n">
        <f aca="false">Cover!$D$9</f>
        <v>46303</v>
      </c>
    </row>
    <row r="10" customFormat="false" ht="15" hidden="false" customHeight="true" outlineLevel="0" collapsed="false">
      <c r="C10" s="4" t="s">
        <v>9</v>
      </c>
      <c r="D10" s="50" t="n">
        <f aca="false">Cover!$D$10</f>
        <v>46022</v>
      </c>
    </row>
    <row r="11" customFormat="false" ht="15" hidden="false" customHeight="true" outlineLevel="0" collapsed="false">
      <c r="C11" s="4" t="s">
        <v>1552</v>
      </c>
      <c r="D11" s="8" t="n">
        <f aca="false">Cover!$D$11</f>
        <v>35.8</v>
      </c>
    </row>
    <row r="13" customFormat="false" ht="19.5" hidden="false" customHeight="true" outlineLevel="0" collapsed="false">
      <c r="C13" s="90" t="s">
        <v>1924</v>
      </c>
      <c r="D13" s="90"/>
      <c r="E13" s="90"/>
      <c r="F13" s="90"/>
      <c r="G13" s="90"/>
      <c r="H13" s="90"/>
      <c r="I13" s="90"/>
      <c r="J13" s="90"/>
      <c r="K13" s="11"/>
      <c r="L13" s="11"/>
      <c r="M13" s="11"/>
    </row>
    <row r="14" customFormat="false" ht="14.25" hidden="false" customHeight="true" outlineLevel="0" collapsed="false">
      <c r="C14" s="91" t="s">
        <v>1925</v>
      </c>
      <c r="D14" s="91"/>
      <c r="E14" s="91"/>
      <c r="F14" s="91"/>
      <c r="G14" s="91"/>
      <c r="H14" s="91"/>
      <c r="I14" s="91"/>
      <c r="J14" s="91"/>
      <c r="K14" s="11"/>
      <c r="L14" s="11"/>
      <c r="M14" s="11"/>
    </row>
    <row r="15" customFormat="false" ht="14.25" hidden="false" customHeight="true" outlineLevel="0" collapsed="false">
      <c r="C15" s="11"/>
      <c r="D15" s="11"/>
      <c r="E15" s="11"/>
      <c r="F15" s="11"/>
      <c r="G15" s="11"/>
      <c r="H15" s="11"/>
      <c r="I15" s="11"/>
      <c r="J15" s="11"/>
      <c r="K15" s="11"/>
      <c r="L15" s="11"/>
      <c r="M15" s="11"/>
    </row>
    <row r="16" customFormat="false" ht="14.25" hidden="false" customHeight="true" outlineLevel="0" collapsed="false">
      <c r="A16" s="22" t="s">
        <v>11</v>
      </c>
      <c r="C16" s="92" t="s">
        <v>1926</v>
      </c>
      <c r="D16" s="92"/>
      <c r="E16" s="92"/>
      <c r="F16" s="92"/>
      <c r="G16" s="92"/>
      <c r="H16" s="92"/>
      <c r="I16" s="92"/>
      <c r="J16" s="92"/>
      <c r="K16" s="54"/>
      <c r="L16" s="54"/>
      <c r="M16" s="54"/>
    </row>
    <row r="17" customFormat="false" ht="14.25" hidden="false" customHeight="true" outlineLevel="0" collapsed="false">
      <c r="C17" s="93"/>
      <c r="D17" s="93" t="s">
        <v>1532</v>
      </c>
      <c r="E17" s="93" t="s">
        <v>1533</v>
      </c>
      <c r="F17" s="93" t="s">
        <v>1534</v>
      </c>
      <c r="G17" s="93" t="s">
        <v>1535</v>
      </c>
      <c r="H17" s="93" t="s">
        <v>1536</v>
      </c>
      <c r="I17" s="11" t="s">
        <v>1537</v>
      </c>
      <c r="J17" s="11" t="s">
        <v>1538</v>
      </c>
      <c r="K17" s="11" t="s">
        <v>1539</v>
      </c>
      <c r="L17" s="11" t="s">
        <v>1540</v>
      </c>
      <c r="M17" s="11" t="s">
        <v>1541</v>
      </c>
    </row>
    <row r="18" customFormat="false" ht="14.25" hidden="false" customHeight="true" outlineLevel="0" collapsed="false">
      <c r="C18" s="27" t="s">
        <v>1927</v>
      </c>
      <c r="D18" s="41" t="n">
        <f aca="false">('Legacy Cohort Model'!E43-'Legacy Cohort Model'!D43)</f>
        <v>25.9656538482865</v>
      </c>
      <c r="E18" s="41" t="n">
        <f aca="false">('Legacy Cohort Model'!F43-'Legacy Cohort Model'!E43)+('Acquired Pool'!F22-'Acquired Pool'!E22)*'Acquired Pool'!F19/1000000</f>
        <v>44.1993681548261</v>
      </c>
      <c r="F18" s="41" t="n">
        <f aca="false">('Legacy Cohort Model'!G43-'Legacy Cohort Model'!F43)+('Acquired Pool'!G22-'Acquired Pool'!F22)*'Acquired Pool'!G19/1000000</f>
        <v>37.6880282952773</v>
      </c>
      <c r="G18" s="41" t="n">
        <f aca="false">('Legacy Cohort Model'!H43-'Legacy Cohort Model'!G43)+('Acquired Pool'!H22-'Acquired Pool'!G22)*'Acquired Pool'!H19/1000000</f>
        <v>21.6977105499587</v>
      </c>
      <c r="H18" s="41" t="n">
        <f aca="false">('Legacy Cohort Model'!I43-'Legacy Cohort Model'!H43)+('Acquired Pool'!I22-'Acquired Pool'!H22)*'Acquired Pool'!I19/1000000</f>
        <v>-0.00998857012646326</v>
      </c>
      <c r="I18" s="41" t="n">
        <f aca="false">('Legacy Cohort Model'!I43-'Legacy Cohort Model'!H43)+('Acquired Pool'!I22-'Acquired Pool'!H22)*'Acquired Pool'!I19*'Acquired Pool'!I21/1000000</f>
        <v>2.18250384686572</v>
      </c>
      <c r="J18" s="41" t="n">
        <f aca="false">('Legacy Cohort Model'!J43-'Legacy Cohort Model'!I43)+('Acquired Pool'!J22-'Acquired Pool'!I22)*'Acquired Pool'!J19*'Acquired Pool'!J21/1000000</f>
        <v>0.740006969116535</v>
      </c>
      <c r="K18" s="41" t="n">
        <f aca="false">('Legacy Cohort Model'!K43-'Legacy Cohort Model'!J43)+('Acquired Pool'!K22-'Acquired Pool'!J22)*'Acquired Pool'!K19*'Acquired Pool'!K21/1000000</f>
        <v>4.73316469830805</v>
      </c>
      <c r="L18" s="41" t="n">
        <f aca="false">('Legacy Cohort Model'!L43-'Legacy Cohort Model'!K43)+('Acquired Pool'!L22-'Acquired Pool'!K22)*'Acquired Pool'!L19*'Acquired Pool'!L21/1000000</f>
        <v>4.75200344231327</v>
      </c>
      <c r="M18" s="41" t="n">
        <f aca="false">('Legacy Cohort Model'!M43-'Legacy Cohort Model'!L43)+('Acquired Pool'!M22-'Acquired Pool'!L22)*'Acquired Pool'!M19*'Acquired Pool'!M21/1000000</f>
        <v>4.77862331088307</v>
      </c>
    </row>
    <row r="19" customFormat="false" ht="14.25" hidden="false" customHeight="true" outlineLevel="0" collapsed="false">
      <c r="C19" s="11" t="s">
        <v>1928</v>
      </c>
      <c r="D19" s="42" t="n">
        <f aca="false">'Acquired Pool'!E23-'Acquired Pool'!D23</f>
        <v>543</v>
      </c>
      <c r="E19" s="31" t="n">
        <v>0</v>
      </c>
      <c r="F19" s="31" t="n">
        <v>0</v>
      </c>
      <c r="G19" s="31" t="n">
        <v>0</v>
      </c>
      <c r="H19" s="31" t="n">
        <v>0</v>
      </c>
      <c r="I19" s="31" t="n">
        <v>0</v>
      </c>
      <c r="J19" s="31" t="n">
        <v>0</v>
      </c>
      <c r="K19" s="31" t="n">
        <v>0</v>
      </c>
      <c r="L19" s="31" t="n">
        <v>0</v>
      </c>
      <c r="M19" s="31" t="n">
        <v>0</v>
      </c>
    </row>
    <row r="20" customFormat="false" ht="14.25" hidden="false" customHeight="true" outlineLevel="0" collapsed="false">
      <c r="C20" s="27" t="s">
        <v>1929</v>
      </c>
      <c r="D20" s="41" t="n">
        <f aca="false">'3 Statement Forecast'!E23-Drivers!$C$175*'GABX Mini P&amp;L'!G22</f>
        <v>163.9745</v>
      </c>
      <c r="E20" s="41" t="n">
        <f aca="false">'3 Statement Forecast'!F23-Drivers!$C$175*'GABX Mini P&amp;L'!H22</f>
        <v>163.9745</v>
      </c>
      <c r="F20" s="41" t="n">
        <f aca="false">'3 Statement Forecast'!G23-Drivers!$C$175*'GABX Mini P&amp;L'!I22</f>
        <v>163.9742531824</v>
      </c>
      <c r="G20" s="41" t="n">
        <f aca="false">'3 Statement Forecast'!H23-Drivers!$C$175*'GABX Mini P&amp;L'!J22</f>
        <v>163.9742531824</v>
      </c>
      <c r="H20" s="41" t="n">
        <f aca="false">'3 Statement Forecast'!I23-Drivers!$C$175*'GABX Mini P&amp;L'!K22</f>
        <v>163.9742531824</v>
      </c>
      <c r="I20" s="41" t="n">
        <f aca="false">'3 Statement Forecast'!J23-Drivers!$C$175*'GABX Mini P&amp;L'!L22</f>
        <v>169.713352043784</v>
      </c>
      <c r="J20" s="41" t="n">
        <f aca="false">'3 Statement Forecast'!K23-Drivers!$C$175*'GABX Mini P&amp;L'!M22</f>
        <v>170.563706865316</v>
      </c>
      <c r="K20" s="41" t="n">
        <f aca="false">'3 Statement Forecast'!L23-Drivers!$C$175*'GABX Mini P&amp;L'!N22</f>
        <v>171.443824105603</v>
      </c>
      <c r="L20" s="41" t="n">
        <f aca="false">'3 Statement Forecast'!M23-Drivers!$C$175*'GABX Mini P&amp;L'!O22</f>
        <v>172.354745449299</v>
      </c>
      <c r="M20" s="41" t="n">
        <f aca="false">'3 Statement Forecast'!N23-Drivers!$C$175*'GABX Mini P&amp;L'!P22</f>
        <v>173.297549040024</v>
      </c>
    </row>
    <row r="21" customFormat="false" ht="14.25" hidden="false" customHeight="true" outlineLevel="0" collapsed="false">
      <c r="C21" s="27" t="s">
        <v>1930</v>
      </c>
      <c r="D21" s="42" t="n">
        <f aca="false">Drivers!$C$115</f>
        <v>140</v>
      </c>
      <c r="E21" s="42" t="n">
        <f aca="false">Drivers!$C$116</f>
        <v>130</v>
      </c>
      <c r="F21" s="42" t="n">
        <f aca="false">Drivers!$C$297</f>
        <v>130</v>
      </c>
      <c r="G21" s="42" t="n">
        <f aca="false">Drivers!$C$298</f>
        <v>130</v>
      </c>
      <c r="H21" s="42" t="n">
        <f aca="false">Drivers!$C$299</f>
        <v>130</v>
      </c>
      <c r="I21" s="42" t="n">
        <f aca="false">Drivers!$C$533</f>
        <v>130</v>
      </c>
      <c r="J21" s="42" t="n">
        <f aca="false">Drivers!$C$534</f>
        <v>130</v>
      </c>
      <c r="K21" s="42" t="n">
        <f aca="false">Drivers!$C$535</f>
        <v>130</v>
      </c>
      <c r="L21" s="42" t="n">
        <f aca="false">Drivers!$C$536</f>
        <v>130</v>
      </c>
      <c r="M21" s="42" t="n">
        <f aca="false">Drivers!$C$537</f>
        <v>130</v>
      </c>
    </row>
    <row r="22" customFormat="false" ht="14.25" hidden="false" customHeight="true" outlineLevel="0" collapsed="false">
      <c r="C22" s="27" t="s">
        <v>1931</v>
      </c>
      <c r="D22" s="42" t="n">
        <f aca="false">-('Debt &amp; Interest'!E31-Drivers!$C$151)</f>
        <v>197.32599</v>
      </c>
      <c r="E22" s="42" t="n">
        <f aca="false">-('Debt &amp; Interest'!F31-Drivers!$C$151)</f>
        <v>224.20826</v>
      </c>
      <c r="F22" s="42" t="n">
        <f aca="false">-('Debt &amp; Interest'!G31-Drivers!$C$151)</f>
        <v>250.89824</v>
      </c>
      <c r="G22" s="42" t="n">
        <f aca="false">-('Debt &amp; Interest'!H31-Drivers!$C$151)</f>
        <v>277.79324</v>
      </c>
      <c r="H22" s="42" t="n">
        <f aca="false">-('Debt &amp; Interest'!I31-Drivers!$C$151)</f>
        <v>324.26368</v>
      </c>
      <c r="I22" s="42" t="n">
        <f aca="false">-('Debt &amp; Interest'!J31-Drivers!$C$151)</f>
        <v>336.015906481672</v>
      </c>
      <c r="J22" s="42" t="n">
        <f aca="false">-('Debt &amp; Interest'!K31-Drivers!$C$151)</f>
        <v>348.271592478908</v>
      </c>
      <c r="K22" s="42" t="n">
        <f aca="false">-('Debt &amp; Interest'!L31-Drivers!$C$151)</f>
        <v>357.887564824669</v>
      </c>
      <c r="L22" s="42" t="n">
        <f aca="false">-('Debt &amp; Interest'!M31-Drivers!$C$151)</f>
        <v>367.174606345337</v>
      </c>
      <c r="M22" s="42" t="n">
        <f aca="false">-('Debt &amp; Interest'!N31-Drivers!$C$151)</f>
        <v>376.154064565949</v>
      </c>
    </row>
    <row r="23" customFormat="false" ht="14.25" hidden="false" customHeight="true" outlineLevel="0" collapsed="false">
      <c r="C23" s="27" t="s">
        <v>1932</v>
      </c>
      <c r="D23" s="76" t="n">
        <f aca="false">Drivers!$C$90*(Drivers!$C$102-Drivers!$C$170)</f>
        <v>4.24646</v>
      </c>
      <c r="E23" s="76" t="n">
        <f aca="false">Drivers!$C$91*(Drivers!$C$102-Drivers!$C$170)</f>
        <v>5.68227</v>
      </c>
      <c r="F23" s="76" t="n">
        <f aca="false">Drivers!$C$92*(Drivers!$C$102-Drivers!$C$170)</f>
        <v>5.48998</v>
      </c>
      <c r="G23" s="76" t="n">
        <f aca="false">Drivers!$C$93*(Drivers!$C$102-Drivers!$C$170)</f>
        <v>5.695</v>
      </c>
      <c r="H23" s="76" t="n">
        <f aca="false">Drivers!$C$94*(Drivers!$C$102-Drivers!$C$170)</f>
        <v>17.26188</v>
      </c>
      <c r="I23" s="59" t="n">
        <v>0</v>
      </c>
      <c r="J23" s="59" t="n">
        <v>0</v>
      </c>
      <c r="K23" s="59" t="n">
        <v>0</v>
      </c>
      <c r="L23" s="59" t="n">
        <v>0</v>
      </c>
      <c r="M23" s="59" t="n">
        <v>0</v>
      </c>
    </row>
    <row r="24" customFormat="false" ht="14.25" hidden="false" customHeight="true" outlineLevel="0" collapsed="false">
      <c r="C24" s="55" t="s">
        <v>1933</v>
      </c>
      <c r="D24" s="62" t="n">
        <f aca="false">D18+D19+D20+D21-D22-D23</f>
        <v>671.367703848287</v>
      </c>
      <c r="E24" s="62" t="n">
        <f aca="false">E18+E19+E20+E21-E22-E23</f>
        <v>108.283338154826</v>
      </c>
      <c r="F24" s="62" t="n">
        <f aca="false">F18+F19+F20+F21-F22-F23</f>
        <v>75.2740614776773</v>
      </c>
      <c r="G24" s="62" t="n">
        <f aca="false">G18+G19+G20+G21-G22-G23</f>
        <v>32.1837237323588</v>
      </c>
      <c r="H24" s="62" t="n">
        <f aca="false">H18+H19+H20+H21-H22-H23</f>
        <v>-47.5612953877265</v>
      </c>
      <c r="I24" s="32" t="n">
        <f aca="false">I18+I19+I20+I21-I22-I23</f>
        <v>-34.1200505910226</v>
      </c>
      <c r="J24" s="32" t="n">
        <f aca="false">J18+J19+J20+J21-J22-J23</f>
        <v>-46.967878644475</v>
      </c>
      <c r="K24" s="32" t="n">
        <f aca="false">K18+K19+K20+K21-K22-K23</f>
        <v>-51.7105760207583</v>
      </c>
      <c r="L24" s="32" t="n">
        <f aca="false">L18+L19+L20+L21-L22-L23</f>
        <v>-60.0678574537247</v>
      </c>
      <c r="M24" s="32" t="n">
        <f aca="false">M18+M19+M20+M21-M22-M23</f>
        <v>-68.0778922150416</v>
      </c>
    </row>
    <row r="25" customFormat="false" ht="14.25" hidden="false" customHeight="true" outlineLevel="0" collapsed="false">
      <c r="C25" s="55" t="s">
        <v>1934</v>
      </c>
      <c r="D25" s="62" t="n">
        <f aca="false">D24</f>
        <v>671.367703848287</v>
      </c>
      <c r="E25" s="62" t="n">
        <f aca="false">D25+E24</f>
        <v>779.651042003113</v>
      </c>
      <c r="F25" s="62" t="n">
        <f aca="false">E25+F24</f>
        <v>854.92510348079</v>
      </c>
      <c r="G25" s="62" t="n">
        <f aca="false">F25+G24</f>
        <v>887.108827213149</v>
      </c>
      <c r="H25" s="62" t="n">
        <f aca="false">G25+H24</f>
        <v>839.547531825422</v>
      </c>
      <c r="I25" s="32" t="n">
        <f aca="false">H25+I24</f>
        <v>805.4274812344</v>
      </c>
      <c r="J25" s="32" t="n">
        <f aca="false">I25+J24</f>
        <v>758.459602589924</v>
      </c>
      <c r="K25" s="32" t="n">
        <f aca="false">J25+K24</f>
        <v>706.749026569166</v>
      </c>
      <c r="L25" s="32" t="n">
        <f aca="false">K25+L24</f>
        <v>646.681169115441</v>
      </c>
      <c r="M25" s="32" t="n">
        <f aca="false">L25+M24</f>
        <v>578.6032769004</v>
      </c>
    </row>
    <row r="26" customFormat="false" ht="14.25" hidden="false" customHeight="true" outlineLevel="0" collapsed="false">
      <c r="C26" s="25" t="s">
        <v>1935</v>
      </c>
      <c r="D26" s="11"/>
      <c r="E26" s="11"/>
      <c r="F26" s="11"/>
      <c r="G26" s="11"/>
      <c r="H26" s="11"/>
      <c r="I26" s="11"/>
      <c r="J26" s="11"/>
      <c r="K26" s="11"/>
      <c r="L26" s="11"/>
      <c r="M26" s="11"/>
    </row>
    <row r="27" customFormat="false" ht="14.25" hidden="false" customHeight="true" outlineLevel="0" collapsed="false">
      <c r="C27" s="11"/>
      <c r="D27" s="11"/>
      <c r="E27" s="11"/>
      <c r="F27" s="11"/>
      <c r="G27" s="11"/>
      <c r="H27" s="11"/>
      <c r="I27" s="11"/>
      <c r="J27" s="11"/>
      <c r="K27" s="11"/>
      <c r="L27" s="11"/>
      <c r="M27" s="11"/>
    </row>
    <row r="28" customFormat="false" ht="14.25" hidden="false" customHeight="true" outlineLevel="0" collapsed="false">
      <c r="C28" s="11"/>
      <c r="D28" s="11"/>
      <c r="E28" s="11"/>
      <c r="F28" s="11"/>
      <c r="G28" s="11"/>
      <c r="H28" s="11"/>
      <c r="I28" s="11"/>
      <c r="J28" s="11"/>
      <c r="K28" s="11"/>
      <c r="L28" s="11"/>
      <c r="M28" s="11"/>
    </row>
    <row r="29" customFormat="false" ht="14.25" hidden="false" customHeight="true" outlineLevel="0" collapsed="false">
      <c r="A29" s="22" t="s">
        <v>11</v>
      </c>
      <c r="C29" s="92" t="s">
        <v>1936</v>
      </c>
      <c r="D29" s="92"/>
      <c r="E29" s="92"/>
      <c r="F29" s="92"/>
      <c r="G29" s="92"/>
      <c r="H29" s="92"/>
      <c r="I29" s="92"/>
      <c r="J29" s="92"/>
      <c r="K29" s="54"/>
      <c r="L29" s="54"/>
      <c r="M29" s="54"/>
    </row>
    <row r="30" customFormat="false" ht="14.25" hidden="false" customHeight="true" outlineLevel="0" collapsed="false">
      <c r="C30" s="91" t="s">
        <v>1937</v>
      </c>
      <c r="D30" s="91"/>
      <c r="E30" s="91"/>
      <c r="F30" s="91"/>
      <c r="G30" s="91"/>
      <c r="H30" s="91"/>
      <c r="I30" s="91"/>
      <c r="J30" s="91"/>
      <c r="K30" s="11"/>
      <c r="L30" s="11"/>
      <c r="M30" s="11"/>
    </row>
    <row r="31" customFormat="false" ht="14.25" hidden="false" customHeight="true" outlineLevel="0" collapsed="false">
      <c r="C31" s="11"/>
      <c r="D31" s="11"/>
      <c r="E31" s="11"/>
      <c r="F31" s="11"/>
      <c r="G31" s="11"/>
      <c r="H31" s="11"/>
      <c r="I31" s="11"/>
      <c r="J31" s="11"/>
      <c r="K31" s="11"/>
      <c r="L31" s="11"/>
      <c r="M31" s="11"/>
    </row>
    <row r="32" customFormat="false" ht="14.25" hidden="false" customHeight="true" outlineLevel="0" collapsed="false">
      <c r="C32" s="94" t="s">
        <v>1938</v>
      </c>
      <c r="D32" s="95" t="n">
        <f aca="false">Drivers!$C$160</f>
        <v>0.048</v>
      </c>
      <c r="E32" s="95" t="n">
        <f aca="false">Drivers!$C$161</f>
        <v>0.053</v>
      </c>
      <c r="F32" s="95" t="n">
        <f aca="false">Drivers!$C$162</f>
        <v>0.058</v>
      </c>
      <c r="G32" s="95" t="n">
        <f aca="false">Drivers!$C$163</f>
        <v>0.06</v>
      </c>
      <c r="H32" s="95" t="n">
        <f aca="false">Drivers!$C$164</f>
        <v>0.065</v>
      </c>
      <c r="I32" s="95" t="n">
        <f aca="false">Drivers!$C$165</f>
        <v>0.07</v>
      </c>
      <c r="J32" s="95" t="n">
        <f aca="false">Drivers!$C$166</f>
        <v>0.075</v>
      </c>
      <c r="K32" s="11"/>
      <c r="L32" s="11"/>
      <c r="M32" s="11"/>
    </row>
    <row r="33" customFormat="false" ht="14.25" hidden="false" customHeight="true" outlineLevel="0" collapsed="false">
      <c r="C33" s="96" t="n">
        <f aca="false">Drivers!$C$153</f>
        <v>-0.1</v>
      </c>
      <c r="D33" s="42" t="n">
        <f aca="false">'3 Statement Forecast'!$F$33+(Drivers!$C$153*Drivers!$C$12*(Drivers!$C$18*Drivers!$C$23)*Drivers!$C$39*(1-Drivers!$C$76)/Drivers!$C$78/1000000)-((Drivers!$C$160-Drivers!$C$102)*(Drivers!$C$90+Drivers!$C$91+Drivers!$C$152)*(1-Drivers!$C$76)/Drivers!$C$78)</f>
        <v>10.1352608762241</v>
      </c>
      <c r="E33" s="97" t="n">
        <f aca="false">'3 Statement Forecast'!$F$33+(Drivers!$C$153*Drivers!$C$12*(Drivers!$C$18*Drivers!$C$23)*Drivers!$C$39*(1-Drivers!$C$76)/Drivers!$C$78/1000000)-((Drivers!$C$161-Drivers!$C$102)*(Drivers!$C$90+Drivers!$C$91+Drivers!$C$152)*(1-Drivers!$C$76)/Drivers!$C$78)</f>
        <v>9.87633265983887</v>
      </c>
      <c r="F33" s="42" t="n">
        <f aca="false">'3 Statement Forecast'!$F$33+(Drivers!$C$153*Drivers!$C$12*(Drivers!$C$18*Drivers!$C$23)*Drivers!$C$39*(1-Drivers!$C$76)/Drivers!$C$78/1000000)-((Drivers!$C$162-Drivers!$C$102)*(Drivers!$C$90+Drivers!$C$91+Drivers!$C$152)*(1-Drivers!$C$76)/Drivers!$C$78)</f>
        <v>9.61740444345362</v>
      </c>
      <c r="G33" s="97" t="n">
        <f aca="false">'3 Statement Forecast'!$F$33+(Drivers!$C$153*Drivers!$C$12*(Drivers!$C$18*Drivers!$C$23)*Drivers!$C$39*(1-Drivers!$C$76)/Drivers!$C$78/1000000)-((Drivers!$C$163-Drivers!$C$102)*(Drivers!$C$90+Drivers!$C$91+Drivers!$C$152)*(1-Drivers!$C$76)/Drivers!$C$78)</f>
        <v>9.51383315689952</v>
      </c>
      <c r="H33" s="42" t="n">
        <f aca="false">'3 Statement Forecast'!$F$33+(Drivers!$C$153*Drivers!$C$12*(Drivers!$C$18*Drivers!$C$23)*Drivers!$C$39*(1-Drivers!$C$76)/Drivers!$C$78/1000000)-((Drivers!$C$164-Drivers!$C$102)*(Drivers!$C$90+Drivers!$C$91+Drivers!$C$152)*(1-Drivers!$C$76)/Drivers!$C$78)</f>
        <v>9.25490494051427</v>
      </c>
      <c r="I33" s="42" t="n">
        <f aca="false">'3 Statement Forecast'!$F$33+(Drivers!$C$153*Drivers!$C$12*(Drivers!$C$18*Drivers!$C$23)*Drivers!$C$39*(1-Drivers!$C$76)/Drivers!$C$78/1000000)-((Drivers!$C$165-Drivers!$C$102)*(Drivers!$C$90+Drivers!$C$91+Drivers!$C$152)*(1-Drivers!$C$76)/Drivers!$C$78)</f>
        <v>8.99597672412902</v>
      </c>
      <c r="J33" s="42" t="n">
        <f aca="false">'3 Statement Forecast'!$F$33+(Drivers!$C$153*Drivers!$C$12*(Drivers!$C$18*Drivers!$C$23)*Drivers!$C$39*(1-Drivers!$C$76)/Drivers!$C$78/1000000)-((Drivers!$C$166-Drivers!$C$102)*(Drivers!$C$90+Drivers!$C$91+Drivers!$C$152)*(1-Drivers!$C$76)/Drivers!$C$78)</f>
        <v>8.73704850774377</v>
      </c>
      <c r="K33" s="11"/>
      <c r="L33" s="11"/>
      <c r="M33" s="11"/>
    </row>
    <row r="34" customFormat="false" ht="14.25" hidden="false" customHeight="true" outlineLevel="0" collapsed="false">
      <c r="C34" s="96" t="n">
        <f aca="false">Drivers!$C$154</f>
        <v>-0.05</v>
      </c>
      <c r="D34" s="42" t="n">
        <f aca="false">'3 Statement Forecast'!$F$33+(Drivers!$C$154*Drivers!$C$12*(Drivers!$C$18*Drivers!$C$23)*Drivers!$C$39*(1-Drivers!$C$76)/Drivers!$C$78/1000000)-((Drivers!$C$160-Drivers!$C$102)*(Drivers!$C$90+Drivers!$C$91+Drivers!$C$152)*(1-Drivers!$C$76)/Drivers!$C$78)</f>
        <v>10.2851245271503</v>
      </c>
      <c r="E34" s="97" t="n">
        <f aca="false">'3 Statement Forecast'!$F$33+(Drivers!$C$154*Drivers!$C$12*(Drivers!$C$18*Drivers!$C$23)*Drivers!$C$39*(1-Drivers!$C$76)/Drivers!$C$78/1000000)-((Drivers!$C$161-Drivers!$C$102)*(Drivers!$C$90+Drivers!$C$91+Drivers!$C$152)*(1-Drivers!$C$76)/Drivers!$C$78)</f>
        <v>10.026196310765</v>
      </c>
      <c r="F34" s="42" t="n">
        <f aca="false">'3 Statement Forecast'!$F$33+(Drivers!$C$154*Drivers!$C$12*(Drivers!$C$18*Drivers!$C$23)*Drivers!$C$39*(1-Drivers!$C$76)/Drivers!$C$78/1000000)-((Drivers!$C$162-Drivers!$C$102)*(Drivers!$C$90+Drivers!$C$91+Drivers!$C$152)*(1-Drivers!$C$76)/Drivers!$C$78)</f>
        <v>9.76726809437977</v>
      </c>
      <c r="G34" s="97" t="n">
        <f aca="false">'3 Statement Forecast'!$F$33+(Drivers!$C$154*Drivers!$C$12*(Drivers!$C$18*Drivers!$C$23)*Drivers!$C$39*(1-Drivers!$C$76)/Drivers!$C$78/1000000)-((Drivers!$C$163-Drivers!$C$102)*(Drivers!$C$90+Drivers!$C$91+Drivers!$C$152)*(1-Drivers!$C$76)/Drivers!$C$78)</f>
        <v>9.66369680782567</v>
      </c>
      <c r="H34" s="42" t="n">
        <f aca="false">'3 Statement Forecast'!$F$33+(Drivers!$C$154*Drivers!$C$12*(Drivers!$C$18*Drivers!$C$23)*Drivers!$C$39*(1-Drivers!$C$76)/Drivers!$C$78/1000000)-((Drivers!$C$164-Drivers!$C$102)*(Drivers!$C$90+Drivers!$C$91+Drivers!$C$152)*(1-Drivers!$C$76)/Drivers!$C$78)</f>
        <v>9.40476859144041</v>
      </c>
      <c r="I34" s="42" t="n">
        <f aca="false">'3 Statement Forecast'!$F$33+(Drivers!$C$154*Drivers!$C$12*(Drivers!$C$18*Drivers!$C$23)*Drivers!$C$39*(1-Drivers!$C$76)/Drivers!$C$78/1000000)-((Drivers!$C$165-Drivers!$C$102)*(Drivers!$C$90+Drivers!$C$91+Drivers!$C$152)*(1-Drivers!$C$76)/Drivers!$C$78)</f>
        <v>9.14584037505516</v>
      </c>
      <c r="J34" s="42" t="n">
        <f aca="false">'3 Statement Forecast'!$F$33+(Drivers!$C$154*Drivers!$C$12*(Drivers!$C$18*Drivers!$C$23)*Drivers!$C$39*(1-Drivers!$C$76)/Drivers!$C$78/1000000)-((Drivers!$C$166-Drivers!$C$102)*(Drivers!$C$90+Drivers!$C$91+Drivers!$C$152)*(1-Drivers!$C$76)/Drivers!$C$78)</f>
        <v>8.88691215866991</v>
      </c>
      <c r="K34" s="11"/>
      <c r="L34" s="11"/>
      <c r="M34" s="11"/>
    </row>
    <row r="35" customFormat="false" ht="14.25" hidden="false" customHeight="true" outlineLevel="0" collapsed="false">
      <c r="C35" s="96" t="n">
        <f aca="false">Drivers!$C$155</f>
        <v>0</v>
      </c>
      <c r="D35" s="97" t="n">
        <f aca="false">'3 Statement Forecast'!$F$33+(Drivers!$C$155*Drivers!$C$12*(Drivers!$C$18*Drivers!$C$23)*Drivers!$C$39*(1-Drivers!$C$76)/Drivers!$C$78/1000000)-((Drivers!$C$160-Drivers!$C$102)*(Drivers!$C$90+Drivers!$C$91+Drivers!$C$152)*(1-Drivers!$C$76)/Drivers!$C$78)</f>
        <v>10.4349881780764</v>
      </c>
      <c r="E35" s="98" t="n">
        <f aca="false">'3 Statement Forecast'!$F$33+(Drivers!$C$155*Drivers!$C$12*(Drivers!$C$18*Drivers!$C$23)*Drivers!$C$39*(1-Drivers!$C$76)/Drivers!$C$78/1000000)-((Drivers!$C$161-Drivers!$C$102)*(Drivers!$C$90+Drivers!$C$91+Drivers!$C$152)*(1-Drivers!$C$76)/Drivers!$C$78)</f>
        <v>10.1760599616912</v>
      </c>
      <c r="F35" s="97" t="n">
        <f aca="false">'3 Statement Forecast'!$F$33+(Drivers!$C$155*Drivers!$C$12*(Drivers!$C$18*Drivers!$C$23)*Drivers!$C$39*(1-Drivers!$C$76)/Drivers!$C$78/1000000)-((Drivers!$C$162-Drivers!$C$102)*(Drivers!$C$90+Drivers!$C$91+Drivers!$C$152)*(1-Drivers!$C$76)/Drivers!$C$78)</f>
        <v>9.91713174530591</v>
      </c>
      <c r="G35" s="97" t="n">
        <f aca="false">'3 Statement Forecast'!$F$33+(Drivers!$C$155*Drivers!$C$12*(Drivers!$C$18*Drivers!$C$23)*Drivers!$C$39*(1-Drivers!$C$76)/Drivers!$C$78/1000000)-((Drivers!$C$163-Drivers!$C$102)*(Drivers!$C$90+Drivers!$C$91+Drivers!$C$152)*(1-Drivers!$C$76)/Drivers!$C$78)</f>
        <v>9.81356045875181</v>
      </c>
      <c r="H35" s="97" t="n">
        <f aca="false">'3 Statement Forecast'!$F$33+(Drivers!$C$155*Drivers!$C$12*(Drivers!$C$18*Drivers!$C$23)*Drivers!$C$39*(1-Drivers!$C$76)/Drivers!$C$78/1000000)-((Drivers!$C$164-Drivers!$C$102)*(Drivers!$C$90+Drivers!$C$91+Drivers!$C$152)*(1-Drivers!$C$76)/Drivers!$C$78)</f>
        <v>9.55463224236656</v>
      </c>
      <c r="I35" s="97" t="n">
        <f aca="false">'3 Statement Forecast'!$F$33+(Drivers!$C$155*Drivers!$C$12*(Drivers!$C$18*Drivers!$C$23)*Drivers!$C$39*(1-Drivers!$C$76)/Drivers!$C$78/1000000)-((Drivers!$C$165-Drivers!$C$102)*(Drivers!$C$90+Drivers!$C$91+Drivers!$C$152)*(1-Drivers!$C$76)/Drivers!$C$78)</f>
        <v>9.29570402598131</v>
      </c>
      <c r="J35" s="97" t="n">
        <f aca="false">'3 Statement Forecast'!$F$33+(Drivers!$C$155*Drivers!$C$12*(Drivers!$C$18*Drivers!$C$23)*Drivers!$C$39*(1-Drivers!$C$76)/Drivers!$C$78/1000000)-((Drivers!$C$166-Drivers!$C$102)*(Drivers!$C$90+Drivers!$C$91+Drivers!$C$152)*(1-Drivers!$C$76)/Drivers!$C$78)</f>
        <v>9.03677580959606</v>
      </c>
      <c r="K35" s="11"/>
      <c r="L35" s="11"/>
      <c r="M35" s="11"/>
    </row>
    <row r="36" customFormat="false" ht="14.25" hidden="false" customHeight="true" outlineLevel="0" collapsed="false">
      <c r="C36" s="96" t="n">
        <f aca="false">Drivers!$C$156</f>
        <v>0.05</v>
      </c>
      <c r="D36" s="42" t="n">
        <f aca="false">'3 Statement Forecast'!$F$33+(Drivers!$C$156*Drivers!$C$12*(Drivers!$C$18*Drivers!$C$23)*Drivers!$C$39*(1-Drivers!$C$76)/Drivers!$C$78/1000000)-((Drivers!$C$160-Drivers!$C$102)*(Drivers!$C$90+Drivers!$C$91+Drivers!$C$152)*(1-Drivers!$C$76)/Drivers!$C$78)</f>
        <v>10.5848518290026</v>
      </c>
      <c r="E36" s="97" t="n">
        <f aca="false">'3 Statement Forecast'!$F$33+(Drivers!$C$156*Drivers!$C$12*(Drivers!$C$18*Drivers!$C$23)*Drivers!$C$39*(1-Drivers!$C$76)/Drivers!$C$78/1000000)-((Drivers!$C$161-Drivers!$C$102)*(Drivers!$C$90+Drivers!$C$91+Drivers!$C$152)*(1-Drivers!$C$76)/Drivers!$C$78)</f>
        <v>10.3259236126173</v>
      </c>
      <c r="F36" s="42" t="n">
        <f aca="false">'3 Statement Forecast'!$F$33+(Drivers!$C$156*Drivers!$C$12*(Drivers!$C$18*Drivers!$C$23)*Drivers!$C$39*(1-Drivers!$C$76)/Drivers!$C$78/1000000)-((Drivers!$C$162-Drivers!$C$102)*(Drivers!$C$90+Drivers!$C$91+Drivers!$C$152)*(1-Drivers!$C$76)/Drivers!$C$78)</f>
        <v>10.0669953962321</v>
      </c>
      <c r="G36" s="97" t="n">
        <f aca="false">'3 Statement Forecast'!$F$33+(Drivers!$C$156*Drivers!$C$12*(Drivers!$C$18*Drivers!$C$23)*Drivers!$C$39*(1-Drivers!$C$76)/Drivers!$C$78/1000000)-((Drivers!$C$163-Drivers!$C$102)*(Drivers!$C$90+Drivers!$C$91+Drivers!$C$152)*(1-Drivers!$C$76)/Drivers!$C$78)</f>
        <v>9.96342410967796</v>
      </c>
      <c r="H36" s="42" t="n">
        <f aca="false">'3 Statement Forecast'!$F$33+(Drivers!$C$156*Drivers!$C$12*(Drivers!$C$18*Drivers!$C$23)*Drivers!$C$39*(1-Drivers!$C$76)/Drivers!$C$78/1000000)-((Drivers!$C$164-Drivers!$C$102)*(Drivers!$C$90+Drivers!$C$91+Drivers!$C$152)*(1-Drivers!$C$76)/Drivers!$C$78)</f>
        <v>9.7044958932927</v>
      </c>
      <c r="I36" s="42" t="n">
        <f aca="false">'3 Statement Forecast'!$F$33+(Drivers!$C$156*Drivers!$C$12*(Drivers!$C$18*Drivers!$C$23)*Drivers!$C$39*(1-Drivers!$C$76)/Drivers!$C$78/1000000)-((Drivers!$C$165-Drivers!$C$102)*(Drivers!$C$90+Drivers!$C$91+Drivers!$C$152)*(1-Drivers!$C$76)/Drivers!$C$78)</f>
        <v>9.44556767690745</v>
      </c>
      <c r="J36" s="42" t="n">
        <f aca="false">'3 Statement Forecast'!$F$33+(Drivers!$C$156*Drivers!$C$12*(Drivers!$C$18*Drivers!$C$23)*Drivers!$C$39*(1-Drivers!$C$76)/Drivers!$C$78/1000000)-((Drivers!$C$166-Drivers!$C$102)*(Drivers!$C$90+Drivers!$C$91+Drivers!$C$152)*(1-Drivers!$C$76)/Drivers!$C$78)</f>
        <v>9.1866394605222</v>
      </c>
      <c r="K36" s="11"/>
      <c r="L36" s="11"/>
      <c r="M36" s="11"/>
    </row>
    <row r="37" customFormat="false" ht="14.25" hidden="false" customHeight="true" outlineLevel="0" collapsed="false">
      <c r="C37" s="96" t="n">
        <f aca="false">Drivers!$C$157</f>
        <v>0.1</v>
      </c>
      <c r="D37" s="42" t="n">
        <f aca="false">'3 Statement Forecast'!$F$33+(Drivers!$C$157*Drivers!$C$12*(Drivers!$C$18*Drivers!$C$23)*Drivers!$C$39*(1-Drivers!$C$76)/Drivers!$C$78/1000000)-((Drivers!$C$160-Drivers!$C$102)*(Drivers!$C$90+Drivers!$C$91+Drivers!$C$152)*(1-Drivers!$C$76)/Drivers!$C$78)</f>
        <v>10.7347154799287</v>
      </c>
      <c r="E37" s="97" t="n">
        <f aca="false">'3 Statement Forecast'!$F$33+(Drivers!$C$157*Drivers!$C$12*(Drivers!$C$18*Drivers!$C$23)*Drivers!$C$39*(1-Drivers!$C$76)/Drivers!$C$78/1000000)-((Drivers!$C$161-Drivers!$C$102)*(Drivers!$C$90+Drivers!$C$91+Drivers!$C$152)*(1-Drivers!$C$76)/Drivers!$C$78)</f>
        <v>10.4757872635435</v>
      </c>
      <c r="F37" s="42" t="n">
        <f aca="false">'3 Statement Forecast'!$F$33+(Drivers!$C$157*Drivers!$C$12*(Drivers!$C$18*Drivers!$C$23)*Drivers!$C$39*(1-Drivers!$C$76)/Drivers!$C$78/1000000)-((Drivers!$C$162-Drivers!$C$102)*(Drivers!$C$90+Drivers!$C$91+Drivers!$C$152)*(1-Drivers!$C$76)/Drivers!$C$78)</f>
        <v>10.2168590471582</v>
      </c>
      <c r="G37" s="97" t="n">
        <f aca="false">'3 Statement Forecast'!$F$33+(Drivers!$C$157*Drivers!$C$12*(Drivers!$C$18*Drivers!$C$23)*Drivers!$C$39*(1-Drivers!$C$76)/Drivers!$C$78/1000000)-((Drivers!$C$163-Drivers!$C$102)*(Drivers!$C$90+Drivers!$C$91+Drivers!$C$152)*(1-Drivers!$C$76)/Drivers!$C$78)</f>
        <v>10.1132877606041</v>
      </c>
      <c r="H37" s="42" t="n">
        <f aca="false">'3 Statement Forecast'!$F$33+(Drivers!$C$157*Drivers!$C$12*(Drivers!$C$18*Drivers!$C$23)*Drivers!$C$39*(1-Drivers!$C$76)/Drivers!$C$78/1000000)-((Drivers!$C$164-Drivers!$C$102)*(Drivers!$C$90+Drivers!$C$91+Drivers!$C$152)*(1-Drivers!$C$76)/Drivers!$C$78)</f>
        <v>9.85435954421885</v>
      </c>
      <c r="I37" s="42" t="n">
        <f aca="false">'3 Statement Forecast'!$F$33+(Drivers!$C$157*Drivers!$C$12*(Drivers!$C$18*Drivers!$C$23)*Drivers!$C$39*(1-Drivers!$C$76)/Drivers!$C$78/1000000)-((Drivers!$C$165-Drivers!$C$102)*(Drivers!$C$90+Drivers!$C$91+Drivers!$C$152)*(1-Drivers!$C$76)/Drivers!$C$78)</f>
        <v>9.5954313278336</v>
      </c>
      <c r="J37" s="42" t="n">
        <f aca="false">'3 Statement Forecast'!$F$33+(Drivers!$C$157*Drivers!$C$12*(Drivers!$C$18*Drivers!$C$23)*Drivers!$C$39*(1-Drivers!$C$76)/Drivers!$C$78/1000000)-((Drivers!$C$166-Drivers!$C$102)*(Drivers!$C$90+Drivers!$C$91+Drivers!$C$152)*(1-Drivers!$C$76)/Drivers!$C$78)</f>
        <v>9.33650311144835</v>
      </c>
      <c r="K37" s="11"/>
      <c r="L37" s="11"/>
      <c r="M37" s="11"/>
    </row>
    <row r="38" customFormat="false" ht="14.25" hidden="false" customHeight="true" outlineLevel="0" collapsed="false">
      <c r="C38" s="96" t="n">
        <f aca="false">Drivers!$C$158</f>
        <v>0.15</v>
      </c>
      <c r="D38" s="42" t="n">
        <f aca="false">'3 Statement Forecast'!$F$33+(Drivers!$C$158*Drivers!$C$12*(Drivers!$C$18*Drivers!$C$23)*Drivers!$C$39*(1-Drivers!$C$76)/Drivers!$C$78/1000000)-((Drivers!$C$160-Drivers!$C$102)*(Drivers!$C$90+Drivers!$C$91+Drivers!$C$152)*(1-Drivers!$C$76)/Drivers!$C$78)</f>
        <v>10.8845791308548</v>
      </c>
      <c r="E38" s="97" t="n">
        <f aca="false">'3 Statement Forecast'!$F$33+(Drivers!$C$158*Drivers!$C$12*(Drivers!$C$18*Drivers!$C$23)*Drivers!$C$39*(1-Drivers!$C$76)/Drivers!$C$78/1000000)-((Drivers!$C$161-Drivers!$C$102)*(Drivers!$C$90+Drivers!$C$91+Drivers!$C$152)*(1-Drivers!$C$76)/Drivers!$C$78)</f>
        <v>10.6256509144696</v>
      </c>
      <c r="F38" s="42" t="n">
        <f aca="false">'3 Statement Forecast'!$F$33+(Drivers!$C$158*Drivers!$C$12*(Drivers!$C$18*Drivers!$C$23)*Drivers!$C$39*(1-Drivers!$C$76)/Drivers!$C$78/1000000)-((Drivers!$C$162-Drivers!$C$102)*(Drivers!$C$90+Drivers!$C$91+Drivers!$C$152)*(1-Drivers!$C$76)/Drivers!$C$78)</f>
        <v>10.3667226980843</v>
      </c>
      <c r="G38" s="97" t="n">
        <f aca="false">'3 Statement Forecast'!$F$33+(Drivers!$C$158*Drivers!$C$12*(Drivers!$C$18*Drivers!$C$23)*Drivers!$C$39*(1-Drivers!$C$76)/Drivers!$C$78/1000000)-((Drivers!$C$163-Drivers!$C$102)*(Drivers!$C$90+Drivers!$C$91+Drivers!$C$152)*(1-Drivers!$C$76)/Drivers!$C$78)</f>
        <v>10.2631514115302</v>
      </c>
      <c r="H38" s="42" t="n">
        <f aca="false">'3 Statement Forecast'!$F$33+(Drivers!$C$158*Drivers!$C$12*(Drivers!$C$18*Drivers!$C$23)*Drivers!$C$39*(1-Drivers!$C$76)/Drivers!$C$78/1000000)-((Drivers!$C$164-Drivers!$C$102)*(Drivers!$C$90+Drivers!$C$91+Drivers!$C$152)*(1-Drivers!$C$76)/Drivers!$C$78)</f>
        <v>10.004223195145</v>
      </c>
      <c r="I38" s="42" t="n">
        <f aca="false">'3 Statement Forecast'!$F$33+(Drivers!$C$158*Drivers!$C$12*(Drivers!$C$18*Drivers!$C$23)*Drivers!$C$39*(1-Drivers!$C$76)/Drivers!$C$78/1000000)-((Drivers!$C$165-Drivers!$C$102)*(Drivers!$C$90+Drivers!$C$91+Drivers!$C$152)*(1-Drivers!$C$76)/Drivers!$C$78)</f>
        <v>9.74529497875974</v>
      </c>
      <c r="J38" s="42" t="n">
        <f aca="false">'3 Statement Forecast'!$F$33+(Drivers!$C$158*Drivers!$C$12*(Drivers!$C$18*Drivers!$C$23)*Drivers!$C$39*(1-Drivers!$C$76)/Drivers!$C$78/1000000)-((Drivers!$C$166-Drivers!$C$102)*(Drivers!$C$90+Drivers!$C$91+Drivers!$C$152)*(1-Drivers!$C$76)/Drivers!$C$78)</f>
        <v>9.48636676237449</v>
      </c>
      <c r="K38" s="11"/>
      <c r="L38" s="11"/>
      <c r="M38" s="11"/>
    </row>
    <row r="39" customFormat="false" ht="14.25" hidden="false" customHeight="true" outlineLevel="0" collapsed="false">
      <c r="C39" s="96" t="n">
        <f aca="false">Drivers!$C$159</f>
        <v>0.2</v>
      </c>
      <c r="D39" s="42" t="n">
        <f aca="false">'3 Statement Forecast'!$F$33+(Drivers!$C$159*Drivers!$C$12*(Drivers!$C$18*Drivers!$C$23)*Drivers!$C$39*(1-Drivers!$C$76)/Drivers!$C$78/1000000)-((Drivers!$C$160-Drivers!$C$102)*(Drivers!$C$90+Drivers!$C$91+Drivers!$C$152)*(1-Drivers!$C$76)/Drivers!$C$78)</f>
        <v>11.034442781781</v>
      </c>
      <c r="E39" s="97" t="n">
        <f aca="false">'3 Statement Forecast'!$F$33+(Drivers!$C$159*Drivers!$C$12*(Drivers!$C$18*Drivers!$C$23)*Drivers!$C$39*(1-Drivers!$C$76)/Drivers!$C$78/1000000)-((Drivers!$C$161-Drivers!$C$102)*(Drivers!$C$90+Drivers!$C$91+Drivers!$C$152)*(1-Drivers!$C$76)/Drivers!$C$78)</f>
        <v>10.7755145653957</v>
      </c>
      <c r="F39" s="42" t="n">
        <f aca="false">'3 Statement Forecast'!$F$33+(Drivers!$C$159*Drivers!$C$12*(Drivers!$C$18*Drivers!$C$23)*Drivers!$C$39*(1-Drivers!$C$76)/Drivers!$C$78/1000000)-((Drivers!$C$162-Drivers!$C$102)*(Drivers!$C$90+Drivers!$C$91+Drivers!$C$152)*(1-Drivers!$C$76)/Drivers!$C$78)</f>
        <v>10.5165863490105</v>
      </c>
      <c r="G39" s="97" t="n">
        <f aca="false">'3 Statement Forecast'!$F$33+(Drivers!$C$159*Drivers!$C$12*(Drivers!$C$18*Drivers!$C$23)*Drivers!$C$39*(1-Drivers!$C$76)/Drivers!$C$78/1000000)-((Drivers!$C$163-Drivers!$C$102)*(Drivers!$C$90+Drivers!$C$91+Drivers!$C$152)*(1-Drivers!$C$76)/Drivers!$C$78)</f>
        <v>10.4130150624564</v>
      </c>
      <c r="H39" s="42" t="n">
        <f aca="false">'3 Statement Forecast'!$F$33+(Drivers!$C$159*Drivers!$C$12*(Drivers!$C$18*Drivers!$C$23)*Drivers!$C$39*(1-Drivers!$C$76)/Drivers!$C$78/1000000)-((Drivers!$C$164-Drivers!$C$102)*(Drivers!$C$90+Drivers!$C$91+Drivers!$C$152)*(1-Drivers!$C$76)/Drivers!$C$78)</f>
        <v>10.1540868460711</v>
      </c>
      <c r="I39" s="42" t="n">
        <f aca="false">'3 Statement Forecast'!$F$33+(Drivers!$C$159*Drivers!$C$12*(Drivers!$C$18*Drivers!$C$23)*Drivers!$C$39*(1-Drivers!$C$76)/Drivers!$C$78/1000000)-((Drivers!$C$165-Drivers!$C$102)*(Drivers!$C$90+Drivers!$C$91+Drivers!$C$152)*(1-Drivers!$C$76)/Drivers!$C$78)</f>
        <v>9.89515862968589</v>
      </c>
      <c r="J39" s="42" t="n">
        <f aca="false">'3 Statement Forecast'!$F$33+(Drivers!$C$159*Drivers!$C$12*(Drivers!$C$18*Drivers!$C$23)*Drivers!$C$39*(1-Drivers!$C$76)/Drivers!$C$78/1000000)-((Drivers!$C$166-Drivers!$C$102)*(Drivers!$C$90+Drivers!$C$91+Drivers!$C$152)*(1-Drivers!$C$76)/Drivers!$C$78)</f>
        <v>9.63623041330064</v>
      </c>
      <c r="K39" s="11"/>
      <c r="L39" s="11"/>
      <c r="M39" s="11"/>
    </row>
    <row r="40" customFormat="false" ht="14.25" hidden="false" customHeight="true" outlineLevel="0" collapsed="false">
      <c r="C40" s="91" t="s">
        <v>1939</v>
      </c>
      <c r="D40" s="91"/>
      <c r="E40" s="91"/>
      <c r="F40" s="91"/>
      <c r="G40" s="91"/>
      <c r="H40" s="91"/>
      <c r="I40" s="91"/>
      <c r="J40" s="91"/>
      <c r="K40" s="11"/>
      <c r="L40" s="11"/>
      <c r="M40" s="11"/>
    </row>
    <row r="41" customFormat="false" ht="14.25" hidden="false" customHeight="true" outlineLevel="0" collapsed="false">
      <c r="C41" s="11"/>
      <c r="D41" s="11"/>
      <c r="E41" s="11"/>
      <c r="F41" s="11"/>
      <c r="G41" s="11"/>
      <c r="H41" s="11"/>
      <c r="I41" s="11"/>
      <c r="J41" s="11"/>
      <c r="K41" s="11"/>
      <c r="L41" s="11"/>
      <c r="M41" s="11"/>
    </row>
    <row r="42" customFormat="false" ht="14.25" hidden="false" customHeight="true" outlineLevel="0" collapsed="false">
      <c r="C42" s="11"/>
      <c r="D42" s="11"/>
      <c r="E42" s="11"/>
      <c r="F42" s="11"/>
      <c r="G42" s="11"/>
      <c r="H42" s="11"/>
      <c r="I42" s="11"/>
      <c r="J42" s="11"/>
      <c r="K42" s="11"/>
      <c r="L42" s="11"/>
      <c r="M42" s="11"/>
    </row>
    <row r="43" customFormat="false" ht="14.25" hidden="false" customHeight="true" outlineLevel="0" collapsed="false">
      <c r="A43" s="22" t="s">
        <v>11</v>
      </c>
      <c r="C43" s="92" t="s">
        <v>1940</v>
      </c>
      <c r="D43" s="92"/>
      <c r="E43" s="92"/>
      <c r="F43" s="92"/>
      <c r="G43" s="92"/>
      <c r="H43" s="92"/>
      <c r="I43" s="92"/>
      <c r="J43" s="92"/>
      <c r="K43" s="54"/>
      <c r="L43" s="54"/>
      <c r="M43" s="54"/>
    </row>
    <row r="44" customFormat="false" ht="14.25" hidden="false" customHeight="true" outlineLevel="0" collapsed="false">
      <c r="C44" s="11"/>
      <c r="D44" s="11"/>
      <c r="E44" s="11"/>
      <c r="F44" s="11"/>
      <c r="G44" s="11"/>
      <c r="H44" s="11"/>
      <c r="I44" s="11"/>
      <c r="J44" s="11"/>
      <c r="K44" s="11"/>
      <c r="L44" s="11"/>
      <c r="M44" s="11"/>
    </row>
    <row r="45" customFormat="false" ht="14.25" hidden="false" customHeight="true" outlineLevel="0" collapsed="false">
      <c r="C45" s="27" t="s">
        <v>1941</v>
      </c>
      <c r="D45" s="99" t="n">
        <f aca="false">(E22+E23-E19-E20-E21-0)/((Drivers!$C$12*(Drivers!$C$18*Drivers!$C$23)*Drivers!$C$39/1000000)+('Acquired Pool'!F19*'Acquired Pool'!E22*Drivers!$C$176/1000000))</f>
        <v>-0.233307789635284</v>
      </c>
      <c r="E45" s="11" t="s">
        <v>1942</v>
      </c>
      <c r="F45" s="11"/>
      <c r="G45" s="11"/>
      <c r="H45" s="11"/>
      <c r="I45" s="11"/>
      <c r="J45" s="11"/>
      <c r="K45" s="11"/>
      <c r="L45" s="11"/>
      <c r="M45" s="11"/>
    </row>
    <row r="46" customFormat="false" ht="14.25" hidden="false" customHeight="true" outlineLevel="0" collapsed="false">
      <c r="C46" s="27" t="s">
        <v>1943</v>
      </c>
      <c r="D46" s="100" t="n">
        <f aca="false">'3 Statement Forecast'!$F$33-((Drivers!$C$105-Drivers!$C$102)*(Drivers!$C$91+Drivers!$C$88)*(1-Drivers!$C$76)/Drivers!$C$78)</f>
        <v>9.98756867742728</v>
      </c>
      <c r="E46" s="11"/>
      <c r="F46" s="11"/>
      <c r="G46" s="11"/>
      <c r="H46" s="11"/>
      <c r="I46" s="11"/>
      <c r="J46" s="11"/>
      <c r="K46" s="11"/>
      <c r="L46" s="11"/>
      <c r="M46" s="11"/>
    </row>
    <row r="47" customFormat="false" ht="14.25" hidden="false" customHeight="true" outlineLevel="0" collapsed="false">
      <c r="C47" s="11" t="s">
        <v>1944</v>
      </c>
      <c r="D47" s="11"/>
      <c r="E47" s="11"/>
      <c r="F47" s="11"/>
      <c r="G47" s="11"/>
      <c r="H47" s="11"/>
      <c r="I47" s="11"/>
      <c r="J47" s="11"/>
      <c r="K47" s="11"/>
      <c r="L47" s="11"/>
      <c r="M47" s="11"/>
    </row>
    <row r="48" customFormat="false" ht="14.25" hidden="false" customHeight="true" outlineLevel="0" collapsed="false">
      <c r="C48" s="25"/>
      <c r="D48" s="11"/>
      <c r="E48" s="11"/>
      <c r="F48" s="11"/>
      <c r="G48" s="11"/>
      <c r="H48" s="11"/>
      <c r="I48" s="11"/>
      <c r="J48" s="11"/>
      <c r="K48" s="11"/>
      <c r="L48" s="11"/>
      <c r="M48" s="11"/>
    </row>
  </sheetData>
  <mergeCells count="7">
    <mergeCell ref="C13:J13"/>
    <mergeCell ref="C14:J14"/>
    <mergeCell ref="C16:J16"/>
    <mergeCell ref="C29:J29"/>
    <mergeCell ref="C30:J30"/>
    <mergeCell ref="C40:J40"/>
    <mergeCell ref="C43:J4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O28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3" topLeftCell="D14" activePane="bottomRight" state="frozen"/>
      <selection pane="topLeft" activeCell="A1" activeCellId="0" sqref="A1"/>
      <selection pane="topRight" activeCell="D1" activeCellId="0" sqref="D1"/>
      <selection pane="bottomLeft" activeCell="A14" activeCellId="0" sqref="A14"/>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1" width="1.7"/>
    <col collapsed="false" customWidth="true" hidden="false" outlineLevel="0" max="3" min="3" style="1" width="46"/>
    <col collapsed="false" customWidth="true" hidden="false" outlineLevel="0" max="15" min="4" style="1" width="12.3"/>
  </cols>
  <sheetData>
    <row r="2" customFormat="false" ht="21.75" hidden="false" customHeight="true" outlineLevel="0" collapsed="false">
      <c r="C2" s="46" t="str">
        <f aca="false">"Financial Statement Model - "&amp;Cover!$D$5</f>
        <v>Financial Statement Model - GATX Corporation</v>
      </c>
      <c r="D2" s="47"/>
      <c r="E2" s="47"/>
      <c r="F2" s="47"/>
      <c r="G2" s="47"/>
      <c r="H2" s="47"/>
      <c r="I2" s="47"/>
      <c r="J2" s="47"/>
      <c r="K2" s="47"/>
      <c r="L2" s="47"/>
      <c r="M2" s="47"/>
      <c r="N2" s="47"/>
      <c r="O2" s="47"/>
    </row>
    <row r="3" customFormat="false" ht="15" hidden="false" customHeight="true" outlineLevel="0" collapsed="false">
      <c r="C3" s="48" t="s">
        <v>1</v>
      </c>
    </row>
    <row r="5" customFormat="false" ht="15" hidden="false" customHeight="true" outlineLevel="0" collapsed="false">
      <c r="C5" s="4" t="s">
        <v>2</v>
      </c>
      <c r="D5" s="49" t="str">
        <f aca="false">Cover!$D$5</f>
        <v>GATX Corporation</v>
      </c>
    </row>
    <row r="6" customFormat="false" ht="15" hidden="false" customHeight="true" outlineLevel="0" collapsed="false">
      <c r="C6" s="4" t="s">
        <v>4</v>
      </c>
      <c r="D6" s="49" t="str">
        <f aca="false">Cover!$D$6</f>
        <v>GATX</v>
      </c>
    </row>
    <row r="7" customFormat="false" ht="15" hidden="false" customHeight="true" outlineLevel="0" collapsed="false">
      <c r="C7" s="4" t="s">
        <v>1551</v>
      </c>
      <c r="D7" s="49" t="n">
        <f aca="false">Cover!$D$7</f>
        <v>1</v>
      </c>
    </row>
    <row r="8" customFormat="false" ht="15" hidden="false" customHeight="true" outlineLevel="0" collapsed="false">
      <c r="C8" s="4" t="s">
        <v>7</v>
      </c>
      <c r="D8" s="6" t="n">
        <f aca="false">Cover!$D$8</f>
        <v>162.78</v>
      </c>
    </row>
    <row r="9" customFormat="false" ht="15" hidden="false" customHeight="true" outlineLevel="0" collapsed="false">
      <c r="C9" s="4" t="s">
        <v>8</v>
      </c>
      <c r="D9" s="50" t="n">
        <f aca="false">Cover!$D$9</f>
        <v>46303</v>
      </c>
    </row>
    <row r="10" customFormat="false" ht="15" hidden="false" customHeight="true" outlineLevel="0" collapsed="false">
      <c r="C10" s="4" t="s">
        <v>9</v>
      </c>
      <c r="D10" s="50" t="n">
        <f aca="false">Cover!$D$10</f>
        <v>46022</v>
      </c>
    </row>
    <row r="11" customFormat="false" ht="15" hidden="false" customHeight="true" outlineLevel="0" collapsed="false">
      <c r="C11" s="4" t="s">
        <v>1552</v>
      </c>
      <c r="D11" s="8" t="n">
        <f aca="false">Cover!$D$11</f>
        <v>35.8</v>
      </c>
    </row>
    <row r="13" customFormat="false" ht="17.25" hidden="false" customHeight="true" outlineLevel="0" collapsed="false">
      <c r="C13" s="10" t="s">
        <v>1945</v>
      </c>
      <c r="D13" s="11"/>
      <c r="E13" s="11"/>
      <c r="F13" s="11"/>
      <c r="G13" s="11"/>
      <c r="H13" s="11"/>
      <c r="I13" s="11"/>
      <c r="J13" s="11"/>
      <c r="K13" s="11"/>
      <c r="L13" s="11"/>
      <c r="M13" s="11"/>
      <c r="N13" s="11"/>
      <c r="O13" s="11"/>
    </row>
    <row r="14" customFormat="false" ht="14.25" hidden="false" customHeight="true" outlineLevel="0" collapsed="false">
      <c r="C14" s="101" t="s">
        <v>1946</v>
      </c>
      <c r="D14" s="101"/>
      <c r="E14" s="101"/>
      <c r="F14" s="101"/>
      <c r="G14" s="101"/>
      <c r="H14" s="101"/>
      <c r="I14" s="101"/>
      <c r="J14" s="101"/>
      <c r="K14" s="101"/>
      <c r="L14" s="101"/>
      <c r="M14" s="11"/>
      <c r="N14" s="11"/>
      <c r="O14" s="11"/>
    </row>
    <row r="15" customFormat="false" ht="14.25" hidden="false" customHeight="true" outlineLevel="0" collapsed="false">
      <c r="C15" s="11"/>
      <c r="D15" s="11"/>
      <c r="E15" s="11"/>
      <c r="F15" s="11"/>
      <c r="G15" s="11"/>
      <c r="H15" s="11"/>
      <c r="I15" s="11"/>
      <c r="J15" s="11"/>
      <c r="K15" s="11"/>
      <c r="L15" s="11"/>
      <c r="M15" s="11"/>
      <c r="N15" s="11"/>
      <c r="O15" s="11"/>
    </row>
    <row r="16" customFormat="false" ht="14.25" hidden="false" customHeight="true" outlineLevel="0" collapsed="false">
      <c r="C16" s="10" t="s">
        <v>1947</v>
      </c>
      <c r="D16" s="11"/>
      <c r="E16" s="11"/>
      <c r="F16" s="11"/>
      <c r="G16" s="11"/>
      <c r="H16" s="11"/>
      <c r="I16" s="11"/>
      <c r="J16" s="11"/>
      <c r="K16" s="11"/>
      <c r="L16" s="11"/>
      <c r="M16" s="11"/>
      <c r="N16" s="11"/>
      <c r="O16" s="11"/>
    </row>
    <row r="17" customFormat="false" ht="14.25" hidden="false" customHeight="true" outlineLevel="0" collapsed="false">
      <c r="C17" s="10" t="s">
        <v>1948</v>
      </c>
      <c r="D17" s="11"/>
      <c r="E17" s="11"/>
      <c r="F17" s="11"/>
      <c r="G17" s="11"/>
      <c r="H17" s="11"/>
      <c r="I17" s="11"/>
      <c r="J17" s="11"/>
      <c r="K17" s="11"/>
      <c r="L17" s="11"/>
      <c r="M17" s="11"/>
      <c r="N17" s="11"/>
      <c r="O17" s="11"/>
    </row>
    <row r="18" customFormat="false" ht="14.25" hidden="false" customHeight="true" outlineLevel="0" collapsed="false">
      <c r="C18" s="11" t="s">
        <v>1949</v>
      </c>
      <c r="D18" s="102" t="s">
        <v>1950</v>
      </c>
      <c r="E18" s="102"/>
      <c r="F18" s="102"/>
      <c r="G18" s="102"/>
      <c r="H18" s="102"/>
      <c r="I18" s="102"/>
      <c r="J18" s="102"/>
      <c r="K18" s="102"/>
      <c r="L18" s="102"/>
      <c r="M18" s="11"/>
      <c r="N18" s="11"/>
      <c r="O18" s="11"/>
    </row>
    <row r="19" customFormat="false" ht="14.25" hidden="false" customHeight="true" outlineLevel="0" collapsed="false">
      <c r="C19" s="11" t="s">
        <v>1951</v>
      </c>
      <c r="D19" s="103" t="n">
        <f aca="false">PERCENTILE(N212:N2817,0.25)</f>
        <v>14.78</v>
      </c>
      <c r="E19" s="11"/>
      <c r="F19" s="11"/>
      <c r="G19" s="11"/>
      <c r="H19" s="11"/>
      <c r="I19" s="11"/>
      <c r="J19" s="11"/>
      <c r="K19" s="11"/>
      <c r="L19" s="11"/>
      <c r="M19" s="11"/>
      <c r="N19" s="11"/>
      <c r="O19" s="11"/>
    </row>
    <row r="20" customFormat="false" ht="14.25" hidden="false" customHeight="true" outlineLevel="0" collapsed="false">
      <c r="C20" s="11" t="s">
        <v>1952</v>
      </c>
      <c r="D20" s="103" t="n">
        <f aca="false">MEDIAN(N212:N2817)</f>
        <v>16.34</v>
      </c>
      <c r="E20" s="11"/>
      <c r="F20" s="11"/>
      <c r="G20" s="11"/>
      <c r="H20" s="11"/>
      <c r="I20" s="11"/>
      <c r="J20" s="11"/>
      <c r="K20" s="11"/>
      <c r="L20" s="11"/>
      <c r="M20" s="11"/>
      <c r="N20" s="11"/>
      <c r="O20" s="11"/>
    </row>
    <row r="21" customFormat="false" ht="14.25" hidden="false" customHeight="true" outlineLevel="0" collapsed="false">
      <c r="C21" s="11" t="s">
        <v>1953</v>
      </c>
      <c r="D21" s="103" t="n">
        <f aca="false">PERCENTILE(N212:N2817,0.75)</f>
        <v>17.6875</v>
      </c>
      <c r="E21" s="11"/>
      <c r="F21" s="11"/>
      <c r="G21" s="11"/>
      <c r="H21" s="11"/>
      <c r="I21" s="11"/>
      <c r="J21" s="11"/>
      <c r="K21" s="11"/>
      <c r="L21" s="11"/>
      <c r="M21" s="11"/>
      <c r="N21" s="11"/>
      <c r="O21" s="11"/>
    </row>
    <row r="22" customFormat="false" ht="14.25" hidden="false" customHeight="true" outlineLevel="0" collapsed="false">
      <c r="C22" s="11" t="s">
        <v>1954</v>
      </c>
      <c r="D22" s="103" t="n">
        <f aca="false">INDEX(N212:N2817,COUNTA(N212:N2817))</f>
        <v>16.45</v>
      </c>
      <c r="E22" s="11"/>
      <c r="F22" s="11"/>
      <c r="G22" s="11"/>
      <c r="H22" s="11"/>
      <c r="I22" s="11"/>
      <c r="J22" s="11"/>
      <c r="K22" s="11"/>
      <c r="L22" s="11"/>
      <c r="M22" s="11"/>
      <c r="N22" s="11"/>
      <c r="O22" s="11"/>
    </row>
    <row r="23" customFormat="false" ht="14.25" hidden="false" customHeight="true" outlineLevel="0" collapsed="false">
      <c r="C23" s="11"/>
      <c r="D23" s="11"/>
      <c r="E23" s="11"/>
      <c r="F23" s="11"/>
      <c r="G23" s="11"/>
      <c r="H23" s="11"/>
      <c r="I23" s="11"/>
      <c r="J23" s="11"/>
      <c r="K23" s="11"/>
      <c r="L23" s="11"/>
      <c r="M23" s="11"/>
      <c r="N23" s="11"/>
      <c r="O23" s="11"/>
    </row>
    <row r="24" customFormat="false" ht="14.25" hidden="false" customHeight="true" outlineLevel="0" collapsed="false">
      <c r="A24" s="22" t="s">
        <v>11</v>
      </c>
      <c r="C24" s="71" t="s">
        <v>1955</v>
      </c>
      <c r="D24" s="104" t="n">
        <f aca="false">MEDIAN(Drivers!C183,Drivers!C184,Drivers!C185,Drivers!C186)</f>
        <v>10.679857</v>
      </c>
      <c r="E24" s="54"/>
      <c r="F24" s="54"/>
      <c r="G24" s="54"/>
      <c r="H24" s="54"/>
      <c r="I24" s="54"/>
      <c r="J24" s="54"/>
      <c r="K24" s="54"/>
      <c r="L24" s="54"/>
      <c r="M24" s="54"/>
      <c r="N24" s="54"/>
      <c r="O24" s="54"/>
    </row>
    <row r="25" customFormat="false" ht="14.25" hidden="false" customHeight="true" outlineLevel="0" collapsed="false">
      <c r="A25" s="22" t="s">
        <v>11</v>
      </c>
      <c r="C25" s="71" t="s">
        <v>1956</v>
      </c>
      <c r="D25" s="104" t="n">
        <f aca="false">MEDIAN(Drivers!C188,Drivers!C189,Drivers!C190,Drivers!C191)</f>
        <v>1.478895</v>
      </c>
      <c r="E25" s="54"/>
      <c r="F25" s="54"/>
      <c r="G25" s="54"/>
      <c r="H25" s="54"/>
      <c r="I25" s="54"/>
      <c r="J25" s="54"/>
      <c r="K25" s="54"/>
      <c r="L25" s="54"/>
      <c r="M25" s="54"/>
      <c r="N25" s="54"/>
      <c r="O25" s="54"/>
    </row>
    <row r="26" customFormat="false" ht="14.25" hidden="false" customHeight="true" outlineLevel="0" collapsed="false">
      <c r="C26" s="11" t="s">
        <v>1957</v>
      </c>
      <c r="D26" s="103" t="n">
        <f aca="false">MIN(O212:O236)</f>
        <v>1.202086</v>
      </c>
      <c r="E26" s="11"/>
      <c r="F26" s="11"/>
      <c r="G26" s="11"/>
      <c r="H26" s="11"/>
      <c r="I26" s="11"/>
      <c r="J26" s="11"/>
      <c r="K26" s="11"/>
      <c r="L26" s="11"/>
      <c r="M26" s="11"/>
      <c r="N26" s="11"/>
      <c r="O26" s="11"/>
    </row>
    <row r="27" customFormat="false" ht="14.25" hidden="false" customHeight="true" outlineLevel="0" collapsed="false">
      <c r="C27" s="11" t="s">
        <v>1958</v>
      </c>
      <c r="D27" s="103" t="n">
        <f aca="false">MEDIAN(O212:O236)</f>
        <v>1.632152</v>
      </c>
      <c r="E27" s="11"/>
      <c r="F27" s="11"/>
      <c r="G27" s="11"/>
      <c r="H27" s="11"/>
      <c r="I27" s="11"/>
      <c r="J27" s="11"/>
      <c r="K27" s="11"/>
      <c r="L27" s="11"/>
      <c r="M27" s="11"/>
      <c r="N27" s="11"/>
      <c r="O27" s="11"/>
    </row>
    <row r="28" customFormat="false" ht="14.25" hidden="false" customHeight="true" outlineLevel="0" collapsed="false">
      <c r="C28" s="11" t="s">
        <v>1959</v>
      </c>
      <c r="D28" s="103" t="n">
        <f aca="false">MAX(O212:O236)</f>
        <v>2.260367</v>
      </c>
      <c r="E28" s="11"/>
      <c r="F28" s="11"/>
      <c r="G28" s="11"/>
      <c r="H28" s="11"/>
      <c r="I28" s="11"/>
      <c r="J28" s="11"/>
      <c r="K28" s="11"/>
      <c r="L28" s="11"/>
      <c r="M28" s="11"/>
      <c r="N28" s="11"/>
      <c r="O28" s="11"/>
    </row>
    <row r="29" customFormat="false" ht="14.25" hidden="false" customHeight="true" outlineLevel="0" collapsed="false">
      <c r="C29" s="11" t="s">
        <v>1960</v>
      </c>
      <c r="D29" s="14" t="n">
        <f aca="false">Drivers!C179</f>
        <v>162.78</v>
      </c>
      <c r="E29" s="11"/>
      <c r="F29" s="11"/>
      <c r="G29" s="11"/>
      <c r="H29" s="11"/>
      <c r="I29" s="11"/>
      <c r="J29" s="11"/>
      <c r="K29" s="11"/>
      <c r="L29" s="11"/>
      <c r="M29" s="11"/>
      <c r="N29" s="11"/>
      <c r="O29" s="11"/>
    </row>
    <row r="30" customFormat="false" ht="14.25" hidden="false" customHeight="true" outlineLevel="0" collapsed="false">
      <c r="C30" s="11" t="s">
        <v>1961</v>
      </c>
      <c r="D30" s="14" t="n">
        <f aca="false">('3 Statement Forecast'!E58)/Drivers!C77</f>
        <v>81.8140274885014</v>
      </c>
      <c r="E30" s="11"/>
      <c r="F30" s="11"/>
      <c r="G30" s="11"/>
      <c r="H30" s="11"/>
      <c r="I30" s="11"/>
      <c r="J30" s="11"/>
      <c r="K30" s="11"/>
      <c r="L30" s="11"/>
      <c r="M30" s="11"/>
      <c r="N30" s="11"/>
      <c r="O30" s="11"/>
    </row>
    <row r="31" customFormat="false" ht="14.25" hidden="false" customHeight="true" outlineLevel="0" collapsed="false">
      <c r="C31" s="11" t="s">
        <v>1962</v>
      </c>
      <c r="D31" s="14" t="n">
        <f aca="false">('3 Statement Forecast'!F58)/Drivers!C78</f>
        <v>87.222696515239</v>
      </c>
      <c r="E31" s="11"/>
      <c r="F31" s="11"/>
      <c r="G31" s="11"/>
      <c r="H31" s="11"/>
      <c r="I31" s="11"/>
      <c r="J31" s="11"/>
      <c r="K31" s="11"/>
      <c r="L31" s="11"/>
      <c r="M31" s="11"/>
      <c r="N31" s="11"/>
      <c r="O31" s="11"/>
    </row>
    <row r="32" customFormat="false" ht="14.25" hidden="false" customHeight="true" outlineLevel="0" collapsed="false">
      <c r="C32" s="11"/>
      <c r="D32" s="11"/>
      <c r="E32" s="11"/>
      <c r="F32" s="11"/>
      <c r="G32" s="11"/>
      <c r="H32" s="11"/>
      <c r="I32" s="11"/>
      <c r="J32" s="11"/>
      <c r="K32" s="11"/>
      <c r="L32" s="11"/>
      <c r="M32" s="11"/>
      <c r="N32" s="11"/>
      <c r="O32" s="11"/>
    </row>
    <row r="33" customFormat="false" ht="14.25" hidden="false" customHeight="true" outlineLevel="0" collapsed="false">
      <c r="C33" s="11"/>
      <c r="D33" s="11"/>
      <c r="E33" s="11"/>
      <c r="F33" s="11"/>
      <c r="G33" s="11"/>
      <c r="H33" s="11"/>
      <c r="I33" s="11"/>
      <c r="J33" s="11"/>
      <c r="K33" s="11"/>
      <c r="L33" s="11"/>
      <c r="M33" s="11"/>
      <c r="N33" s="11"/>
      <c r="O33" s="11"/>
    </row>
    <row r="34" customFormat="false" ht="14.25" hidden="false" customHeight="true" outlineLevel="0" collapsed="false">
      <c r="A34" s="22" t="s">
        <v>11</v>
      </c>
      <c r="C34" s="105" t="s">
        <v>1963</v>
      </c>
      <c r="D34" s="54"/>
      <c r="E34" s="54"/>
      <c r="F34" s="54"/>
      <c r="G34" s="54"/>
      <c r="H34" s="54"/>
      <c r="I34" s="54"/>
      <c r="J34" s="54"/>
      <c r="K34" s="54"/>
      <c r="L34" s="54"/>
      <c r="M34" s="54"/>
      <c r="N34" s="54"/>
      <c r="O34" s="54"/>
    </row>
    <row r="35" customFormat="false" ht="14.25" hidden="false" customHeight="true" outlineLevel="0" collapsed="false">
      <c r="C35" s="11"/>
      <c r="D35" s="11"/>
      <c r="E35" s="11"/>
      <c r="F35" s="11"/>
      <c r="G35" s="11"/>
      <c r="H35" s="11"/>
      <c r="I35" s="11"/>
      <c r="J35" s="11"/>
      <c r="K35" s="11"/>
      <c r="L35" s="11"/>
      <c r="M35" s="11"/>
      <c r="N35" s="11"/>
      <c r="O35" s="11"/>
    </row>
    <row r="36" customFormat="false" ht="14.25" hidden="false" customHeight="true" outlineLevel="0" collapsed="false">
      <c r="C36" s="11" t="s">
        <v>1964</v>
      </c>
      <c r="D36" s="10" t="s">
        <v>1965</v>
      </c>
      <c r="E36" s="10" t="s">
        <v>1966</v>
      </c>
      <c r="F36" s="10" t="s">
        <v>1967</v>
      </c>
      <c r="G36" s="10" t="s">
        <v>1968</v>
      </c>
      <c r="H36" s="10" t="s">
        <v>1969</v>
      </c>
      <c r="I36" s="11"/>
      <c r="J36" s="11"/>
      <c r="K36" s="11"/>
      <c r="L36" s="11"/>
      <c r="M36" s="11"/>
      <c r="N36" s="11"/>
      <c r="O36" s="11"/>
    </row>
    <row r="37" customFormat="false" ht="14.25" hidden="false" customHeight="true" outlineLevel="0" collapsed="false">
      <c r="C37" s="11" t="s">
        <v>1970</v>
      </c>
      <c r="D37" s="103" t="n">
        <f aca="false">D19</f>
        <v>14.78</v>
      </c>
      <c r="E37" s="103" t="n">
        <f aca="false">D20</f>
        <v>16.34</v>
      </c>
      <c r="F37" s="103" t="n">
        <f aca="false">D21</f>
        <v>17.6875</v>
      </c>
      <c r="G37" s="103" t="n">
        <f aca="false">D22</f>
        <v>16.45</v>
      </c>
      <c r="H37" s="103" t="n">
        <f aca="false">D24</f>
        <v>10.679857</v>
      </c>
      <c r="I37" s="11"/>
      <c r="J37" s="11"/>
      <c r="K37" s="11"/>
      <c r="L37" s="11"/>
      <c r="M37" s="11"/>
      <c r="N37" s="11"/>
      <c r="O37" s="11"/>
    </row>
    <row r="38" customFormat="false" ht="14.25" hidden="false" customHeight="true" outlineLevel="0" collapsed="false">
      <c r="C38" s="11"/>
      <c r="D38" s="11"/>
      <c r="E38" s="11"/>
      <c r="F38" s="11"/>
      <c r="G38" s="11"/>
      <c r="H38" s="11"/>
      <c r="I38" s="11"/>
      <c r="J38" s="11"/>
      <c r="K38" s="11"/>
      <c r="L38" s="11"/>
      <c r="M38" s="11"/>
      <c r="N38" s="11"/>
      <c r="O38" s="11"/>
    </row>
    <row r="39" customFormat="false" ht="14.25" hidden="false" customHeight="true" outlineLevel="0" collapsed="false">
      <c r="C39" s="11" t="s">
        <v>1971</v>
      </c>
      <c r="D39" s="14" t="n">
        <f aca="false">'3 Statement Forecast'!$F$33*D$37</f>
        <v>150.402166233795</v>
      </c>
      <c r="E39" s="14" t="n">
        <f aca="false">'3 Statement Forecast'!$F$33*E$37</f>
        <v>166.276819774034</v>
      </c>
      <c r="F39" s="14" t="n">
        <f aca="false">'3 Statement Forecast'!$F$33*F$37</f>
        <v>179.989060572412</v>
      </c>
      <c r="G39" s="14" t="n">
        <f aca="false">'3 Statement Forecast'!$F$33*G$37</f>
        <v>167.39618636982</v>
      </c>
      <c r="H39" s="14" t="n">
        <f aca="false">'3 Statement Forecast'!$F$33*H$37</f>
        <v>108.678865214287</v>
      </c>
      <c r="I39" s="106" t="n">
        <f aca="false">'3 Statement Forecast'!F33</f>
        <v>10.1760599616912</v>
      </c>
      <c r="J39" s="11"/>
      <c r="K39" s="11"/>
      <c r="L39" s="11"/>
      <c r="M39" s="11"/>
      <c r="N39" s="11"/>
      <c r="O39" s="11"/>
    </row>
    <row r="40" customFormat="false" ht="14.25" hidden="false" customHeight="true" outlineLevel="0" collapsed="false">
      <c r="C40" s="11" t="s">
        <v>1972</v>
      </c>
      <c r="D40" s="14" t="n">
        <f aca="false">Drivers!$C$194*D$37</f>
        <v>166.579468</v>
      </c>
      <c r="E40" s="14" t="n">
        <f aca="false">Drivers!$C$194*E$37</f>
        <v>184.161604</v>
      </c>
      <c r="F40" s="14" t="n">
        <f aca="false">Drivers!$C$194*F$37</f>
        <v>199.3487375</v>
      </c>
      <c r="G40" s="14" t="n">
        <f aca="false">Drivers!$C$194*G$37</f>
        <v>185.40137</v>
      </c>
      <c r="H40" s="14" t="n">
        <f aca="false">Drivers!$C$194*H$37</f>
        <v>120.3683963042</v>
      </c>
      <c r="I40" s="106" t="n">
        <f aca="false">Drivers!C194</f>
        <v>11.2706</v>
      </c>
      <c r="J40" s="11"/>
      <c r="K40" s="11"/>
      <c r="L40" s="11"/>
      <c r="M40" s="11"/>
      <c r="N40" s="11"/>
      <c r="O40" s="11"/>
    </row>
    <row r="41" customFormat="false" ht="14.25" hidden="false" customHeight="true" outlineLevel="0" collapsed="false">
      <c r="C41" s="11" t="s">
        <v>1973</v>
      </c>
      <c r="D41" s="41" t="n">
        <f aca="false">DCF!F133</f>
        <v>214.813188612477</v>
      </c>
      <c r="E41" s="41" t="n">
        <f aca="false">DCF!D118</f>
        <v>458.930130203241</v>
      </c>
      <c r="F41" s="41" t="n">
        <f aca="false">DCF!F125</f>
        <v>1041.81517619668</v>
      </c>
      <c r="G41" s="11"/>
      <c r="H41" s="11"/>
      <c r="I41" s="11"/>
      <c r="J41" s="11"/>
      <c r="K41" s="11"/>
      <c r="L41" s="11"/>
      <c r="M41" s="11"/>
      <c r="N41" s="11"/>
      <c r="O41" s="11"/>
    </row>
    <row r="42" customFormat="false" ht="14.25" hidden="false" customHeight="true" outlineLevel="0" collapsed="false">
      <c r="C42" s="10" t="s">
        <v>1974</v>
      </c>
      <c r="D42" s="11"/>
      <c r="E42" s="11"/>
      <c r="F42" s="11"/>
      <c r="G42" s="11"/>
      <c r="H42" s="11"/>
      <c r="I42" s="11"/>
      <c r="J42" s="11"/>
      <c r="K42" s="11"/>
      <c r="L42" s="11"/>
      <c r="M42" s="11"/>
      <c r="N42" s="11"/>
      <c r="O42" s="11"/>
    </row>
    <row r="43" customFormat="false" ht="14.25" hidden="false" customHeight="true" outlineLevel="0" collapsed="false">
      <c r="C43" s="11" t="s">
        <v>1975</v>
      </c>
      <c r="D43" s="64" t="n">
        <f aca="false">(D39-$D$29)/$D$29</f>
        <v>-0.0760402614952982</v>
      </c>
      <c r="E43" s="64" t="n">
        <f aca="false">(E39-$D$29)/$D$29</f>
        <v>0.0214818759923428</v>
      </c>
      <c r="F43" s="64" t="n">
        <f aca="false">(F39-$D$29)/$D$29</f>
        <v>0.105719747956828</v>
      </c>
      <c r="G43" s="64" t="n">
        <f aca="false">(G39-$D$29)/$D$29</f>
        <v>0.0283584369690354</v>
      </c>
      <c r="H43" s="64" t="n">
        <f aca="false">(H39-$D$29)/$D$29</f>
        <v>-0.332357382883112</v>
      </c>
      <c r="I43" s="11"/>
      <c r="J43" s="11"/>
      <c r="K43" s="11"/>
      <c r="L43" s="11"/>
      <c r="M43" s="11"/>
      <c r="N43" s="11"/>
      <c r="O43" s="11"/>
    </row>
    <row r="44" customFormat="false" ht="14.25" hidden="false" customHeight="true" outlineLevel="0" collapsed="false">
      <c r="C44" s="11" t="s">
        <v>1976</v>
      </c>
      <c r="D44" s="64" t="n">
        <f aca="false">(D40-$D$29)/$D$29</f>
        <v>0.023341122988082</v>
      </c>
      <c r="E44" s="64" t="n">
        <f aca="false">(E40-$D$29)/$D$29</f>
        <v>0.13135277061064</v>
      </c>
      <c r="F44" s="64" t="n">
        <f aca="false">(F40-$D$29)/$D$29</f>
        <v>0.224651293156407</v>
      </c>
      <c r="G44" s="64" t="n">
        <f aca="false">(G40-$D$29)/$D$29</f>
        <v>0.138968976532743</v>
      </c>
      <c r="H44" s="64" t="n">
        <f aca="false">(H40-$D$29)/$D$29</f>
        <v>-0.260545544267109</v>
      </c>
      <c r="I44" s="11"/>
      <c r="J44" s="11"/>
      <c r="K44" s="11"/>
      <c r="L44" s="11"/>
      <c r="M44" s="11"/>
      <c r="N44" s="11"/>
      <c r="O44" s="11"/>
    </row>
    <row r="45" customFormat="false" ht="14.25" hidden="false" customHeight="true" outlineLevel="0" collapsed="false">
      <c r="C45" s="11" t="s">
        <v>1977</v>
      </c>
      <c r="D45" s="34" t="n">
        <f aca="false">(D41-$D$29)/$D$29</f>
        <v>0.319653450131941</v>
      </c>
      <c r="E45" s="34" t="n">
        <f aca="false">(E41-$D$29)/$D$29</f>
        <v>1.8193274984841</v>
      </c>
      <c r="F45" s="34" t="n">
        <f aca="false">(F41-$D$29)/$D$29</f>
        <v>5.40014237742157</v>
      </c>
      <c r="G45" s="11"/>
      <c r="H45" s="11"/>
      <c r="I45" s="11"/>
      <c r="J45" s="11"/>
      <c r="K45" s="11"/>
      <c r="L45" s="11"/>
      <c r="M45" s="11"/>
      <c r="N45" s="11"/>
      <c r="O45" s="11"/>
    </row>
    <row r="46" customFormat="false" ht="14.25" hidden="false" customHeight="true" outlineLevel="0" collapsed="false">
      <c r="C46" s="11" t="s">
        <v>1978</v>
      </c>
      <c r="D46" s="42" t="n">
        <f aca="false">FCFE!D74</f>
        <v>73.610214991098</v>
      </c>
      <c r="E46" s="11"/>
      <c r="F46" s="11"/>
      <c r="G46" s="11"/>
      <c r="H46" s="11"/>
      <c r="I46" s="11"/>
      <c r="J46" s="11"/>
      <c r="K46" s="11"/>
      <c r="L46" s="11"/>
      <c r="M46" s="11"/>
      <c r="N46" s="11"/>
      <c r="O46" s="11"/>
    </row>
    <row r="47" customFormat="false" ht="14.25" hidden="false" customHeight="true" outlineLevel="0" collapsed="false">
      <c r="A47" s="22" t="s">
        <v>11</v>
      </c>
      <c r="C47" s="105" t="s">
        <v>1979</v>
      </c>
      <c r="D47" s="54"/>
      <c r="E47" s="54"/>
      <c r="F47" s="54"/>
      <c r="G47" s="54"/>
      <c r="H47" s="54"/>
      <c r="I47" s="54"/>
      <c r="J47" s="54"/>
      <c r="K47" s="54"/>
      <c r="L47" s="54"/>
      <c r="M47" s="54"/>
      <c r="N47" s="54"/>
      <c r="O47" s="54"/>
    </row>
    <row r="48" customFormat="false" ht="14.25" hidden="false" customHeight="true" outlineLevel="0" collapsed="false">
      <c r="C48" s="11" t="s">
        <v>1980</v>
      </c>
      <c r="D48" s="34" t="n">
        <f aca="false">(D46-$D$29)/$D$29</f>
        <v>-0.547793248611021</v>
      </c>
      <c r="E48" s="11"/>
      <c r="F48" s="11"/>
      <c r="G48" s="11"/>
      <c r="H48" s="11"/>
      <c r="I48" s="11"/>
      <c r="J48" s="11"/>
      <c r="K48" s="11"/>
      <c r="L48" s="11"/>
      <c r="M48" s="11"/>
      <c r="N48" s="11"/>
      <c r="O48" s="11"/>
    </row>
    <row r="49" customFormat="false" ht="14.25" hidden="false" customHeight="true" outlineLevel="0" collapsed="false">
      <c r="A49" s="22" t="s">
        <v>11</v>
      </c>
      <c r="C49" s="71" t="s">
        <v>1981</v>
      </c>
      <c r="D49" s="71" t="s">
        <v>1982</v>
      </c>
      <c r="E49" s="71" t="s">
        <v>1983</v>
      </c>
      <c r="F49" s="71" t="s">
        <v>1984</v>
      </c>
      <c r="G49" s="71" t="s">
        <v>1969</v>
      </c>
      <c r="H49" s="54"/>
      <c r="I49" s="54"/>
      <c r="J49" s="54"/>
      <c r="K49" s="54"/>
      <c r="L49" s="54"/>
      <c r="M49" s="54"/>
      <c r="N49" s="54"/>
      <c r="O49" s="54"/>
    </row>
    <row r="50" customFormat="false" ht="14.25" hidden="false" customHeight="true" outlineLevel="0" collapsed="false">
      <c r="C50" s="11" t="s">
        <v>1970</v>
      </c>
      <c r="D50" s="103" t="n">
        <f aca="false">D26</f>
        <v>1.202086</v>
      </c>
      <c r="E50" s="103" t="n">
        <f aca="false">D27</f>
        <v>1.632152</v>
      </c>
      <c r="F50" s="103" t="n">
        <f aca="false">D28</f>
        <v>2.260367</v>
      </c>
      <c r="G50" s="103" t="n">
        <f aca="false">D25</f>
        <v>1.478895</v>
      </c>
      <c r="H50" s="11"/>
      <c r="I50" s="11"/>
      <c r="J50" s="11"/>
      <c r="K50" s="11"/>
      <c r="L50" s="11"/>
      <c r="M50" s="11"/>
      <c r="N50" s="11"/>
      <c r="O50" s="11"/>
    </row>
    <row r="51" customFormat="false" ht="14.25" hidden="false" customHeight="true" outlineLevel="0" collapsed="false">
      <c r="C51" s="11"/>
      <c r="D51" s="11"/>
      <c r="E51" s="11"/>
      <c r="F51" s="11"/>
      <c r="G51" s="11"/>
      <c r="H51" s="11"/>
      <c r="I51" s="11"/>
      <c r="J51" s="11"/>
      <c r="K51" s="11"/>
      <c r="L51" s="11"/>
      <c r="M51" s="11"/>
      <c r="N51" s="11"/>
      <c r="O51" s="11"/>
    </row>
    <row r="52" customFormat="false" ht="14.25" hidden="false" customHeight="true" outlineLevel="0" collapsed="false">
      <c r="A52" s="22" t="s">
        <v>11</v>
      </c>
      <c r="C52" s="71" t="s">
        <v>1985</v>
      </c>
      <c r="D52" s="107" t="n">
        <f aca="false">$D$30*D$50</f>
        <v>98.3474970475427</v>
      </c>
      <c r="E52" s="107" t="n">
        <f aca="false">$D$30*E$50</f>
        <v>133.532928593413</v>
      </c>
      <c r="F52" s="107" t="n">
        <f aca="false">$D$30*F$50</f>
        <v>184.929727872101</v>
      </c>
      <c r="G52" s="107" t="n">
        <f aca="false">$D$30*G$50</f>
        <v>120.994356182607</v>
      </c>
      <c r="H52" s="54"/>
      <c r="I52" s="108" t="n">
        <f aca="false">D30</f>
        <v>81.8140274885014</v>
      </c>
      <c r="J52" s="54"/>
      <c r="K52" s="54"/>
      <c r="L52" s="54"/>
      <c r="M52" s="54"/>
      <c r="N52" s="54"/>
      <c r="O52" s="54"/>
    </row>
    <row r="53" customFormat="false" ht="14.25" hidden="false" customHeight="true" outlineLevel="0" collapsed="false">
      <c r="A53" s="22" t="s">
        <v>11</v>
      </c>
      <c r="C53" s="71" t="s">
        <v>1986</v>
      </c>
      <c r="D53" s="107" t="n">
        <f aca="false">$D$31*D$50</f>
        <v>104.849182363218</v>
      </c>
      <c r="E53" s="107" t="n">
        <f aca="false">$D$31*E$50</f>
        <v>142.36069856274</v>
      </c>
      <c r="F53" s="107" t="n">
        <f aca="false">$D$31*F$50</f>
        <v>197.155304854061</v>
      </c>
      <c r="G53" s="107" t="n">
        <f aca="false">$D$31*G$50</f>
        <v>128.993209762904</v>
      </c>
      <c r="H53" s="54"/>
      <c r="I53" s="108" t="n">
        <f aca="false">D31</f>
        <v>87.222696515239</v>
      </c>
      <c r="J53" s="54"/>
      <c r="K53" s="54"/>
      <c r="L53" s="54"/>
      <c r="M53" s="54"/>
      <c r="N53" s="54"/>
      <c r="O53" s="54"/>
    </row>
    <row r="54" customFormat="false" ht="14.25" hidden="false" customHeight="true" outlineLevel="0" collapsed="false">
      <c r="C54" s="11"/>
      <c r="D54" s="11"/>
      <c r="E54" s="11"/>
      <c r="F54" s="11"/>
      <c r="G54" s="11"/>
      <c r="H54" s="11"/>
      <c r="I54" s="11"/>
      <c r="J54" s="11"/>
      <c r="K54" s="11"/>
      <c r="L54" s="11"/>
      <c r="M54" s="11"/>
      <c r="N54" s="11"/>
      <c r="O54" s="11"/>
    </row>
    <row r="55" customFormat="false" ht="14.25" hidden="false" customHeight="true" outlineLevel="0" collapsed="false">
      <c r="C55" s="102" t="s">
        <v>1987</v>
      </c>
      <c r="D55" s="102"/>
      <c r="E55" s="102"/>
      <c r="F55" s="102"/>
      <c r="G55" s="102"/>
      <c r="H55" s="102"/>
      <c r="I55" s="102"/>
      <c r="J55" s="102"/>
      <c r="K55" s="11"/>
      <c r="L55" s="11"/>
      <c r="M55" s="11"/>
      <c r="N55" s="11"/>
      <c r="O55" s="11"/>
    </row>
    <row r="56" customFormat="false" ht="14.25" hidden="false" customHeight="true" outlineLevel="0" collapsed="false">
      <c r="C56" s="11" t="s">
        <v>1988</v>
      </c>
      <c r="D56" s="103" t="n">
        <f aca="false">E39</f>
        <v>166.276819774034</v>
      </c>
      <c r="E56" s="11"/>
      <c r="F56" s="11"/>
      <c r="G56" s="11"/>
      <c r="H56" s="11"/>
      <c r="I56" s="11"/>
      <c r="J56" s="11"/>
      <c r="K56" s="11"/>
      <c r="L56" s="11"/>
      <c r="M56" s="11"/>
      <c r="N56" s="11"/>
      <c r="O56" s="11"/>
    </row>
    <row r="57" customFormat="false" ht="14.25" hidden="false" customHeight="true" outlineLevel="0" collapsed="false">
      <c r="C57" s="11" t="s">
        <v>1989</v>
      </c>
      <c r="D57" s="103" t="n">
        <f aca="false">E53</f>
        <v>142.36069856274</v>
      </c>
      <c r="E57" s="11"/>
      <c r="F57" s="11"/>
      <c r="G57" s="11"/>
      <c r="H57" s="11"/>
      <c r="I57" s="11"/>
      <c r="J57" s="11"/>
      <c r="K57" s="11"/>
      <c r="L57" s="11"/>
      <c r="M57" s="11"/>
      <c r="N57" s="11"/>
      <c r="O57" s="11"/>
    </row>
    <row r="58" customFormat="false" ht="14.25" hidden="false" customHeight="true" outlineLevel="0" collapsed="false">
      <c r="C58" s="11" t="s">
        <v>1990</v>
      </c>
      <c r="D58" s="103" t="n">
        <f aca="false">D56-D57</f>
        <v>23.9161212112932</v>
      </c>
      <c r="E58" s="11"/>
      <c r="F58" s="11"/>
      <c r="G58" s="11"/>
      <c r="H58" s="11"/>
      <c r="I58" s="11"/>
      <c r="J58" s="11"/>
      <c r="K58" s="11"/>
      <c r="L58" s="11"/>
      <c r="M58" s="11"/>
      <c r="N58" s="11"/>
      <c r="O58" s="11"/>
    </row>
    <row r="59" customFormat="false" ht="14.25" hidden="false" customHeight="true" outlineLevel="0" collapsed="false">
      <c r="C59" s="11" t="s">
        <v>1991</v>
      </c>
      <c r="D59" s="101" t="s">
        <v>1992</v>
      </c>
      <c r="E59" s="101"/>
      <c r="F59" s="101"/>
      <c r="G59" s="101"/>
      <c r="H59" s="101"/>
      <c r="I59" s="101"/>
      <c r="J59" s="101"/>
      <c r="K59" s="11"/>
      <c r="L59" s="11"/>
      <c r="M59" s="11"/>
      <c r="N59" s="11"/>
      <c r="O59" s="11"/>
    </row>
    <row r="60" customFormat="false" ht="14.25" hidden="false" customHeight="true" outlineLevel="0" collapsed="false">
      <c r="C60" s="11"/>
      <c r="D60" s="11"/>
      <c r="E60" s="11"/>
      <c r="F60" s="11"/>
      <c r="G60" s="11"/>
      <c r="H60" s="11"/>
      <c r="I60" s="11"/>
      <c r="J60" s="11"/>
      <c r="K60" s="11"/>
      <c r="L60" s="11"/>
      <c r="M60" s="11"/>
      <c r="N60" s="11"/>
      <c r="O60" s="11"/>
    </row>
    <row r="61" customFormat="false" ht="14.25" hidden="false" customHeight="true" outlineLevel="0" collapsed="false">
      <c r="C61" s="11"/>
      <c r="D61" s="11"/>
      <c r="E61" s="11"/>
      <c r="F61" s="11"/>
      <c r="G61" s="11"/>
      <c r="H61" s="11"/>
      <c r="I61" s="11"/>
      <c r="J61" s="11"/>
      <c r="K61" s="11"/>
      <c r="L61" s="11"/>
      <c r="M61" s="11"/>
      <c r="N61" s="11"/>
      <c r="O61" s="11"/>
    </row>
    <row r="62" customFormat="false" ht="14.25" hidden="false" customHeight="true" outlineLevel="0" collapsed="false">
      <c r="A62" s="22" t="s">
        <v>11</v>
      </c>
      <c r="C62" s="105" t="s">
        <v>1993</v>
      </c>
      <c r="D62" s="54"/>
      <c r="E62" s="54"/>
      <c r="F62" s="54"/>
      <c r="G62" s="54"/>
      <c r="H62" s="54"/>
      <c r="I62" s="54"/>
      <c r="J62" s="54"/>
      <c r="K62" s="54"/>
      <c r="L62" s="54"/>
      <c r="M62" s="54"/>
      <c r="N62" s="54"/>
      <c r="O62" s="54"/>
    </row>
    <row r="63" customFormat="false" ht="14.25" hidden="false" customHeight="true" outlineLevel="0" collapsed="false">
      <c r="C63" s="3" t="s">
        <v>1994</v>
      </c>
      <c r="D63" s="11"/>
      <c r="E63" s="11"/>
      <c r="F63" s="11"/>
      <c r="G63" s="11"/>
      <c r="H63" s="11"/>
      <c r="I63" s="11"/>
      <c r="J63" s="11"/>
      <c r="K63" s="11"/>
      <c r="L63" s="11"/>
      <c r="M63" s="11"/>
      <c r="N63" s="11"/>
      <c r="O63" s="11"/>
    </row>
    <row r="64" customFormat="false" ht="14.25" hidden="false" customHeight="true" outlineLevel="0" collapsed="false">
      <c r="C64" s="10" t="s">
        <v>1995</v>
      </c>
      <c r="D64" s="10" t="s">
        <v>1996</v>
      </c>
      <c r="E64" s="10" t="s">
        <v>1997</v>
      </c>
      <c r="F64" s="10" t="s">
        <v>1998</v>
      </c>
      <c r="G64" s="10" t="s">
        <v>1999</v>
      </c>
      <c r="H64" s="10" t="s">
        <v>2000</v>
      </c>
      <c r="I64" s="10" t="s">
        <v>2001</v>
      </c>
      <c r="J64" s="11"/>
      <c r="K64" s="11"/>
      <c r="L64" s="11"/>
      <c r="M64" s="11"/>
      <c r="N64" s="11"/>
      <c r="O64" s="11"/>
    </row>
    <row r="65" customFormat="false" ht="14.25" hidden="false" customHeight="true" outlineLevel="0" collapsed="false">
      <c r="C65" s="11" t="s">
        <v>1383</v>
      </c>
      <c r="D65" s="11" t="s">
        <v>2002</v>
      </c>
      <c r="E65" s="14" t="n">
        <f aca="false">D152</f>
        <v>10.1192242708701</v>
      </c>
      <c r="F65" s="32" t="n">
        <f aca="false">D19</f>
        <v>14.78</v>
      </c>
      <c r="G65" s="32" t="n">
        <f aca="false">E65*F65</f>
        <v>149.56213472346</v>
      </c>
      <c r="H65" s="41" t="n">
        <f aca="false">Drivers!C196</f>
        <v>0.25</v>
      </c>
      <c r="I65" s="32" t="n">
        <f aca="false">G65*H65</f>
        <v>37.390533680865</v>
      </c>
      <c r="J65" s="11"/>
      <c r="K65" s="11"/>
      <c r="L65" s="11"/>
      <c r="M65" s="11"/>
      <c r="N65" s="11"/>
      <c r="O65" s="11"/>
    </row>
    <row r="66" customFormat="false" ht="14.25" hidden="false" customHeight="true" outlineLevel="0" collapsed="false">
      <c r="C66" s="11" t="s">
        <v>1384</v>
      </c>
      <c r="D66" s="11" t="s">
        <v>2003</v>
      </c>
      <c r="E66" s="42" t="n">
        <f aca="false">'3 Statement Forecast'!F33</f>
        <v>10.1760599616912</v>
      </c>
      <c r="F66" s="32" t="n">
        <f aca="false">D20</f>
        <v>16.34</v>
      </c>
      <c r="G66" s="32" t="n">
        <f aca="false">E66*F66</f>
        <v>166.276819774034</v>
      </c>
      <c r="H66" s="41" t="n">
        <f aca="false">Drivers!C197</f>
        <v>0.5</v>
      </c>
      <c r="I66" s="32" t="n">
        <f aca="false">G66*H66</f>
        <v>83.1384098870168</v>
      </c>
      <c r="J66" s="11"/>
      <c r="K66" s="11"/>
      <c r="L66" s="11"/>
      <c r="M66" s="11"/>
      <c r="N66" s="11"/>
      <c r="O66" s="11"/>
    </row>
    <row r="67" customFormat="false" ht="14.25" hidden="false" customHeight="true" outlineLevel="0" collapsed="false">
      <c r="C67" s="11" t="s">
        <v>1385</v>
      </c>
      <c r="D67" s="11" t="s">
        <v>2004</v>
      </c>
      <c r="E67" s="14" t="n">
        <f aca="false">F152</f>
        <v>10.6589341968259</v>
      </c>
      <c r="F67" s="32" t="n">
        <f aca="false">D21</f>
        <v>17.6875</v>
      </c>
      <c r="G67" s="32" t="n">
        <f aca="false">E67*F67</f>
        <v>188.529898606358</v>
      </c>
      <c r="H67" s="41" t="n">
        <f aca="false">Drivers!C198</f>
        <v>0.25</v>
      </c>
      <c r="I67" s="32" t="n">
        <f aca="false">G67*H67</f>
        <v>47.1324746515895</v>
      </c>
      <c r="J67" s="11"/>
      <c r="K67" s="11"/>
      <c r="L67" s="11"/>
      <c r="M67" s="11"/>
      <c r="N67" s="11"/>
      <c r="O67" s="11"/>
    </row>
    <row r="68" customFormat="false" ht="14.25" hidden="false" customHeight="true" outlineLevel="0" collapsed="false">
      <c r="C68" s="11" t="s">
        <v>46</v>
      </c>
      <c r="D68" s="11" t="s">
        <v>2005</v>
      </c>
      <c r="E68" s="42" t="n">
        <f aca="false">DCF!D118</f>
        <v>458.930130203241</v>
      </c>
      <c r="F68" s="31" t="n">
        <v>1</v>
      </c>
      <c r="G68" s="32" t="n">
        <f aca="false">E68*F68</f>
        <v>458.930130203241</v>
      </c>
      <c r="H68" s="42" t="n">
        <f aca="false">Drivers!$C$408</f>
        <v>0</v>
      </c>
      <c r="I68" s="32" t="n">
        <f aca="false">G68*H68</f>
        <v>0</v>
      </c>
      <c r="J68" s="11"/>
      <c r="K68" s="11"/>
      <c r="L68" s="11"/>
      <c r="M68" s="11"/>
      <c r="N68" s="11"/>
      <c r="O68" s="11"/>
    </row>
    <row r="69" customFormat="false" ht="14.25" hidden="false" customHeight="true" outlineLevel="0" collapsed="false">
      <c r="C69" s="11" t="s">
        <v>2006</v>
      </c>
      <c r="D69" s="11"/>
      <c r="E69" s="11"/>
      <c r="F69" s="11"/>
      <c r="G69" s="11"/>
      <c r="H69" s="11"/>
      <c r="I69" s="89" t="n">
        <f aca="false">SUM(I65:I67)</f>
        <v>167.661418219471</v>
      </c>
      <c r="J69" s="11"/>
      <c r="K69" s="11"/>
      <c r="L69" s="11"/>
      <c r="M69" s="11"/>
      <c r="N69" s="11"/>
      <c r="O69" s="11"/>
    </row>
    <row r="70" customFormat="false" ht="14.25" hidden="false" customHeight="true" outlineLevel="0" collapsed="false">
      <c r="C70" s="11" t="s">
        <v>1960</v>
      </c>
      <c r="D70" s="11"/>
      <c r="E70" s="11"/>
      <c r="F70" s="11"/>
      <c r="G70" s="11"/>
      <c r="H70" s="11"/>
      <c r="I70" s="64" t="n">
        <f aca="false">D29</f>
        <v>162.78</v>
      </c>
      <c r="J70" s="11"/>
      <c r="K70" s="11"/>
      <c r="L70" s="11"/>
      <c r="M70" s="11"/>
      <c r="N70" s="11"/>
      <c r="O70" s="11"/>
    </row>
    <row r="71" customFormat="false" ht="14.25" hidden="false" customHeight="true" outlineLevel="0" collapsed="false">
      <c r="C71" s="11" t="s">
        <v>2007</v>
      </c>
      <c r="D71" s="11"/>
      <c r="E71" s="11"/>
      <c r="F71" s="11"/>
      <c r="G71" s="11"/>
      <c r="H71" s="11"/>
      <c r="I71" s="109" t="n">
        <f aca="false">(I69-I70)/I70</f>
        <v>0.0299878254052791</v>
      </c>
      <c r="J71" s="11"/>
      <c r="K71" s="11"/>
      <c r="L71" s="11"/>
      <c r="M71" s="11"/>
      <c r="N71" s="11"/>
      <c r="O71" s="11"/>
    </row>
    <row r="72" customFormat="false" ht="14.25" hidden="false" customHeight="true" outlineLevel="0" collapsed="false">
      <c r="C72" s="11" t="s">
        <v>2008</v>
      </c>
      <c r="D72" s="11"/>
      <c r="E72" s="11"/>
      <c r="F72" s="11"/>
      <c r="G72" s="11"/>
      <c r="H72" s="11"/>
      <c r="I72" s="32" t="n">
        <f aca="false">SUM(I65:I68)+I102</f>
        <v>167.661418219471</v>
      </c>
      <c r="J72" s="11"/>
      <c r="K72" s="11"/>
      <c r="L72" s="11"/>
      <c r="M72" s="11"/>
      <c r="N72" s="11"/>
      <c r="O72" s="11"/>
    </row>
    <row r="73" customFormat="false" ht="14.25" hidden="false" customHeight="true" outlineLevel="0" collapsed="false">
      <c r="C73" s="11" t="s">
        <v>2009</v>
      </c>
      <c r="D73" s="11"/>
      <c r="E73" s="11"/>
      <c r="F73" s="11"/>
      <c r="G73" s="11"/>
      <c r="H73" s="11"/>
      <c r="I73" s="103" t="n">
        <f aca="false">SUM(I65:I67)</f>
        <v>167.661418219471</v>
      </c>
      <c r="J73" s="11"/>
      <c r="K73" s="11"/>
      <c r="L73" s="11"/>
      <c r="M73" s="11"/>
      <c r="N73" s="11"/>
      <c r="O73" s="11"/>
    </row>
    <row r="74" customFormat="false" ht="14.25" hidden="false" customHeight="true" outlineLevel="0" collapsed="false">
      <c r="A74" s="22" t="s">
        <v>11</v>
      </c>
      <c r="C74" s="105" t="s">
        <v>2010</v>
      </c>
      <c r="D74" s="54"/>
      <c r="E74" s="54"/>
      <c r="F74" s="54"/>
      <c r="G74" s="54"/>
      <c r="H74" s="54"/>
      <c r="I74" s="54"/>
      <c r="J74" s="54"/>
      <c r="K74" s="54"/>
      <c r="L74" s="54"/>
      <c r="M74" s="54"/>
      <c r="N74" s="54"/>
      <c r="O74" s="54"/>
    </row>
    <row r="75" customFormat="false" ht="14.25" hidden="false" customHeight="true" outlineLevel="0" collapsed="false">
      <c r="C75" s="11"/>
      <c r="D75" s="11"/>
      <c r="E75" s="11"/>
      <c r="F75" s="11"/>
      <c r="G75" s="11"/>
      <c r="H75" s="11"/>
      <c r="I75" s="11"/>
      <c r="J75" s="11"/>
      <c r="K75" s="11"/>
      <c r="L75" s="11"/>
      <c r="M75" s="11"/>
      <c r="N75" s="11"/>
      <c r="O75" s="11"/>
    </row>
    <row r="76" customFormat="false" ht="14.25" hidden="false" customHeight="true" outlineLevel="0" collapsed="false">
      <c r="C76" s="10" t="s">
        <v>2011</v>
      </c>
      <c r="D76" s="11"/>
      <c r="E76" s="11"/>
      <c r="F76" s="11"/>
      <c r="G76" s="11"/>
      <c r="H76" s="11"/>
      <c r="I76" s="11"/>
      <c r="J76" s="11"/>
      <c r="K76" s="11"/>
      <c r="L76" s="11"/>
      <c r="M76" s="11"/>
      <c r="N76" s="11"/>
      <c r="O76" s="11"/>
    </row>
    <row r="77" customFormat="false" ht="14.25" hidden="false" customHeight="true" outlineLevel="0" collapsed="false">
      <c r="C77" s="101" t="s">
        <v>2012</v>
      </c>
      <c r="D77" s="101"/>
      <c r="E77" s="101"/>
      <c r="F77" s="101"/>
      <c r="G77" s="101"/>
      <c r="H77" s="101"/>
      <c r="I77" s="101"/>
      <c r="J77" s="101"/>
      <c r="K77" s="101"/>
      <c r="L77" s="101"/>
      <c r="M77" s="11"/>
      <c r="N77" s="11"/>
      <c r="O77" s="11"/>
    </row>
    <row r="78" customFormat="false" ht="14.25" hidden="false" customHeight="true" outlineLevel="0" collapsed="false">
      <c r="C78" s="11"/>
      <c r="D78" s="11"/>
      <c r="E78" s="11"/>
      <c r="F78" s="11"/>
      <c r="G78" s="11"/>
      <c r="H78" s="11"/>
      <c r="I78" s="11"/>
      <c r="J78" s="11"/>
      <c r="K78" s="11"/>
      <c r="L78" s="11"/>
      <c r="M78" s="11"/>
      <c r="N78" s="11"/>
      <c r="O78" s="11"/>
    </row>
    <row r="79" customFormat="false" ht="14.25" hidden="false" customHeight="true" outlineLevel="0" collapsed="false">
      <c r="C79" s="11" t="s">
        <v>2013</v>
      </c>
      <c r="D79" s="103" t="n">
        <f aca="false">D20</f>
        <v>16.34</v>
      </c>
      <c r="E79" s="11"/>
      <c r="F79" s="11"/>
      <c r="G79" s="11"/>
      <c r="H79" s="11"/>
      <c r="I79" s="11"/>
      <c r="J79" s="11"/>
      <c r="K79" s="11"/>
      <c r="L79" s="11"/>
      <c r="M79" s="11"/>
      <c r="N79" s="11"/>
      <c r="O79" s="11"/>
    </row>
    <row r="80" customFormat="false" ht="14.25" hidden="false" customHeight="true" outlineLevel="0" collapsed="false">
      <c r="C80" s="11" t="s">
        <v>2014</v>
      </c>
      <c r="D80" s="64" t="n">
        <f aca="false">$D$29/$D$20</f>
        <v>9.96205630354957</v>
      </c>
      <c r="E80" s="11"/>
      <c r="F80" s="11"/>
      <c r="G80" s="11"/>
      <c r="H80" s="11"/>
      <c r="I80" s="11"/>
      <c r="J80" s="11"/>
      <c r="K80" s="11"/>
      <c r="L80" s="11"/>
      <c r="M80" s="11"/>
      <c r="N80" s="11"/>
      <c r="O80" s="11"/>
    </row>
    <row r="81" customFormat="false" ht="14.25" hidden="false" customHeight="true" outlineLevel="0" collapsed="false">
      <c r="C81" s="11" t="s">
        <v>1971</v>
      </c>
      <c r="D81" s="14" t="n">
        <f aca="false">'3 Statement Forecast'!F33</f>
        <v>10.1760599616912</v>
      </c>
      <c r="E81" s="11"/>
      <c r="F81" s="11"/>
      <c r="G81" s="11"/>
      <c r="H81" s="11"/>
      <c r="I81" s="11"/>
      <c r="J81" s="11"/>
      <c r="K81" s="11"/>
      <c r="L81" s="11"/>
      <c r="M81" s="11"/>
      <c r="N81" s="11"/>
      <c r="O81" s="11"/>
    </row>
    <row r="82" customFormat="false" ht="14.25" hidden="false" customHeight="true" outlineLevel="0" collapsed="false">
      <c r="C82" s="11" t="s">
        <v>2015</v>
      </c>
      <c r="D82" s="64" t="n">
        <f aca="false">D81-D80</f>
        <v>0.214003658141589</v>
      </c>
      <c r="E82" s="11"/>
      <c r="F82" s="11"/>
      <c r="G82" s="11"/>
      <c r="H82" s="11"/>
      <c r="I82" s="11"/>
      <c r="J82" s="11"/>
      <c r="K82" s="11"/>
      <c r="L82" s="11"/>
      <c r="M82" s="11"/>
      <c r="N82" s="11"/>
      <c r="O82" s="11"/>
    </row>
    <row r="83" customFormat="false" ht="14.25" hidden="false" customHeight="true" outlineLevel="0" collapsed="false">
      <c r="C83" s="11" t="s">
        <v>2016</v>
      </c>
      <c r="D83" s="14" t="n">
        <f aca="false">('Thesis Test'!E36-'Thesis Test'!E35)/Drivers!C322</f>
        <v>0.029972730185229</v>
      </c>
      <c r="E83" s="11"/>
      <c r="F83" s="11"/>
      <c r="G83" s="11"/>
      <c r="H83" s="11"/>
      <c r="I83" s="11"/>
      <c r="J83" s="11"/>
      <c r="K83" s="11"/>
      <c r="L83" s="11"/>
      <c r="M83" s="11"/>
      <c r="N83" s="11"/>
      <c r="O83" s="11"/>
    </row>
    <row r="84" customFormat="false" ht="14.25" hidden="false" customHeight="true" outlineLevel="0" collapsed="false">
      <c r="C84" s="11" t="s">
        <v>2017</v>
      </c>
      <c r="D84" s="34" t="n">
        <f aca="false">D82/D83</f>
        <v>7.13994543770502</v>
      </c>
      <c r="E84" s="11"/>
      <c r="F84" s="11"/>
      <c r="G84" s="11"/>
      <c r="H84" s="11"/>
      <c r="I84" s="11"/>
      <c r="J84" s="11"/>
      <c r="K84" s="11"/>
      <c r="L84" s="11"/>
      <c r="M84" s="11"/>
      <c r="N84" s="11"/>
      <c r="O84" s="11"/>
    </row>
    <row r="85" customFormat="false" ht="14.25" hidden="false" customHeight="true" outlineLevel="0" collapsed="false">
      <c r="C85" s="11"/>
      <c r="D85" s="11"/>
      <c r="E85" s="11"/>
      <c r="F85" s="11"/>
      <c r="G85" s="11"/>
      <c r="H85" s="11"/>
      <c r="I85" s="11"/>
      <c r="J85" s="11"/>
      <c r="K85" s="11"/>
      <c r="L85" s="11"/>
      <c r="M85" s="11"/>
      <c r="N85" s="11"/>
      <c r="O85" s="11"/>
    </row>
    <row r="86" customFormat="false" ht="14.25" hidden="false" customHeight="true" outlineLevel="0" collapsed="false">
      <c r="C86" s="10" t="s">
        <v>2018</v>
      </c>
      <c r="D86" s="11"/>
      <c r="E86" s="11"/>
      <c r="F86" s="11"/>
      <c r="G86" s="11"/>
      <c r="H86" s="11"/>
      <c r="I86" s="11"/>
      <c r="J86" s="11"/>
      <c r="K86" s="11"/>
      <c r="L86" s="11"/>
      <c r="M86" s="11"/>
      <c r="N86" s="11"/>
      <c r="O86" s="11"/>
    </row>
    <row r="87" customFormat="false" ht="14.25" hidden="false" customHeight="true" outlineLevel="0" collapsed="false">
      <c r="C87" s="11" t="s">
        <v>2019</v>
      </c>
      <c r="D87" s="64" t="n">
        <f aca="false">E37</f>
        <v>16.34</v>
      </c>
      <c r="E87" s="11"/>
      <c r="F87" s="11"/>
      <c r="G87" s="11"/>
      <c r="H87" s="11"/>
      <c r="I87" s="11"/>
      <c r="J87" s="11"/>
      <c r="K87" s="11"/>
      <c r="L87" s="11"/>
      <c r="M87" s="11"/>
      <c r="N87" s="11"/>
      <c r="O87" s="11"/>
    </row>
    <row r="88" customFormat="false" ht="14.25" hidden="false" customHeight="true" outlineLevel="0" collapsed="false">
      <c r="C88" s="11" t="s">
        <v>2020</v>
      </c>
      <c r="D88" s="14" t="n">
        <f aca="false">$D$29/Drivers!C194</f>
        <v>14.4428868028321</v>
      </c>
      <c r="E88" s="11"/>
      <c r="F88" s="11"/>
      <c r="G88" s="11"/>
      <c r="H88" s="11"/>
      <c r="I88" s="11"/>
      <c r="J88" s="11"/>
      <c r="K88" s="11"/>
      <c r="L88" s="11"/>
      <c r="M88" s="11"/>
      <c r="N88" s="11"/>
      <c r="O88" s="11"/>
    </row>
    <row r="89" customFormat="false" ht="14.25" hidden="false" customHeight="true" outlineLevel="0" collapsed="false">
      <c r="C89" s="11" t="s">
        <v>2021</v>
      </c>
      <c r="D89" s="34" t="n">
        <f aca="false">(D87-D88)/D88</f>
        <v>0.13135277061064</v>
      </c>
      <c r="E89" s="11"/>
      <c r="F89" s="11"/>
      <c r="G89" s="11"/>
      <c r="H89" s="11"/>
      <c r="I89" s="11"/>
      <c r="J89" s="11"/>
      <c r="K89" s="11"/>
      <c r="L89" s="11"/>
      <c r="M89" s="11"/>
      <c r="N89" s="11"/>
      <c r="O89" s="11"/>
    </row>
    <row r="90" customFormat="false" ht="14.25" hidden="false" customHeight="true" outlineLevel="0" collapsed="false">
      <c r="C90" s="11" t="s">
        <v>2022</v>
      </c>
      <c r="D90" s="14" t="n">
        <f aca="false">('3 Statement Forecast'!F33-Drivers!C194)/Drivers!C194</f>
        <v>-0.0971146201895941</v>
      </c>
      <c r="E90" s="11"/>
      <c r="F90" s="11"/>
      <c r="G90" s="11"/>
      <c r="H90" s="11"/>
      <c r="I90" s="11"/>
      <c r="J90" s="11"/>
      <c r="K90" s="11"/>
      <c r="L90" s="11"/>
      <c r="M90" s="11"/>
      <c r="N90" s="11"/>
      <c r="O90" s="11"/>
    </row>
    <row r="91" customFormat="false" ht="14.25" hidden="false" customHeight="true" outlineLevel="0" collapsed="false">
      <c r="C91" s="11" t="s">
        <v>2023</v>
      </c>
      <c r="D91" s="41" t="n">
        <f aca="false">Drivers!C181</f>
        <v>0.01517</v>
      </c>
      <c r="E91" s="11"/>
      <c r="F91" s="11"/>
      <c r="G91" s="11"/>
      <c r="H91" s="11"/>
      <c r="I91" s="11"/>
      <c r="J91" s="11"/>
      <c r="K91" s="11"/>
      <c r="L91" s="11"/>
      <c r="M91" s="11"/>
      <c r="N91" s="11"/>
      <c r="O91" s="11"/>
    </row>
    <row r="92" customFormat="false" ht="14.25" hidden="false" customHeight="true" outlineLevel="0" collapsed="false">
      <c r="C92" s="11" t="s">
        <v>2024</v>
      </c>
      <c r="D92" s="110" t="n">
        <f aca="false">D89+D90+D91</f>
        <v>0.049408150421046</v>
      </c>
      <c r="E92" s="11"/>
      <c r="F92" s="11"/>
      <c r="G92" s="11"/>
      <c r="H92" s="11"/>
      <c r="I92" s="11"/>
      <c r="J92" s="11"/>
      <c r="K92" s="11"/>
      <c r="L92" s="11"/>
      <c r="M92" s="11"/>
      <c r="N92" s="11"/>
      <c r="O92" s="11"/>
    </row>
    <row r="93" customFormat="false" ht="14.25" hidden="false" customHeight="true" outlineLevel="0" collapsed="false">
      <c r="C93" s="11"/>
      <c r="D93" s="11"/>
      <c r="E93" s="11"/>
      <c r="F93" s="11"/>
      <c r="G93" s="11"/>
      <c r="H93" s="11"/>
      <c r="I93" s="11"/>
      <c r="J93" s="11"/>
      <c r="K93" s="11"/>
      <c r="L93" s="11"/>
      <c r="M93" s="11"/>
      <c r="N93" s="11"/>
      <c r="O93" s="11"/>
    </row>
    <row r="94" customFormat="false" ht="14.25" hidden="false" customHeight="true" outlineLevel="0" collapsed="false">
      <c r="C94" s="10" t="s">
        <v>2025</v>
      </c>
      <c r="D94" s="11"/>
      <c r="E94" s="11"/>
      <c r="F94" s="11"/>
      <c r="G94" s="11"/>
      <c r="H94" s="11"/>
      <c r="I94" s="11"/>
      <c r="J94" s="11"/>
      <c r="K94" s="11"/>
      <c r="L94" s="11"/>
      <c r="M94" s="11"/>
      <c r="N94" s="11"/>
      <c r="O94" s="11"/>
    </row>
    <row r="95" customFormat="false" ht="14.25" hidden="false" customHeight="true" outlineLevel="0" collapsed="false">
      <c r="C95" s="11" t="s">
        <v>2026</v>
      </c>
      <c r="D95" s="42" t="n">
        <f aca="false">DCF!D118</f>
        <v>458.930130203241</v>
      </c>
      <c r="E95" s="11"/>
      <c r="F95" s="11"/>
      <c r="G95" s="11"/>
      <c r="H95" s="11"/>
      <c r="I95" s="11"/>
      <c r="J95" s="11"/>
      <c r="K95" s="11"/>
      <c r="L95" s="11"/>
      <c r="M95" s="11"/>
      <c r="N95" s="11"/>
      <c r="O95" s="11"/>
    </row>
    <row r="96" customFormat="false" ht="14.25" hidden="false" customHeight="true" outlineLevel="0" collapsed="false">
      <c r="C96" s="11" t="s">
        <v>2027</v>
      </c>
      <c r="D96" s="14" t="n">
        <f aca="false">D20*'3 Statement Forecast'!F33</f>
        <v>166.276819774034</v>
      </c>
      <c r="E96" s="11"/>
      <c r="F96" s="11"/>
      <c r="G96" s="11"/>
      <c r="H96" s="11"/>
      <c r="I96" s="11"/>
      <c r="J96" s="11"/>
      <c r="K96" s="11"/>
      <c r="L96" s="11"/>
      <c r="M96" s="11"/>
      <c r="N96" s="11"/>
      <c r="O96" s="11"/>
    </row>
    <row r="97" customFormat="false" ht="14.25" hidden="false" customHeight="true" outlineLevel="0" collapsed="false">
      <c r="C97" s="11" t="s">
        <v>2028</v>
      </c>
      <c r="D97" s="14" t="n">
        <f aca="false">DCF!D118-D20*'3 Statement Forecast'!F33</f>
        <v>292.653310429208</v>
      </c>
      <c r="E97" s="11"/>
      <c r="F97" s="11"/>
      <c r="G97" s="11"/>
      <c r="H97" s="11"/>
      <c r="I97" s="11"/>
      <c r="J97" s="11"/>
      <c r="K97" s="11"/>
      <c r="L97" s="11"/>
      <c r="M97" s="11"/>
      <c r="N97" s="11"/>
      <c r="O97" s="11"/>
    </row>
    <row r="98" customFormat="false" ht="14.25" hidden="false" customHeight="true" outlineLevel="0" collapsed="false">
      <c r="C98" s="11"/>
      <c r="D98" s="11"/>
      <c r="E98" s="11"/>
      <c r="F98" s="11"/>
      <c r="G98" s="11"/>
      <c r="H98" s="11"/>
      <c r="I98" s="11"/>
      <c r="J98" s="11"/>
      <c r="K98" s="11"/>
      <c r="L98" s="11"/>
      <c r="M98" s="11"/>
      <c r="N98" s="11"/>
      <c r="O98" s="11"/>
    </row>
    <row r="99" customFormat="false" ht="14.25" hidden="false" customHeight="true" outlineLevel="0" collapsed="false">
      <c r="C99" s="11"/>
      <c r="D99" s="11"/>
      <c r="E99" s="11"/>
      <c r="F99" s="11"/>
      <c r="G99" s="11"/>
      <c r="H99" s="11"/>
      <c r="I99" s="11"/>
      <c r="J99" s="11"/>
      <c r="K99" s="11"/>
      <c r="L99" s="11"/>
      <c r="M99" s="11"/>
      <c r="N99" s="11"/>
      <c r="O99" s="11"/>
    </row>
    <row r="100" customFormat="false" ht="14.25" hidden="false" customHeight="true" outlineLevel="0" collapsed="false">
      <c r="C100" s="11"/>
      <c r="D100" s="11"/>
      <c r="E100" s="11"/>
      <c r="F100" s="11"/>
      <c r="G100" s="11"/>
      <c r="H100" s="11"/>
      <c r="I100" s="11"/>
      <c r="J100" s="11"/>
      <c r="K100" s="11"/>
      <c r="L100" s="11"/>
      <c r="M100" s="11"/>
      <c r="N100" s="11"/>
      <c r="O100" s="11"/>
    </row>
    <row r="101" customFormat="false" ht="14.25" hidden="false" customHeight="true" outlineLevel="0" collapsed="false">
      <c r="C101" s="11"/>
      <c r="D101" s="11"/>
      <c r="E101" s="11"/>
      <c r="F101" s="11"/>
      <c r="G101" s="11"/>
      <c r="H101" s="11"/>
      <c r="I101" s="11"/>
      <c r="J101" s="11"/>
      <c r="K101" s="11"/>
      <c r="L101" s="11"/>
      <c r="M101" s="11"/>
      <c r="N101" s="11"/>
      <c r="O101" s="11"/>
    </row>
    <row r="102" customFormat="false" ht="14.25" hidden="false" customHeight="true" outlineLevel="0" collapsed="false">
      <c r="C102" s="11" t="s">
        <v>2029</v>
      </c>
      <c r="D102" s="11" t="s">
        <v>2030</v>
      </c>
      <c r="E102" s="42" t="n">
        <f aca="false">FCFE!D74</f>
        <v>73.610214991098</v>
      </c>
      <c r="F102" s="31" t="n">
        <v>1</v>
      </c>
      <c r="G102" s="32" t="n">
        <f aca="false">E102*F102</f>
        <v>73.610214991098</v>
      </c>
      <c r="H102" s="42" t="n">
        <f aca="false">Drivers!$C$441</f>
        <v>0</v>
      </c>
      <c r="I102" s="32" t="n">
        <f aca="false">G102*H102</f>
        <v>0</v>
      </c>
      <c r="J102" s="11"/>
      <c r="K102" s="11"/>
      <c r="L102" s="11"/>
      <c r="M102" s="11"/>
      <c r="N102" s="11"/>
      <c r="O102" s="11"/>
    </row>
    <row r="103" customFormat="false" ht="14.25" hidden="false" customHeight="true" outlineLevel="0" collapsed="false">
      <c r="C103" s="11" t="s">
        <v>2031</v>
      </c>
      <c r="D103" s="11"/>
      <c r="E103" s="11"/>
      <c r="F103" s="11"/>
      <c r="G103" s="11"/>
      <c r="H103" s="11"/>
      <c r="I103" s="103" t="n">
        <f aca="false">SUM(I65:I67)+I102</f>
        <v>167.661418219471</v>
      </c>
      <c r="J103" s="11"/>
      <c r="K103" s="11"/>
      <c r="L103" s="11"/>
      <c r="M103" s="11"/>
      <c r="N103" s="11"/>
      <c r="O103" s="11"/>
    </row>
    <row r="104" customFormat="false" ht="14.25" hidden="false" customHeight="true" outlineLevel="0" collapsed="false">
      <c r="C104" s="11" t="s">
        <v>2032</v>
      </c>
      <c r="D104" s="11" t="s">
        <v>2033</v>
      </c>
      <c r="E104" s="111" t="n">
        <f aca="false">NAV!D168</f>
        <v>169.738951211227</v>
      </c>
      <c r="F104" s="11" t="n">
        <v>1</v>
      </c>
      <c r="G104" s="111" t="n">
        <f aca="false">E104*F104</f>
        <v>169.738951211227</v>
      </c>
      <c r="H104" s="11" t="n">
        <f aca="false">Drivers!$C$660</f>
        <v>0</v>
      </c>
      <c r="I104" s="111" t="n">
        <f aca="false">G104*H104</f>
        <v>0</v>
      </c>
      <c r="J104" s="11"/>
      <c r="K104" s="11"/>
      <c r="L104" s="11"/>
      <c r="M104" s="11"/>
      <c r="N104" s="11"/>
      <c r="O104" s="11"/>
    </row>
    <row r="105" customFormat="false" ht="14.25" hidden="false" customHeight="true" outlineLevel="0" collapsed="false">
      <c r="C105" s="11" t="s">
        <v>2034</v>
      </c>
      <c r="D105" s="11" t="s">
        <v>2035</v>
      </c>
      <c r="E105" s="11" t="n">
        <f aca="false">'Residual Income'!D45</f>
        <v>93.4605263806057</v>
      </c>
      <c r="F105" s="11" t="n">
        <v>1</v>
      </c>
      <c r="G105" s="11" t="n">
        <f aca="false">E105*F105</f>
        <v>93.4605263806057</v>
      </c>
      <c r="H105" s="11" t="n">
        <f aca="false">Drivers!$C$661</f>
        <v>0</v>
      </c>
      <c r="I105" s="11" t="n">
        <f aca="false">G105*H105</f>
        <v>0</v>
      </c>
      <c r="J105" s="11"/>
      <c r="K105" s="11"/>
      <c r="L105" s="11"/>
      <c r="M105" s="11"/>
      <c r="N105" s="11"/>
      <c r="O105" s="11"/>
    </row>
    <row r="106" customFormat="false" ht="14.25" hidden="false" customHeight="true" outlineLevel="0" collapsed="false">
      <c r="C106" s="17" t="s">
        <v>2036</v>
      </c>
      <c r="D106" s="11" t="s">
        <v>2037</v>
      </c>
      <c r="E106" s="14" t="n">
        <f aca="false">'Peer P-B vs ROE'!D80</f>
        <v>162.177052956792</v>
      </c>
      <c r="F106" s="11" t="n">
        <v>1</v>
      </c>
      <c r="G106" s="111" t="n">
        <f aca="false">E106*F106</f>
        <v>162.177052956792</v>
      </c>
      <c r="H106" s="11" t="n">
        <f aca="false">Drivers!$C$662</f>
        <v>0</v>
      </c>
      <c r="I106" s="111" t="n">
        <f aca="false">G106*H106</f>
        <v>0</v>
      </c>
      <c r="J106" s="11"/>
      <c r="K106" s="11"/>
      <c r="L106" s="11"/>
      <c r="M106" s="11"/>
      <c r="N106" s="11"/>
      <c r="O106" s="11"/>
    </row>
    <row r="107" customFormat="false" ht="14.25" hidden="false" customHeight="true" outlineLevel="0" collapsed="false">
      <c r="A107" s="22" t="s">
        <v>11</v>
      </c>
      <c r="C107" s="71" t="s">
        <v>2038</v>
      </c>
      <c r="D107" s="54"/>
      <c r="E107" s="54"/>
      <c r="F107" s="54"/>
      <c r="G107" s="54"/>
      <c r="H107" s="54"/>
      <c r="I107" s="54"/>
      <c r="J107" s="54"/>
      <c r="K107" s="54"/>
      <c r="L107" s="54"/>
      <c r="M107" s="54"/>
      <c r="N107" s="54"/>
      <c r="O107" s="54"/>
    </row>
    <row r="108" customFormat="false" ht="14.25" hidden="false" customHeight="true" outlineLevel="0" collapsed="false">
      <c r="C108" s="11" t="s">
        <v>2039</v>
      </c>
      <c r="D108" s="42" t="str">
        <f aca="false">Drivers!$C$572</f>
        <v>A</v>
      </c>
      <c r="E108" s="11"/>
      <c r="F108" s="11"/>
      <c r="G108" s="11"/>
      <c r="H108" s="11"/>
      <c r="I108" s="11"/>
      <c r="J108" s="11"/>
      <c r="K108" s="11"/>
      <c r="L108" s="11"/>
      <c r="M108" s="11"/>
      <c r="N108" s="11"/>
      <c r="O108" s="11"/>
    </row>
    <row r="109" customFormat="false" ht="14.25" hidden="false" customHeight="true" outlineLevel="0" collapsed="false">
      <c r="C109" s="11" t="s">
        <v>2040</v>
      </c>
      <c r="D109" s="42" t="n">
        <f aca="false">Drivers!$C$577</f>
        <v>1994.30199430199</v>
      </c>
      <c r="E109" s="11"/>
      <c r="F109" s="11"/>
      <c r="G109" s="11"/>
      <c r="H109" s="11"/>
      <c r="I109" s="11"/>
      <c r="J109" s="11"/>
      <c r="K109" s="11"/>
      <c r="L109" s="11"/>
      <c r="M109" s="11"/>
      <c r="N109" s="11"/>
      <c r="O109" s="11"/>
    </row>
    <row r="110" customFormat="false" ht="14.25" hidden="false" customHeight="true" outlineLevel="0" collapsed="false">
      <c r="C110" s="11" t="s">
        <v>2041</v>
      </c>
      <c r="D110" s="42" t="n">
        <f aca="false">Drivers!$C$404</f>
        <v>732.3</v>
      </c>
      <c r="E110" s="11"/>
      <c r="F110" s="11"/>
      <c r="G110" s="11"/>
      <c r="H110" s="11"/>
      <c r="I110" s="11"/>
      <c r="J110" s="11"/>
      <c r="K110" s="11"/>
      <c r="L110" s="11"/>
      <c r="M110" s="11"/>
      <c r="N110" s="11"/>
      <c r="O110" s="11"/>
    </row>
    <row r="111" customFormat="false" ht="14.25" hidden="false" customHeight="true" outlineLevel="0" collapsed="false">
      <c r="C111" s="11" t="s">
        <v>2042</v>
      </c>
      <c r="D111" s="14" t="n">
        <f aca="false">(Drivers!$C$577-Drivers!$C$404)/DCF!$D$116</f>
        <v>35.2514523548043</v>
      </c>
      <c r="E111" s="11"/>
      <c r="F111" s="11"/>
      <c r="G111" s="11"/>
      <c r="H111" s="11"/>
      <c r="I111" s="11"/>
      <c r="J111" s="11"/>
      <c r="K111" s="11"/>
      <c r="L111" s="11"/>
      <c r="M111" s="11"/>
      <c r="N111" s="11"/>
      <c r="O111" s="11"/>
    </row>
    <row r="112" customFormat="false" ht="14.25" hidden="false" customHeight="true" outlineLevel="0" collapsed="false">
      <c r="C112" s="11" t="s">
        <v>2043</v>
      </c>
      <c r="D112" s="11"/>
      <c r="E112" s="11"/>
      <c r="F112" s="11"/>
      <c r="G112" s="11"/>
      <c r="H112" s="11"/>
      <c r="I112" s="11"/>
      <c r="J112" s="11"/>
      <c r="K112" s="11"/>
      <c r="L112" s="11"/>
      <c r="M112" s="11"/>
      <c r="N112" s="11"/>
      <c r="O112" s="11"/>
    </row>
    <row r="113" customFormat="false" ht="14.25" hidden="false" customHeight="true" outlineLevel="0" collapsed="false">
      <c r="C113" s="11" t="s">
        <v>2044</v>
      </c>
      <c r="D113" s="11"/>
      <c r="E113" s="11"/>
      <c r="F113" s="11"/>
      <c r="G113" s="11"/>
      <c r="H113" s="11"/>
      <c r="I113" s="11"/>
      <c r="J113" s="11"/>
      <c r="K113" s="11"/>
      <c r="L113" s="11"/>
      <c r="M113" s="11"/>
      <c r="N113" s="11"/>
      <c r="O113" s="11"/>
    </row>
    <row r="114" customFormat="false" ht="14.25" hidden="false" customHeight="true" outlineLevel="0" collapsed="false">
      <c r="C114" s="11" t="s">
        <v>2045</v>
      </c>
      <c r="D114" s="11"/>
      <c r="E114" s="11"/>
      <c r="F114" s="11"/>
      <c r="G114" s="11"/>
      <c r="H114" s="11"/>
      <c r="I114" s="11"/>
      <c r="J114" s="11"/>
      <c r="K114" s="11"/>
      <c r="L114" s="11"/>
      <c r="M114" s="11"/>
      <c r="N114" s="11"/>
      <c r="O114" s="11"/>
    </row>
    <row r="115" customFormat="false" ht="14.25" hidden="false" customHeight="true" outlineLevel="0" collapsed="false">
      <c r="C115" s="11" t="s">
        <v>2046</v>
      </c>
      <c r="D115" s="103" t="n">
        <f aca="false">I69</f>
        <v>167.661418219471</v>
      </c>
      <c r="E115" s="11"/>
      <c r="F115" s="11"/>
      <c r="G115" s="11"/>
      <c r="H115" s="11"/>
      <c r="I115" s="11"/>
      <c r="J115" s="11"/>
      <c r="K115" s="11"/>
      <c r="L115" s="11"/>
      <c r="M115" s="11"/>
      <c r="N115" s="11"/>
      <c r="O115" s="11"/>
    </row>
    <row r="116" customFormat="false" ht="14.25" hidden="false" customHeight="true" outlineLevel="0" collapsed="false">
      <c r="C116" s="11" t="s">
        <v>2047</v>
      </c>
      <c r="D116" s="103" t="n">
        <f aca="false">I69+D111</f>
        <v>202.912870574276</v>
      </c>
      <c r="E116" s="11"/>
      <c r="F116" s="11"/>
      <c r="G116" s="11"/>
      <c r="H116" s="11"/>
      <c r="I116" s="11"/>
      <c r="J116" s="11"/>
      <c r="K116" s="11"/>
      <c r="L116" s="11"/>
      <c r="M116" s="11"/>
      <c r="N116" s="11"/>
      <c r="O116" s="11"/>
    </row>
    <row r="117" customFormat="false" ht="14.25" hidden="false" customHeight="true" outlineLevel="0" collapsed="false">
      <c r="C117" s="11" t="s">
        <v>2048</v>
      </c>
      <c r="D117" s="11"/>
      <c r="E117" s="11"/>
      <c r="F117" s="11"/>
      <c r="G117" s="11"/>
      <c r="H117" s="11"/>
      <c r="I117" s="11"/>
      <c r="J117" s="11"/>
      <c r="K117" s="11"/>
      <c r="L117" s="11"/>
      <c r="M117" s="11"/>
      <c r="N117" s="11"/>
      <c r="O117" s="11"/>
    </row>
    <row r="118" customFormat="false" ht="14.25" hidden="false" customHeight="true" outlineLevel="0" collapsed="false">
      <c r="C118" s="11"/>
      <c r="D118" s="11"/>
      <c r="E118" s="11"/>
      <c r="F118" s="11"/>
      <c r="G118" s="11"/>
      <c r="H118" s="11"/>
      <c r="I118" s="11"/>
      <c r="J118" s="11"/>
      <c r="K118" s="11"/>
      <c r="L118" s="11"/>
      <c r="M118" s="11"/>
      <c r="N118" s="11"/>
      <c r="O118" s="11"/>
    </row>
    <row r="119" customFormat="false" ht="14.25" hidden="false" customHeight="true" outlineLevel="0" collapsed="false">
      <c r="C119" s="11"/>
      <c r="D119" s="11"/>
      <c r="E119" s="11"/>
      <c r="F119" s="11"/>
      <c r="G119" s="11"/>
      <c r="H119" s="11"/>
      <c r="I119" s="11"/>
      <c r="J119" s="11"/>
      <c r="K119" s="11"/>
      <c r="L119" s="11"/>
      <c r="M119" s="11"/>
      <c r="N119" s="11"/>
      <c r="O119" s="11"/>
    </row>
    <row r="120" customFormat="false" ht="14.25" hidden="false" customHeight="true" outlineLevel="0" collapsed="false">
      <c r="A120" s="1" t="s">
        <v>11</v>
      </c>
      <c r="C120" s="11" t="s">
        <v>2049</v>
      </c>
      <c r="D120" s="11"/>
      <c r="E120" s="11"/>
      <c r="F120" s="11"/>
      <c r="G120" s="11"/>
      <c r="H120" s="11"/>
      <c r="I120" s="11"/>
      <c r="J120" s="11"/>
      <c r="K120" s="11"/>
      <c r="L120" s="11"/>
      <c r="M120" s="11"/>
      <c r="N120" s="11"/>
      <c r="O120" s="11"/>
    </row>
    <row r="121" customFormat="false" ht="14.25" hidden="false" customHeight="true" outlineLevel="0" collapsed="false">
      <c r="C121" s="11"/>
      <c r="D121" s="11" t="s">
        <v>1558</v>
      </c>
      <c r="E121" s="11" t="s">
        <v>1559</v>
      </c>
      <c r="F121" s="11" t="s">
        <v>1531</v>
      </c>
      <c r="G121" s="11" t="s">
        <v>1532</v>
      </c>
      <c r="H121" s="11" t="s">
        <v>1533</v>
      </c>
      <c r="I121" s="11"/>
      <c r="J121" s="11"/>
      <c r="K121" s="11"/>
      <c r="L121" s="11"/>
      <c r="M121" s="11"/>
      <c r="N121" s="11"/>
      <c r="O121" s="11"/>
    </row>
    <row r="122" customFormat="false" ht="14.25" hidden="false" customHeight="true" outlineLevel="0" collapsed="false">
      <c r="C122" s="11" t="s">
        <v>2050</v>
      </c>
      <c r="D122" s="42" t="n">
        <f aca="false">Historicals!G31+Historicals!G33</f>
        <v>317.9</v>
      </c>
      <c r="E122" s="42" t="n">
        <f aca="false">Historicals!H31+Historicals!H33</f>
        <v>344.2</v>
      </c>
      <c r="F122" s="11" t="n">
        <f aca="false">'3 Statement Forecast'!D26+'3 Statement Forecast'!D28</f>
        <v>396.4</v>
      </c>
      <c r="G122" s="11" t="n">
        <f aca="false">'3 Statement Forecast'!E26+'3 Statement Forecast'!E28</f>
        <v>472.929747745388</v>
      </c>
      <c r="H122" s="11" t="n">
        <f aca="false">'3 Statement Forecast'!F26+'3 Statement Forecast'!F28</f>
        <v>457.601277183533</v>
      </c>
      <c r="I122" s="11"/>
      <c r="J122" s="11"/>
      <c r="K122" s="11"/>
      <c r="L122" s="11"/>
      <c r="M122" s="11"/>
      <c r="N122" s="11"/>
      <c r="O122" s="11"/>
    </row>
    <row r="123" customFormat="false" ht="14.25" hidden="false" customHeight="true" outlineLevel="0" collapsed="false">
      <c r="C123" s="11" t="s">
        <v>2051</v>
      </c>
      <c r="D123" s="42" t="n">
        <f aca="false">Historicals!G28</f>
        <v>130.3</v>
      </c>
      <c r="E123" s="42" t="n">
        <f aca="false">Historicals!H28</f>
        <v>138.3</v>
      </c>
      <c r="F123" s="112" t="n">
        <f aca="false">'3 Statement Forecast'!D23</f>
        <v>136.9</v>
      </c>
      <c r="G123" s="112" t="n">
        <f aca="false">'3 Statement Forecast'!E23</f>
        <v>210.5</v>
      </c>
      <c r="H123" s="112" t="n">
        <f aca="false">'3 Statement Forecast'!F23</f>
        <v>210.5</v>
      </c>
      <c r="I123" s="11"/>
      <c r="J123" s="11"/>
      <c r="K123" s="11"/>
      <c r="L123" s="11"/>
      <c r="M123" s="11"/>
      <c r="N123" s="11"/>
      <c r="O123" s="11"/>
    </row>
    <row r="124" customFormat="false" ht="14.25" hidden="false" customHeight="true" outlineLevel="0" collapsed="false">
      <c r="C124" s="11" t="s">
        <v>2052</v>
      </c>
      <c r="D124" s="34" t="n">
        <f aca="false">D123/D122</f>
        <v>0.409877319911922</v>
      </c>
      <c r="E124" s="34" t="n">
        <f aca="false">E123/E122</f>
        <v>0.401801278326554</v>
      </c>
      <c r="F124" s="11" t="n">
        <f aca="false">F123/F122</f>
        <v>0.345358224016145</v>
      </c>
      <c r="G124" s="11" t="n">
        <f aca="false">G123/G122</f>
        <v>0.445097820561136</v>
      </c>
      <c r="H124" s="11" t="n">
        <f aca="false">H123/H122</f>
        <v>0.46000745735588</v>
      </c>
      <c r="I124" s="11"/>
      <c r="J124" s="11"/>
      <c r="K124" s="11"/>
      <c r="L124" s="11"/>
      <c r="M124" s="11"/>
      <c r="N124" s="11"/>
      <c r="O124" s="11"/>
    </row>
    <row r="125" customFormat="false" ht="14.25" hidden="false" customHeight="true" outlineLevel="0" collapsed="false">
      <c r="C125" s="11" t="s">
        <v>2053</v>
      </c>
      <c r="D125" s="14" t="n">
        <f aca="false">Historicals!G36</f>
        <v>7.12</v>
      </c>
      <c r="E125" s="14" t="n">
        <f aca="false">Historicals!H36</f>
        <v>7.78</v>
      </c>
      <c r="F125" s="111" t="n">
        <f aca="false">'3 Statement Forecast'!D33</f>
        <v>9.28412256267411</v>
      </c>
      <c r="G125" s="111" t="n">
        <f aca="false">'3 Statement Forecast'!E33</f>
        <v>10.2892230192277</v>
      </c>
      <c r="H125" s="111" t="n">
        <f aca="false">'3 Statement Forecast'!F33</f>
        <v>10.1760599616912</v>
      </c>
      <c r="I125" s="11"/>
      <c r="J125" s="11"/>
      <c r="K125" s="11"/>
      <c r="L125" s="11"/>
      <c r="M125" s="11"/>
      <c r="N125" s="11"/>
      <c r="O125" s="11"/>
    </row>
    <row r="126" customFormat="false" ht="14.25" hidden="false" customHeight="true" outlineLevel="0" collapsed="false">
      <c r="C126" s="11" t="s">
        <v>2054</v>
      </c>
      <c r="D126" s="41" t="n">
        <f aca="false">-Historicals!G32/Historicals!G31</f>
        <v>0.239103869653768</v>
      </c>
      <c r="E126" s="41" t="n">
        <f aca="false">-Historicals!H32/Historicals!H31</f>
        <v>0.229533282325937</v>
      </c>
      <c r="F126" s="113" t="n">
        <f aca="false">Drivers!$C$75</f>
        <v>0.263</v>
      </c>
      <c r="G126" s="113" t="n">
        <f aca="false">Drivers!$C$75</f>
        <v>0.263</v>
      </c>
      <c r="H126" s="113" t="n">
        <f aca="false">Drivers!$C$76</f>
        <v>0.24</v>
      </c>
      <c r="I126" s="11"/>
      <c r="J126" s="11"/>
      <c r="K126" s="11"/>
      <c r="L126" s="11"/>
      <c r="M126" s="11"/>
      <c r="N126" s="11"/>
      <c r="O126" s="11"/>
    </row>
    <row r="127" customFormat="false" ht="14.25" hidden="false" customHeight="true" outlineLevel="0" collapsed="false">
      <c r="C127" s="11" t="s">
        <v>1651</v>
      </c>
      <c r="D127" s="114" t="n">
        <f aca="false">Historicals!G35/Historicals!G36</f>
        <v>36.4044943820225</v>
      </c>
      <c r="E127" s="114" t="n">
        <f aca="false">Historicals!H35/Historicals!H36</f>
        <v>36.5295629820051</v>
      </c>
      <c r="F127" s="112" t="n">
        <f aca="false">'3 Statement Forecast'!D32</f>
        <v>35.9</v>
      </c>
      <c r="G127" s="112" t="n">
        <f aca="false">'3 Statement Forecast'!E32</f>
        <v>35.8</v>
      </c>
      <c r="H127" s="112" t="n">
        <f aca="false">'3 Statement Forecast'!F32</f>
        <v>35.2265200268053</v>
      </c>
      <c r="I127" s="11"/>
      <c r="J127" s="11"/>
      <c r="K127" s="11"/>
      <c r="L127" s="11"/>
      <c r="M127" s="11"/>
      <c r="N127" s="11"/>
      <c r="O127" s="11"/>
    </row>
    <row r="128" customFormat="false" ht="14.25" hidden="false" customHeight="true" outlineLevel="0" collapsed="false">
      <c r="C128" s="17" t="s">
        <v>2055</v>
      </c>
      <c r="D128" s="64" t="n">
        <f aca="false">D125-D123*(1-D126)/D127</f>
        <v>4.39657896457218</v>
      </c>
      <c r="E128" s="64" t="n">
        <f aca="false">E125-E123*(1-E126)/E127</f>
        <v>4.86303252609911</v>
      </c>
      <c r="F128" s="11" t="n">
        <f aca="false">F125-F123*(1-F126)/F127</f>
        <v>6.47366852367689</v>
      </c>
      <c r="G128" s="11" t="n">
        <f aca="false">G125-G123*(1-G126)/G127</f>
        <v>5.95574536559639</v>
      </c>
      <c r="H128" s="11" t="n">
        <f aca="false">H125-H123*(1-H126)/H127</f>
        <v>5.63459518236397</v>
      </c>
      <c r="I128" s="11"/>
      <c r="J128" s="11"/>
      <c r="K128" s="11"/>
      <c r="L128" s="11"/>
      <c r="M128" s="11"/>
      <c r="N128" s="11"/>
      <c r="O128" s="11"/>
    </row>
    <row r="129" customFormat="false" ht="14.25" hidden="false" customHeight="true" outlineLevel="0" collapsed="false">
      <c r="C129" s="11" t="s">
        <v>2056</v>
      </c>
      <c r="D129" s="115" t="n">
        <f aca="false">Drivers!$C$179/D128</f>
        <v>37.0242411910916</v>
      </c>
      <c r="E129" s="115" t="n">
        <f aca="false">Drivers!$C$179/E128</f>
        <v>33.4729408299011</v>
      </c>
      <c r="F129" s="11" t="n">
        <f aca="false">Drivers!$C$179/F128</f>
        <v>25.1449389792891</v>
      </c>
      <c r="G129" s="11" t="n">
        <f aca="false">Drivers!$C$179/G128</f>
        <v>27.3315915989803</v>
      </c>
      <c r="H129" s="11" t="n">
        <f aca="false">Drivers!$C$179/H128</f>
        <v>28.8893868559527</v>
      </c>
      <c r="I129" s="11"/>
      <c r="J129" s="11"/>
      <c r="K129" s="11"/>
      <c r="L129" s="11"/>
      <c r="M129" s="11"/>
      <c r="N129" s="11"/>
      <c r="O129" s="11"/>
    </row>
    <row r="130" customFormat="false" ht="14.25" hidden="false" customHeight="true" outlineLevel="0" collapsed="false">
      <c r="C130" s="11" t="s">
        <v>2057</v>
      </c>
      <c r="D130" s="42" t="n">
        <f aca="false">Historicals!G33</f>
        <v>72.4</v>
      </c>
      <c r="E130" s="42" t="n">
        <f aca="false">Historicals!H33</f>
        <v>82.8</v>
      </c>
      <c r="F130" s="112" t="n">
        <f aca="false">'3 Statement Forecast'!D28</f>
        <v>117.3</v>
      </c>
      <c r="G130" s="112" t="n">
        <f aca="false">'3 Statement Forecast'!E28</f>
        <v>140</v>
      </c>
      <c r="H130" s="112" t="n">
        <f aca="false">'3 Statement Forecast'!F28</f>
        <v>150</v>
      </c>
      <c r="I130" s="11"/>
      <c r="J130" s="11"/>
      <c r="K130" s="11"/>
      <c r="L130" s="11"/>
      <c r="M130" s="11"/>
      <c r="N130" s="11"/>
      <c r="O130" s="11"/>
    </row>
    <row r="131" customFormat="false" ht="14.25" hidden="false" customHeight="true" outlineLevel="0" collapsed="false">
      <c r="C131" s="11" t="s">
        <v>2058</v>
      </c>
      <c r="D131" s="34" t="n">
        <f aca="false">D130/D122</f>
        <v>0.227744573765335</v>
      </c>
      <c r="E131" s="34" t="n">
        <f aca="false">E130/E122</f>
        <v>0.240557815223707</v>
      </c>
      <c r="F131" s="11" t="n">
        <f aca="false">F130/F122</f>
        <v>0.295913218970736</v>
      </c>
      <c r="G131" s="11" t="n">
        <f aca="false">G130/G122</f>
        <v>0.296027054054913</v>
      </c>
      <c r="H131" s="11" t="n">
        <f aca="false">H130/H122</f>
        <v>0.327796287902052</v>
      </c>
      <c r="I131" s="11"/>
      <c r="J131" s="11"/>
      <c r="K131" s="11"/>
      <c r="L131" s="11"/>
      <c r="M131" s="11"/>
      <c r="N131" s="11"/>
      <c r="O131" s="11"/>
    </row>
    <row r="132" customFormat="false" ht="14.25" hidden="false" customHeight="true" outlineLevel="0" collapsed="false">
      <c r="C132" s="11"/>
      <c r="D132" s="11"/>
      <c r="E132" s="11"/>
      <c r="F132" s="11"/>
      <c r="G132" s="11"/>
      <c r="H132" s="11"/>
      <c r="I132" s="11"/>
      <c r="J132" s="11"/>
      <c r="K132" s="11"/>
      <c r="L132" s="11"/>
      <c r="M132" s="11"/>
      <c r="N132" s="11"/>
      <c r="O132" s="11"/>
    </row>
    <row r="133" customFormat="false" ht="14.25" hidden="false" customHeight="true" outlineLevel="0" collapsed="false">
      <c r="C133" s="11" t="s">
        <v>2059</v>
      </c>
      <c r="D133" s="11"/>
      <c r="E133" s="11"/>
      <c r="F133" s="11"/>
      <c r="G133" s="11"/>
      <c r="H133" s="11"/>
      <c r="I133" s="11"/>
      <c r="J133" s="11"/>
      <c r="K133" s="11"/>
      <c r="L133" s="11"/>
      <c r="M133" s="11"/>
      <c r="N133" s="11"/>
      <c r="O133" s="11"/>
    </row>
    <row r="134" customFormat="false" ht="14.25" hidden="false" customHeight="true" outlineLevel="0" collapsed="false">
      <c r="C134" s="11"/>
      <c r="D134" s="11"/>
      <c r="E134" s="11"/>
      <c r="F134" s="11"/>
      <c r="G134" s="11"/>
      <c r="H134" s="11"/>
      <c r="I134" s="11"/>
      <c r="J134" s="11"/>
      <c r="K134" s="11"/>
      <c r="L134" s="11"/>
      <c r="M134" s="11"/>
      <c r="N134" s="11"/>
      <c r="O134" s="11"/>
    </row>
    <row r="135" customFormat="false" ht="14.25" hidden="false" customHeight="true" outlineLevel="0" collapsed="false">
      <c r="C135" s="11" t="s">
        <v>2060</v>
      </c>
      <c r="D135" s="11" t="s">
        <v>2061</v>
      </c>
      <c r="E135" s="11" t="n">
        <f aca="false">NAV!D65</f>
        <v>319.930815145395</v>
      </c>
      <c r="F135" s="11" t="n">
        <v>1</v>
      </c>
      <c r="G135" s="11" t="n">
        <f aca="false">E135*F135</f>
        <v>319.930815145395</v>
      </c>
      <c r="H135" s="11" t="n">
        <f aca="false">Drivers!$C$660</f>
        <v>0</v>
      </c>
      <c r="I135" s="11" t="n">
        <f aca="false">G135*H135</f>
        <v>0</v>
      </c>
      <c r="J135" s="11"/>
      <c r="K135" s="11"/>
      <c r="L135" s="11"/>
      <c r="M135" s="11"/>
      <c r="N135" s="11"/>
      <c r="O135" s="11"/>
    </row>
    <row r="136" customFormat="false" ht="14.25" hidden="false" customHeight="true" outlineLevel="0" collapsed="false">
      <c r="C136" s="11" t="s">
        <v>2062</v>
      </c>
      <c r="D136" s="11" t="s">
        <v>2063</v>
      </c>
      <c r="E136" s="11" t="n">
        <f aca="false">'Residual Income'!D45</f>
        <v>93.4605263806057</v>
      </c>
      <c r="F136" s="11" t="n">
        <v>1</v>
      </c>
      <c r="G136" s="11" t="n">
        <f aca="false">E136*F136</f>
        <v>93.4605263806057</v>
      </c>
      <c r="H136" s="11" t="n">
        <f aca="false">Drivers!$C$661</f>
        <v>0</v>
      </c>
      <c r="I136" s="11" t="n">
        <f aca="false">G136*H136</f>
        <v>0</v>
      </c>
      <c r="J136" s="11"/>
      <c r="K136" s="11"/>
      <c r="L136" s="11"/>
      <c r="M136" s="11"/>
      <c r="N136" s="11"/>
      <c r="O136" s="11"/>
    </row>
    <row r="137" customFormat="false" ht="14.25" hidden="false" customHeight="true" outlineLevel="0" collapsed="false">
      <c r="C137" s="11" t="s">
        <v>2064</v>
      </c>
      <c r="D137" s="11" t="s">
        <v>2065</v>
      </c>
      <c r="E137" s="11" t="n">
        <f aca="false">'Peer P-B vs ROE'!D41</f>
        <v>143.706674987508</v>
      </c>
      <c r="F137" s="11" t="n">
        <v>1</v>
      </c>
      <c r="G137" s="11" t="n">
        <f aca="false">E137*F137</f>
        <v>143.706674987508</v>
      </c>
      <c r="H137" s="11" t="n">
        <f aca="false">Drivers!$C$662</f>
        <v>0</v>
      </c>
      <c r="I137" s="11" t="n">
        <f aca="false">G137*H137</f>
        <v>0</v>
      </c>
      <c r="J137" s="11"/>
      <c r="K137" s="11"/>
      <c r="L137" s="11"/>
      <c r="M137" s="11"/>
      <c r="N137" s="11"/>
      <c r="O137" s="11"/>
    </row>
    <row r="138" customFormat="false" ht="14.25" hidden="false" customHeight="true" outlineLevel="0" collapsed="false">
      <c r="C138" s="11"/>
      <c r="D138" s="11"/>
      <c r="E138" s="11"/>
      <c r="F138" s="11"/>
      <c r="G138" s="11"/>
      <c r="H138" s="11"/>
      <c r="I138" s="11"/>
      <c r="J138" s="11"/>
      <c r="K138" s="11"/>
      <c r="L138" s="11"/>
      <c r="M138" s="11"/>
      <c r="N138" s="11"/>
      <c r="O138" s="11"/>
    </row>
    <row r="139" customFormat="false" ht="14.25" hidden="false" customHeight="true" outlineLevel="0" collapsed="false">
      <c r="C139" s="11" t="s">
        <v>2066</v>
      </c>
      <c r="D139" s="11"/>
      <c r="E139" s="11"/>
      <c r="F139" s="11"/>
      <c r="G139" s="11"/>
      <c r="H139" s="11"/>
      <c r="I139" s="11" t="n">
        <f aca="false">SUM(I65:I67)+I135+I136+I137</f>
        <v>167.661418219471</v>
      </c>
      <c r="J139" s="11"/>
      <c r="K139" s="11"/>
      <c r="L139" s="11"/>
      <c r="M139" s="11"/>
      <c r="N139" s="11"/>
      <c r="O139" s="11"/>
    </row>
    <row r="140" customFormat="false" ht="14.25" hidden="false" customHeight="true" outlineLevel="0" collapsed="false">
      <c r="C140" s="11" t="s">
        <v>2067</v>
      </c>
      <c r="D140" s="11"/>
      <c r="E140" s="11"/>
      <c r="F140" s="11"/>
      <c r="G140" s="11"/>
      <c r="H140" s="11"/>
      <c r="I140" s="11" t="n">
        <f aca="false">I139-I69</f>
        <v>0</v>
      </c>
      <c r="J140" s="11"/>
      <c r="K140" s="11"/>
      <c r="L140" s="11"/>
      <c r="M140" s="11"/>
      <c r="N140" s="11"/>
      <c r="O140" s="11"/>
    </row>
    <row r="141" customFormat="false" ht="14.25" hidden="false" customHeight="true" outlineLevel="0" collapsed="false">
      <c r="C141" s="17" t="s">
        <v>2068</v>
      </c>
      <c r="D141" s="42" t="n">
        <f aca="false">Drivers!$C$680</f>
        <v>105.166666666667</v>
      </c>
      <c r="E141" s="42" t="n">
        <f aca="false">Drivers!$C$680</f>
        <v>105.166666666667</v>
      </c>
      <c r="F141" s="42" t="n">
        <f aca="false">Drivers!$C$680</f>
        <v>105.166666666667</v>
      </c>
      <c r="G141" s="42" t="n">
        <f aca="false">Drivers!$C$680</f>
        <v>105.166666666667</v>
      </c>
      <c r="H141" s="42" t="n">
        <f aca="false">Drivers!$C$680</f>
        <v>105.166666666667</v>
      </c>
      <c r="I141" s="11"/>
      <c r="J141" s="11"/>
      <c r="K141" s="11"/>
      <c r="L141" s="11"/>
      <c r="M141" s="11"/>
      <c r="N141" s="11"/>
      <c r="O141" s="11"/>
    </row>
    <row r="142" customFormat="false" ht="14.25" hidden="false" customHeight="true" outlineLevel="0" collapsed="false">
      <c r="C142" s="17" t="s">
        <v>2069</v>
      </c>
      <c r="D142" s="32" t="n">
        <f aca="false">D123-D141</f>
        <v>25.1333333333333</v>
      </c>
      <c r="E142" s="32" t="n">
        <f aca="false">E123-E141</f>
        <v>33.1333333333333</v>
      </c>
      <c r="F142" s="32" t="n">
        <f aca="false">F123-F141</f>
        <v>31.7333333333333</v>
      </c>
      <c r="G142" s="32" t="n">
        <f aca="false">G123-G141</f>
        <v>105.333333333333</v>
      </c>
      <c r="H142" s="32" t="n">
        <f aca="false">H123-H141</f>
        <v>105.333333333333</v>
      </c>
      <c r="I142" s="11"/>
      <c r="J142" s="11"/>
      <c r="K142" s="11"/>
      <c r="L142" s="11"/>
      <c r="M142" s="11"/>
      <c r="N142" s="11"/>
      <c r="O142" s="11"/>
    </row>
    <row r="143" customFormat="false" ht="14.25" hidden="false" customHeight="true" outlineLevel="0" collapsed="false">
      <c r="C143" s="17" t="s">
        <v>2070</v>
      </c>
      <c r="D143" s="64" t="n">
        <f aca="false">D125-D142*(1-D126)/D127</f>
        <v>6.59468420038051</v>
      </c>
      <c r="E143" s="64" t="n">
        <f aca="false">E125-E142*(1-E126)/E127</f>
        <v>7.08116517978851</v>
      </c>
      <c r="F143" s="64" t="n">
        <f aca="false">F125-F142*(1-F126)/F127</f>
        <v>8.63266109563604</v>
      </c>
      <c r="G143" s="64" t="n">
        <f aca="false">G125-G142*(1-G126)/G127</f>
        <v>8.1207686430638</v>
      </c>
      <c r="H143" s="64" t="n">
        <f aca="false">H125-H142*(1-H126)/H127</f>
        <v>7.90352968414976</v>
      </c>
      <c r="I143" s="11"/>
      <c r="J143" s="11"/>
      <c r="K143" s="11"/>
      <c r="L143" s="11"/>
      <c r="M143" s="11"/>
      <c r="N143" s="11"/>
      <c r="O143" s="11"/>
    </row>
    <row r="144" customFormat="false" ht="14.25" hidden="false" customHeight="true" outlineLevel="0" collapsed="false">
      <c r="C144" s="17" t="s">
        <v>2071</v>
      </c>
      <c r="D144" s="115" t="n">
        <f aca="false">Drivers!$C$179/D143</f>
        <v>24.6835170652459</v>
      </c>
      <c r="E144" s="115" t="n">
        <f aca="false">Drivers!$C$179/E143</f>
        <v>22.9877422524497</v>
      </c>
      <c r="F144" s="115" t="n">
        <f aca="false">Drivers!$C$179/F143</f>
        <v>18.8562945071814</v>
      </c>
      <c r="G144" s="115" t="n">
        <f aca="false">Drivers!$C$179/G143</f>
        <v>20.0449005697306</v>
      </c>
      <c r="H144" s="115" t="n">
        <f aca="false">Drivers!$C$179/H143</f>
        <v>20.5958611538398</v>
      </c>
      <c r="I144" s="11"/>
      <c r="J144" s="11"/>
      <c r="K144" s="11"/>
      <c r="L144" s="11"/>
      <c r="M144" s="11"/>
      <c r="N144" s="11"/>
      <c r="O144" s="11"/>
    </row>
    <row r="145" customFormat="false" ht="14.25" hidden="false" customHeight="true" outlineLevel="0" collapsed="false">
      <c r="C145" s="11"/>
      <c r="D145" s="11"/>
      <c r="E145" s="11"/>
      <c r="F145" s="11"/>
      <c r="G145" s="11"/>
      <c r="H145" s="11"/>
      <c r="I145" s="11"/>
      <c r="J145" s="11"/>
      <c r="K145" s="11"/>
      <c r="L145" s="11"/>
      <c r="M145" s="11"/>
      <c r="N145" s="11"/>
      <c r="O145" s="11"/>
    </row>
    <row r="146" customFormat="false" ht="14.25" hidden="false" customHeight="true" outlineLevel="0" collapsed="false">
      <c r="C146" s="17" t="s">
        <v>2072</v>
      </c>
      <c r="D146" s="11"/>
      <c r="E146" s="11"/>
      <c r="F146" s="11"/>
      <c r="G146" s="11"/>
      <c r="H146" s="11"/>
      <c r="I146" s="11"/>
      <c r="J146" s="11"/>
      <c r="K146" s="11"/>
      <c r="L146" s="11"/>
      <c r="M146" s="11"/>
      <c r="N146" s="11"/>
      <c r="O146" s="11"/>
    </row>
    <row r="147" customFormat="false" ht="14.25" hidden="false" customHeight="true" outlineLevel="0" collapsed="false">
      <c r="C147" s="11"/>
      <c r="D147" s="11"/>
      <c r="E147" s="11"/>
      <c r="F147" s="11"/>
      <c r="G147" s="11"/>
      <c r="H147" s="11"/>
      <c r="I147" s="11"/>
      <c r="J147" s="11"/>
      <c r="K147" s="11"/>
      <c r="L147" s="11"/>
      <c r="M147" s="11"/>
      <c r="N147" s="11"/>
      <c r="O147" s="11"/>
    </row>
    <row r="148" customFormat="false" ht="14.25" hidden="false" customHeight="true" outlineLevel="0" collapsed="false">
      <c r="A148" s="1" t="s">
        <v>11</v>
      </c>
      <c r="C148" s="27" t="s">
        <v>2073</v>
      </c>
      <c r="D148" s="11"/>
      <c r="E148" s="11"/>
      <c r="F148" s="11"/>
      <c r="G148" s="11"/>
      <c r="H148" s="11"/>
      <c r="I148" s="11"/>
      <c r="J148" s="11"/>
      <c r="K148" s="11"/>
      <c r="L148" s="11"/>
      <c r="M148" s="11"/>
      <c r="N148" s="11"/>
      <c r="O148" s="3" t="s">
        <v>2074</v>
      </c>
    </row>
    <row r="149" customFormat="false" ht="14.25" hidden="false" customHeight="true" outlineLevel="0" collapsed="false">
      <c r="C149" s="11"/>
      <c r="D149" s="11"/>
      <c r="E149" s="11"/>
      <c r="F149" s="11"/>
      <c r="G149" s="11"/>
      <c r="H149" s="11"/>
      <c r="I149" s="11"/>
      <c r="J149" s="11"/>
      <c r="K149" s="11"/>
      <c r="L149" s="11"/>
      <c r="M149" s="11"/>
      <c r="N149" s="11"/>
      <c r="O149" s="11"/>
    </row>
    <row r="150" customFormat="false" ht="14.25" hidden="false" customHeight="true" outlineLevel="0" collapsed="false">
      <c r="C150" s="27" t="s">
        <v>2075</v>
      </c>
      <c r="D150" s="27" t="s">
        <v>2076</v>
      </c>
      <c r="E150" s="27" t="s">
        <v>2077</v>
      </c>
      <c r="F150" s="27" t="s">
        <v>2078</v>
      </c>
      <c r="G150" s="11"/>
      <c r="H150" s="11"/>
      <c r="I150" s="11"/>
      <c r="J150" s="11"/>
      <c r="K150" s="11"/>
      <c r="L150" s="11"/>
      <c r="M150" s="11"/>
      <c r="N150" s="11"/>
      <c r="O150" s="27" t="s">
        <v>2079</v>
      </c>
    </row>
    <row r="151" customFormat="false" ht="14.25" hidden="false" customHeight="true" outlineLevel="0" collapsed="false">
      <c r="C151" s="17" t="s">
        <v>2080</v>
      </c>
      <c r="D151" s="57" t="n">
        <v>10.4828544043109</v>
      </c>
      <c r="E151" s="57" t="n">
        <v>10.508902221686</v>
      </c>
      <c r="F151" s="57" t="n">
        <v>10.5816564376684</v>
      </c>
      <c r="G151" s="11"/>
      <c r="H151" s="11"/>
      <c r="I151" s="11"/>
      <c r="J151" s="11"/>
      <c r="K151" s="11"/>
      <c r="L151" s="11"/>
      <c r="M151" s="11"/>
      <c r="N151" s="11"/>
      <c r="O151" s="11"/>
    </row>
    <row r="152" customFormat="false" ht="14.25" hidden="false" customHeight="true" outlineLevel="0" collapsed="false">
      <c r="C152" s="17" t="s">
        <v>2081</v>
      </c>
      <c r="D152" s="57" t="n">
        <v>10.1192242708701</v>
      </c>
      <c r="E152" s="57" t="n">
        <v>10.4326618449478</v>
      </c>
      <c r="F152" s="57" t="n">
        <v>10.6589341968259</v>
      </c>
      <c r="G152" s="11"/>
      <c r="H152" s="11"/>
      <c r="I152" s="11"/>
      <c r="J152" s="11"/>
      <c r="K152" s="11"/>
      <c r="L152" s="11"/>
      <c r="M152" s="11"/>
      <c r="N152" s="11"/>
      <c r="O152" s="11"/>
    </row>
    <row r="153" customFormat="false" ht="14.25" hidden="false" customHeight="true" outlineLevel="0" collapsed="false">
      <c r="C153" s="17" t="s">
        <v>2082</v>
      </c>
      <c r="D153" s="57" t="n">
        <v>9.04359439656158</v>
      </c>
      <c r="E153" s="57" t="n">
        <v>11.1654648855878</v>
      </c>
      <c r="F153" s="57" t="n">
        <v>12.6455292544559</v>
      </c>
      <c r="G153" s="11"/>
      <c r="H153" s="11"/>
      <c r="I153" s="11"/>
      <c r="J153" s="11"/>
      <c r="K153" s="11"/>
      <c r="L153" s="11"/>
      <c r="M153" s="11"/>
      <c r="N153" s="11"/>
      <c r="O153" s="11"/>
    </row>
    <row r="154" customFormat="false" ht="14.25" hidden="false" customHeight="true" outlineLevel="0" collapsed="false">
      <c r="C154" s="17" t="s">
        <v>2083</v>
      </c>
      <c r="D154" s="31" t="n">
        <v>2449.926715544</v>
      </c>
      <c r="E154" s="31" t="n">
        <v>2468.7770442248</v>
      </c>
      <c r="F154" s="31" t="n">
        <v>2474.05552439744</v>
      </c>
      <c r="G154" s="11"/>
      <c r="H154" s="11"/>
      <c r="I154" s="11"/>
      <c r="J154" s="11"/>
      <c r="K154" s="11"/>
      <c r="L154" s="11"/>
      <c r="M154" s="11"/>
      <c r="N154" s="11"/>
      <c r="O154" s="11"/>
    </row>
    <row r="155" customFormat="false" ht="14.25" hidden="false" customHeight="true" outlineLevel="0" collapsed="false">
      <c r="C155" s="17" t="s">
        <v>2084</v>
      </c>
      <c r="D155" s="31" t="n">
        <v>-624.44496</v>
      </c>
      <c r="E155" s="31" t="n">
        <v>-615.70826</v>
      </c>
      <c r="F155" s="31" t="n">
        <v>-609.46776</v>
      </c>
      <c r="G155" s="11"/>
      <c r="H155" s="11"/>
      <c r="I155" s="11"/>
      <c r="J155" s="11"/>
      <c r="K155" s="11"/>
      <c r="L155" s="11"/>
      <c r="M155" s="11"/>
      <c r="N155" s="11"/>
      <c r="O155" s="11"/>
    </row>
    <row r="156" customFormat="false" ht="14.25" hidden="false" customHeight="true" outlineLevel="0" collapsed="false">
      <c r="C156" s="17" t="s">
        <v>2085</v>
      </c>
      <c r="D156" s="31" t="n">
        <v>69.4254050719999</v>
      </c>
      <c r="E156" s="31" t="n">
        <v>123.796080761632</v>
      </c>
      <c r="F156" s="31" t="n">
        <v>162.88280549696</v>
      </c>
      <c r="G156" s="11"/>
      <c r="H156" s="11"/>
      <c r="I156" s="11"/>
      <c r="J156" s="11"/>
      <c r="K156" s="11"/>
      <c r="L156" s="11"/>
      <c r="M156" s="11"/>
      <c r="N156" s="11"/>
      <c r="O156" s="11"/>
    </row>
    <row r="157" customFormat="false" ht="14.25" hidden="false" customHeight="true" outlineLevel="0" collapsed="false">
      <c r="C157" s="17" t="s">
        <v>2086</v>
      </c>
      <c r="D157" s="57" t="n">
        <v>169.86788322891</v>
      </c>
      <c r="E157" s="57" t="n">
        <v>169.91053568566</v>
      </c>
      <c r="F157" s="57" t="n">
        <v>170.37521540658</v>
      </c>
      <c r="G157" s="11"/>
      <c r="H157" s="11"/>
      <c r="I157" s="11"/>
      <c r="J157" s="11"/>
      <c r="K157" s="11"/>
      <c r="L157" s="11"/>
      <c r="M157" s="11"/>
      <c r="N157" s="11"/>
      <c r="O157" s="11"/>
    </row>
    <row r="158" customFormat="false" ht="14.25" hidden="false" customHeight="true" outlineLevel="0" collapsed="false">
      <c r="C158" s="17" t="s">
        <v>2087</v>
      </c>
      <c r="D158" s="57" t="n">
        <v>85.3924604206925</v>
      </c>
      <c r="E158" s="57" t="n">
        <v>99.1669250942686</v>
      </c>
      <c r="F158" s="57" t="n">
        <v>108.551730165403</v>
      </c>
      <c r="G158" s="11"/>
      <c r="H158" s="11"/>
      <c r="I158" s="11"/>
      <c r="J158" s="11"/>
      <c r="K158" s="11"/>
      <c r="L158" s="11"/>
      <c r="M158" s="11"/>
      <c r="N158" s="11"/>
      <c r="O158" s="11"/>
    </row>
    <row r="159" customFormat="false" ht="14.25" hidden="false" customHeight="true" outlineLevel="0" collapsed="false">
      <c r="C159" s="17" t="s">
        <v>2088</v>
      </c>
      <c r="D159" s="57" t="n">
        <v>149.56213472346</v>
      </c>
      <c r="E159" s="57" t="n">
        <v>170.469694546447</v>
      </c>
      <c r="F159" s="57" t="n">
        <v>188.529898606358</v>
      </c>
      <c r="G159" s="11"/>
      <c r="H159" s="11"/>
      <c r="I159" s="11"/>
      <c r="J159" s="11"/>
      <c r="K159" s="11"/>
      <c r="L159" s="11"/>
      <c r="M159" s="11"/>
      <c r="N159" s="11"/>
      <c r="O159" s="11"/>
    </row>
    <row r="160" customFormat="false" ht="14.25" hidden="false" customHeight="true" outlineLevel="0" collapsed="false">
      <c r="C160" s="17" t="s">
        <v>2089</v>
      </c>
      <c r="D160" s="33" t="n">
        <v>-0.185967807524846</v>
      </c>
      <c r="E160" s="33" t="n">
        <v>-0.0721727831794097</v>
      </c>
      <c r="F160" s="33" t="n">
        <v>0.0261247406866495</v>
      </c>
      <c r="G160" s="11"/>
      <c r="H160" s="11"/>
      <c r="I160" s="11"/>
      <c r="J160" s="11"/>
      <c r="K160" s="11"/>
      <c r="L160" s="11"/>
      <c r="M160" s="11"/>
      <c r="N160" s="11"/>
      <c r="O160" s="11"/>
    </row>
    <row r="161" customFormat="false" ht="14.25" hidden="false" customHeight="true" outlineLevel="0" collapsed="false">
      <c r="C161" s="17" t="s">
        <v>44</v>
      </c>
      <c r="D161" s="44" t="s">
        <v>2090</v>
      </c>
      <c r="E161" s="44" t="s">
        <v>2090</v>
      </c>
      <c r="F161" s="44" t="s">
        <v>2091</v>
      </c>
      <c r="G161" s="11"/>
      <c r="H161" s="11"/>
      <c r="I161" s="11"/>
      <c r="J161" s="11"/>
      <c r="K161" s="11"/>
      <c r="L161" s="11"/>
      <c r="M161" s="11"/>
      <c r="N161" s="11"/>
      <c r="O161" s="11"/>
    </row>
    <row r="162" customFormat="false" ht="14.25" hidden="false" customHeight="true" outlineLevel="0" collapsed="false">
      <c r="C162" s="11"/>
      <c r="D162" s="11"/>
      <c r="E162" s="11"/>
      <c r="F162" s="11"/>
      <c r="G162" s="11"/>
      <c r="H162" s="11"/>
      <c r="I162" s="11"/>
      <c r="J162" s="11"/>
      <c r="K162" s="11"/>
      <c r="L162" s="11"/>
      <c r="M162" s="11"/>
      <c r="N162" s="11"/>
      <c r="O162" s="11"/>
    </row>
    <row r="163" customFormat="false" ht="14.25" hidden="false" customHeight="true" outlineLevel="0" collapsed="false">
      <c r="C163" s="3" t="s">
        <v>2092</v>
      </c>
      <c r="D163" s="3" t="s">
        <v>2093</v>
      </c>
      <c r="E163" s="3" t="s">
        <v>2094</v>
      </c>
      <c r="F163" s="3" t="s">
        <v>2095</v>
      </c>
      <c r="G163" s="11"/>
      <c r="H163" s="11"/>
      <c r="I163" s="11"/>
      <c r="J163" s="11"/>
      <c r="K163" s="11"/>
      <c r="L163" s="11"/>
      <c r="M163" s="11"/>
      <c r="N163" s="11"/>
      <c r="O163" s="11"/>
    </row>
    <row r="164" customFormat="false" ht="14.25" hidden="false" customHeight="true" outlineLevel="0" collapsed="false">
      <c r="C164" s="11"/>
      <c r="D164" s="11"/>
      <c r="E164" s="11"/>
      <c r="F164" s="11"/>
      <c r="G164" s="11"/>
      <c r="H164" s="11"/>
      <c r="I164" s="11"/>
      <c r="J164" s="11"/>
      <c r="K164" s="11"/>
      <c r="L164" s="11"/>
      <c r="M164" s="11"/>
      <c r="N164" s="11"/>
      <c r="O164" s="11"/>
    </row>
    <row r="165" customFormat="false" ht="14.25" hidden="false" customHeight="true" outlineLevel="0" collapsed="false">
      <c r="C165" s="27" t="s">
        <v>2096</v>
      </c>
      <c r="D165" s="116" t="n">
        <v>877541.092111235</v>
      </c>
      <c r="E165" s="116" t="n">
        <v>877542.092111235</v>
      </c>
      <c r="F165" s="116" t="n">
        <v>877543.092111235</v>
      </c>
      <c r="G165" s="11"/>
      <c r="H165" s="11"/>
      <c r="I165" s="11"/>
      <c r="J165" s="11"/>
      <c r="K165" s="11"/>
      <c r="L165" s="11"/>
      <c r="M165" s="11"/>
      <c r="N165" s="11"/>
      <c r="O165" s="3" t="s">
        <v>2097</v>
      </c>
    </row>
    <row r="166" customFormat="false" ht="14.25" hidden="false" customHeight="true" outlineLevel="0" collapsed="false">
      <c r="C166" s="17" t="s">
        <v>2098</v>
      </c>
      <c r="D166" s="11"/>
      <c r="E166" s="117" t="n">
        <f aca="false">SUMPRODUCT(--ISNUMBER(Drivers!C1:C733),Drivers!C1:C733)</f>
        <v>876514.822333866</v>
      </c>
      <c r="F166" s="11"/>
      <c r="G166" s="11"/>
      <c r="H166" s="11"/>
      <c r="I166" s="11"/>
      <c r="J166" s="11"/>
      <c r="K166" s="11"/>
      <c r="L166" s="11"/>
      <c r="M166" s="11"/>
      <c r="N166" s="11"/>
      <c r="O166" s="3" t="s">
        <v>2099</v>
      </c>
    </row>
    <row r="167" customFormat="false" ht="14.25" hidden="false" customHeight="true" outlineLevel="0" collapsed="false">
      <c r="C167" s="27" t="s">
        <v>2100</v>
      </c>
      <c r="D167" s="11"/>
      <c r="E167" s="17" t="str">
        <f aca="false">IF(ABS(E166-E165)&lt;10,"NOT STALE","STALE")</f>
        <v>STALE</v>
      </c>
      <c r="F167" s="11"/>
      <c r="G167" s="11"/>
      <c r="H167" s="11"/>
      <c r="I167" s="11"/>
      <c r="J167" s="11"/>
      <c r="K167" s="11"/>
      <c r="L167" s="11"/>
      <c r="M167" s="11"/>
      <c r="N167" s="11"/>
      <c r="O167" s="3" t="s">
        <v>2101</v>
      </c>
    </row>
    <row r="168" customFormat="false" ht="14.25" hidden="false" customHeight="true" outlineLevel="0" collapsed="false">
      <c r="C168" s="27" t="s">
        <v>2102</v>
      </c>
      <c r="D168" s="11"/>
      <c r="E168" s="118" t="n">
        <f aca="false">E152-'3 Statement Forecast'!F33</f>
        <v>0.256601883256639</v>
      </c>
      <c r="F168" s="11"/>
      <c r="G168" s="11"/>
      <c r="H168" s="11"/>
      <c r="I168" s="11"/>
      <c r="J168" s="11"/>
      <c r="K168" s="11"/>
      <c r="L168" s="11"/>
      <c r="M168" s="11"/>
      <c r="N168" s="11"/>
      <c r="O168" s="3" t="s">
        <v>2103</v>
      </c>
    </row>
    <row r="169" customFormat="false" ht="14.25" hidden="false" customHeight="true" outlineLevel="0" collapsed="false">
      <c r="C169" s="11"/>
      <c r="D169" s="11"/>
      <c r="E169" s="11"/>
      <c r="F169" s="11"/>
      <c r="G169" s="11"/>
      <c r="H169" s="11"/>
      <c r="I169" s="11"/>
      <c r="J169" s="11"/>
      <c r="K169" s="11"/>
      <c r="L169" s="11"/>
      <c r="M169" s="11"/>
      <c r="N169" s="11"/>
      <c r="O169" s="11"/>
    </row>
    <row r="170" customFormat="false" ht="14.25" hidden="false" customHeight="true" outlineLevel="0" collapsed="false">
      <c r="A170" s="22" t="s">
        <v>11</v>
      </c>
      <c r="C170" s="119" t="s">
        <v>2104</v>
      </c>
      <c r="D170" s="11"/>
      <c r="E170" s="11"/>
      <c r="F170" s="11"/>
      <c r="G170" s="11"/>
      <c r="H170" s="11"/>
      <c r="I170" s="11"/>
      <c r="J170" s="11"/>
      <c r="K170" s="11"/>
      <c r="L170" s="11"/>
      <c r="M170" s="11"/>
      <c r="N170" s="11"/>
      <c r="O170" s="11"/>
    </row>
    <row r="171" customFormat="false" ht="14.25" hidden="false" customHeight="true" outlineLevel="0" collapsed="false">
      <c r="C171" s="120" t="s">
        <v>2105</v>
      </c>
      <c r="D171" s="11"/>
      <c r="E171" s="11"/>
      <c r="F171" s="11"/>
      <c r="G171" s="11"/>
      <c r="H171" s="11"/>
      <c r="I171" s="11"/>
      <c r="J171" s="11"/>
      <c r="K171" s="11"/>
      <c r="L171" s="11"/>
      <c r="M171" s="11"/>
      <c r="N171" s="11"/>
      <c r="O171" s="11"/>
    </row>
    <row r="172" customFormat="false" ht="14.25" hidden="false" customHeight="true" outlineLevel="0" collapsed="false">
      <c r="C172" s="11"/>
      <c r="D172" s="11"/>
      <c r="E172" s="11"/>
      <c r="F172" s="11"/>
      <c r="G172" s="11"/>
      <c r="H172" s="11"/>
      <c r="I172" s="11"/>
      <c r="J172" s="11"/>
      <c r="K172" s="11"/>
      <c r="L172" s="11"/>
      <c r="M172" s="11"/>
      <c r="N172" s="11"/>
      <c r="O172" s="11"/>
    </row>
    <row r="173" customFormat="false" ht="14.25" hidden="false" customHeight="true" outlineLevel="0" collapsed="false">
      <c r="C173" s="27" t="s">
        <v>2106</v>
      </c>
      <c r="D173" s="121" t="s">
        <v>1558</v>
      </c>
      <c r="E173" s="121" t="s">
        <v>1559</v>
      </c>
      <c r="F173" s="121" t="s">
        <v>1531</v>
      </c>
      <c r="G173" s="121" t="s">
        <v>1532</v>
      </c>
      <c r="H173" s="121" t="s">
        <v>1533</v>
      </c>
      <c r="I173" s="121" t="s">
        <v>1534</v>
      </c>
      <c r="J173" s="121" t="s">
        <v>1535</v>
      </c>
      <c r="K173" s="121" t="s">
        <v>1536</v>
      </c>
      <c r="L173" s="11"/>
      <c r="M173" s="11"/>
      <c r="N173" s="11"/>
      <c r="O173" s="11"/>
    </row>
    <row r="174" customFormat="false" ht="14.25" hidden="false" customHeight="true" outlineLevel="0" collapsed="false">
      <c r="C174" s="11"/>
      <c r="D174" s="11"/>
      <c r="E174" s="11"/>
      <c r="F174" s="11"/>
      <c r="G174" s="11"/>
      <c r="H174" s="11"/>
      <c r="I174" s="11"/>
      <c r="J174" s="11"/>
      <c r="K174" s="11"/>
      <c r="L174" s="11"/>
      <c r="M174" s="11"/>
      <c r="N174" s="11"/>
      <c r="O174" s="11"/>
    </row>
    <row r="175" customFormat="false" ht="14.25" hidden="false" customHeight="true" outlineLevel="0" collapsed="false">
      <c r="C175" s="17" t="s">
        <v>2107</v>
      </c>
      <c r="D175" s="42" t="n">
        <f aca="false">Historicals!G16</f>
        <v>1251.4</v>
      </c>
      <c r="E175" s="42" t="n">
        <f aca="false">Historicals!H16</f>
        <v>1381.1</v>
      </c>
      <c r="F175" s="42" t="n">
        <f aca="false">Historicals!I16</f>
        <v>1486.2</v>
      </c>
      <c r="G175" s="42" t="n">
        <f aca="false">'Segment P&amp;L'!E19+'Segment P&amp;L'!E24+'Segment P&amp;L'!E29</f>
        <v>2055.63265384829</v>
      </c>
      <c r="H175" s="42" t="n">
        <f aca="false">'Segment P&amp;L'!F19+'Segment P&amp;L'!F24+'Segment P&amp;L'!F29</f>
        <v>2124.00237200311</v>
      </c>
      <c r="I175" s="42" t="n">
        <f aca="false">'Segment P&amp;L'!G19+'Segment P&amp;L'!G24+'Segment P&amp;L'!G29</f>
        <v>2187.29846779839</v>
      </c>
      <c r="J175" s="42" t="n">
        <f aca="false">'Segment P&amp;L'!H19+'Segment P&amp;L'!H24+'Segment P&amp;L'!H29</f>
        <v>2236.13676922335</v>
      </c>
      <c r="K175" s="42" t="n">
        <f aca="false">'Segment P&amp;L'!I19+'Segment P&amp;L'!I24+'Segment P&amp;L'!I29</f>
        <v>2264.90173307197</v>
      </c>
      <c r="L175" s="11"/>
      <c r="M175" s="11"/>
      <c r="N175" s="11"/>
      <c r="O175" s="11"/>
    </row>
    <row r="176" customFormat="false" ht="14.25" hidden="false" customHeight="true" outlineLevel="0" collapsed="false">
      <c r="C176" s="17" t="s">
        <v>2108</v>
      </c>
      <c r="D176" s="32" t="n">
        <f aca="false">-1*(Historicals!G23)</f>
        <v>376.3</v>
      </c>
      <c r="E176" s="32" t="n">
        <f aca="false">-1*(Historicals!H23)</f>
        <v>402.4</v>
      </c>
      <c r="F176" s="32" t="n">
        <f aca="false">-1*(Historicals!I23)</f>
        <v>431.8</v>
      </c>
      <c r="G176" s="32" t="n">
        <f aca="false">-1*('3 Statement Forecast'!E19)</f>
        <v>671.4</v>
      </c>
      <c r="H176" s="32" t="n">
        <f aca="false">-1*('3 Statement Forecast'!F19)</f>
        <v>720</v>
      </c>
      <c r="I176" s="32" t="n">
        <f aca="false">-1*('3 Statement Forecast'!G19)</f>
        <v>720</v>
      </c>
      <c r="J176" s="32" t="n">
        <f aca="false">-1*('3 Statement Forecast'!H19)</f>
        <v>720</v>
      </c>
      <c r="K176" s="32" t="n">
        <f aca="false">-1*('3 Statement Forecast'!I19)</f>
        <v>720</v>
      </c>
      <c r="L176" s="11"/>
      <c r="M176" s="11"/>
      <c r="N176" s="11"/>
      <c r="O176" s="11"/>
    </row>
    <row r="177" customFormat="false" ht="14.25" hidden="false" customHeight="true" outlineLevel="0" collapsed="false">
      <c r="C177" s="17" t="s">
        <v>2109</v>
      </c>
      <c r="D177" s="32" t="n">
        <f aca="false">-1*(Historicals!G21)</f>
        <v>344.8</v>
      </c>
      <c r="E177" s="32" t="n">
        <f aca="false">-1*(Historicals!H21)</f>
        <v>381.6</v>
      </c>
      <c r="F177" s="32" t="n">
        <f aca="false">-1*(Historicals!I21)</f>
        <v>427.7</v>
      </c>
      <c r="G177" s="32" t="n">
        <f aca="false">-1*('3 Statement Forecast'!E18)</f>
        <v>599.540716833325</v>
      </c>
      <c r="H177" s="32" t="n">
        <f aca="false">-1*('3 Statement Forecast'!F18)</f>
        <v>621.161387447079</v>
      </c>
      <c r="I177" s="32" t="n">
        <f aca="false">-1*('3 Statement Forecast'!G18)</f>
        <v>641.829047680468</v>
      </c>
      <c r="J177" s="32" t="n">
        <f aca="false">-1*('3 Statement Forecast'!H18)</f>
        <v>659.213424699467</v>
      </c>
      <c r="K177" s="32" t="n">
        <f aca="false">-1*('3 Statement Forecast'!I18)</f>
        <v>671.934115541515</v>
      </c>
      <c r="L177" s="11"/>
      <c r="M177" s="11"/>
      <c r="N177" s="11"/>
      <c r="O177" s="11"/>
    </row>
    <row r="178" customFormat="false" ht="14.25" hidden="false" customHeight="true" outlineLevel="0" collapsed="false">
      <c r="C178" s="17" t="s">
        <v>2110</v>
      </c>
      <c r="D178" s="32" t="n">
        <f aca="false">-1*(Historicals!G26)</f>
        <v>212.7</v>
      </c>
      <c r="E178" s="32" t="n">
        <f aca="false">-1*(Historicals!H26)</f>
        <v>236.3</v>
      </c>
      <c r="F178" s="32" t="n">
        <f aca="false">-1*(Historicals!I26)</f>
        <v>252.6</v>
      </c>
      <c r="G178" s="32" t="n">
        <f aca="false">-1*('3 Statement Forecast'!E22)</f>
        <v>288.640013115643</v>
      </c>
      <c r="H178" s="32" t="n">
        <f aca="false">-1*('3 Statement Forecast'!F22)</f>
        <v>299.048965292377</v>
      </c>
      <c r="I178" s="32" t="n">
        <f aca="false">-1*('3 Statement Forecast'!G22)</f>
        <v>308.999104713005</v>
      </c>
      <c r="J178" s="32" t="n">
        <f aca="false">-1*('3 Statement Forecast'!H22)</f>
        <v>317.368555977757</v>
      </c>
      <c r="K178" s="32" t="n">
        <f aca="false">-1*('3 Statement Forecast'!I22)</f>
        <v>323.492744491395</v>
      </c>
      <c r="L178" s="11"/>
      <c r="M178" s="11"/>
      <c r="N178" s="11"/>
      <c r="O178" s="11"/>
    </row>
    <row r="179" customFormat="false" ht="14.25" hidden="false" customHeight="true" outlineLevel="0" collapsed="false">
      <c r="C179" s="17" t="s">
        <v>2111</v>
      </c>
      <c r="D179" s="32" t="n">
        <f aca="false">-1*(Historicals!G29)</f>
        <v>263.4</v>
      </c>
      <c r="E179" s="32" t="n">
        <f aca="false">-1*(Historicals!H29)</f>
        <v>341</v>
      </c>
      <c r="F179" s="32" t="n">
        <f aca="false">-1*(Historicals!I29)</f>
        <v>391.5</v>
      </c>
      <c r="G179" s="32" t="n">
        <f aca="false">-1*('3 Statement Forecast'!E24)</f>
        <v>588.82599</v>
      </c>
      <c r="H179" s="32" t="n">
        <f aca="false">-1*('3 Statement Forecast'!F24)</f>
        <v>615.70826</v>
      </c>
      <c r="I179" s="32" t="n">
        <f aca="false">-1*('3 Statement Forecast'!G24)</f>
        <v>642.39824</v>
      </c>
      <c r="J179" s="32" t="n">
        <f aca="false">-1*('3 Statement Forecast'!H24)</f>
        <v>669.29324</v>
      </c>
      <c r="K179" s="32" t="n">
        <f aca="false">-1*('3 Statement Forecast'!I24)</f>
        <v>715.76368</v>
      </c>
      <c r="L179" s="11"/>
      <c r="M179" s="11"/>
      <c r="N179" s="11"/>
      <c r="O179" s="11"/>
    </row>
    <row r="180" customFormat="false" ht="14.25" hidden="false" customHeight="true" outlineLevel="0" collapsed="false">
      <c r="C180" s="17" t="s">
        <v>2112</v>
      </c>
      <c r="D180" s="42" t="n">
        <f aca="false">Historicals!G28</f>
        <v>130.3</v>
      </c>
      <c r="E180" s="42" t="n">
        <f aca="false">Historicals!H28</f>
        <v>138.3</v>
      </c>
      <c r="F180" s="42" t="n">
        <f aca="false">Historicals!I28</f>
        <v>136.9</v>
      </c>
      <c r="G180" s="42" t="n">
        <f aca="false">'3 Statement Forecast'!E23</f>
        <v>210.5</v>
      </c>
      <c r="H180" s="42" t="n">
        <f aca="false">'3 Statement Forecast'!F23</f>
        <v>210.5</v>
      </c>
      <c r="I180" s="42" t="n">
        <f aca="false">'3 Statement Forecast'!G23</f>
        <v>210.499264</v>
      </c>
      <c r="J180" s="42" t="n">
        <f aca="false">'3 Statement Forecast'!H23</f>
        <v>210.499264</v>
      </c>
      <c r="K180" s="42" t="n">
        <f aca="false">'3 Statement Forecast'!I23</f>
        <v>210.499264</v>
      </c>
      <c r="L180" s="11"/>
      <c r="M180" s="11"/>
      <c r="N180" s="11"/>
      <c r="O180" s="11"/>
    </row>
    <row r="181" customFormat="false" ht="14.25" hidden="false" customHeight="true" outlineLevel="0" collapsed="false">
      <c r="C181" s="17" t="s">
        <v>2113</v>
      </c>
      <c r="D181" s="42" t="n">
        <f aca="false">Historicals!G33</f>
        <v>72.4</v>
      </c>
      <c r="E181" s="42" t="n">
        <f aca="false">Historicals!H33</f>
        <v>82.8</v>
      </c>
      <c r="F181" s="42" t="n">
        <f aca="false">Historicals!I33</f>
        <v>117.3</v>
      </c>
      <c r="G181" s="42" t="n">
        <f aca="false">'3 Statement Forecast'!E28</f>
        <v>140</v>
      </c>
      <c r="H181" s="42" t="n">
        <f aca="false">'3 Statement Forecast'!F28</f>
        <v>150</v>
      </c>
      <c r="I181" s="42" t="n">
        <f aca="false">'3 Statement Forecast'!G28</f>
        <v>150</v>
      </c>
      <c r="J181" s="42" t="n">
        <f aca="false">'3 Statement Forecast'!H28</f>
        <v>150</v>
      </c>
      <c r="K181" s="42" t="n">
        <f aca="false">'3 Statement Forecast'!I28</f>
        <v>150</v>
      </c>
      <c r="L181" s="11"/>
      <c r="M181" s="11"/>
      <c r="N181" s="11"/>
      <c r="O181" s="11"/>
    </row>
    <row r="182" customFormat="false" ht="14.25" hidden="false" customHeight="true" outlineLevel="0" collapsed="false">
      <c r="C182" s="17" t="s">
        <v>2114</v>
      </c>
      <c r="D182" s="42" t="n">
        <f aca="false">Historicals!G35</f>
        <v>259.2</v>
      </c>
      <c r="E182" s="42" t="n">
        <f aca="false">Historicals!H35</f>
        <v>284.2</v>
      </c>
      <c r="F182" s="42" t="n">
        <f aca="false">Historicals!I35</f>
        <v>333.3</v>
      </c>
      <c r="G182" s="42" t="n">
        <f aca="false">'3 Statement Forecast'!E31</f>
        <v>368.354184088351</v>
      </c>
      <c r="H182" s="42" t="n">
        <f aca="false">'3 Statement Forecast'!F31</f>
        <v>358.467180034485</v>
      </c>
      <c r="I182" s="42" t="n">
        <f aca="false">'3 Statement Forecast'!G31</f>
        <v>370.500139618881</v>
      </c>
      <c r="J182" s="42" t="n">
        <f aca="false">'3 Statement Forecast'!H31</f>
        <v>381.636253038615</v>
      </c>
      <c r="K182" s="42" t="n">
        <f aca="false">'3 Statement Forecast'!I31</f>
        <v>374.518878546467</v>
      </c>
      <c r="L182" s="11"/>
      <c r="M182" s="11"/>
      <c r="N182" s="11"/>
      <c r="O182" s="11"/>
    </row>
    <row r="183" customFormat="false" ht="14.25" hidden="false" customHeight="true" outlineLevel="0" collapsed="false">
      <c r="C183" s="17" t="s">
        <v>2115</v>
      </c>
      <c r="D183" s="42" t="n">
        <f aca="false">Historicals!G46</f>
        <v>9411.2</v>
      </c>
      <c r="E183" s="42" t="n">
        <f aca="false">Historicals!H46</f>
        <v>10449.7</v>
      </c>
      <c r="F183" s="42" t="n">
        <f aca="false">Historicals!I46</f>
        <v>11410.9</v>
      </c>
      <c r="G183" s="42" t="n">
        <f aca="false">'3 Statement Forecast'!E39</f>
        <v>15830.5</v>
      </c>
      <c r="H183" s="42" t="n">
        <f aca="false">'3 Statement Forecast'!F39</f>
        <v>16360.5</v>
      </c>
      <c r="I183" s="42" t="n">
        <f aca="false">'3 Statement Forecast'!G39</f>
        <v>16890.5</v>
      </c>
      <c r="J183" s="42" t="n">
        <f aca="false">'3 Statement Forecast'!H39</f>
        <v>17420.5</v>
      </c>
      <c r="K183" s="42" t="n">
        <f aca="false">'3 Statement Forecast'!I39</f>
        <v>17950.5</v>
      </c>
      <c r="L183" s="11"/>
      <c r="M183" s="11"/>
      <c r="N183" s="11"/>
      <c r="O183" s="11"/>
    </row>
    <row r="184" customFormat="false" ht="14.25" hidden="false" customHeight="true" outlineLevel="0" collapsed="false">
      <c r="C184" s="17" t="s">
        <v>2116</v>
      </c>
      <c r="D184" s="42" t="n">
        <f aca="false">Historicals!G56</f>
        <v>7399.1</v>
      </c>
      <c r="E184" s="42" t="n">
        <f aca="false">Historicals!H56</f>
        <v>8225.7</v>
      </c>
      <c r="F184" s="42" t="n">
        <f aca="false">Historicals!I56</f>
        <v>12533.9</v>
      </c>
      <c r="G184" s="42" t="n">
        <f aca="false">'3 Statement Forecast'!E47</f>
        <v>12516.9559948862</v>
      </c>
      <c r="H184" s="42" t="n">
        <f aca="false">'3 Statement Forecast'!F47</f>
        <v>13017.9685702222</v>
      </c>
      <c r="I184" s="42" t="n">
        <f aca="false">'3 Statement Forecast'!G47</f>
        <v>13493.695223489</v>
      </c>
      <c r="J184" s="42" t="n">
        <f aca="false">'3 Statement Forecast'!H47</f>
        <v>13952.4318435715</v>
      </c>
      <c r="K184" s="42" t="n">
        <f aca="false">'3 Statement Forecast'!I47</f>
        <v>14418.2542053421</v>
      </c>
      <c r="L184" s="11"/>
      <c r="M184" s="11"/>
      <c r="N184" s="11"/>
      <c r="O184" s="11"/>
    </row>
    <row r="185" customFormat="false" ht="14.25" hidden="false" customHeight="true" outlineLevel="0" collapsed="false">
      <c r="C185" s="17" t="s">
        <v>2117</v>
      </c>
      <c r="D185" s="42" t="n">
        <f aca="false">Historicals!G67</f>
        <v>2273</v>
      </c>
      <c r="E185" s="42" t="n">
        <f aca="false">Historicals!H67</f>
        <v>2438.9</v>
      </c>
      <c r="F185" s="42" t="n">
        <f aca="false">Historicals!I67</f>
        <v>2750.5</v>
      </c>
      <c r="G185" s="42" t="n">
        <f aca="false">'3 Statement Forecast'!E58</f>
        <v>2928.94218408835</v>
      </c>
      <c r="H185" s="42" t="n">
        <f aca="false">'3 Statement Forecast'!F58</f>
        <v>3072.55206558602</v>
      </c>
      <c r="I185" s="42" t="n">
        <f aca="false">'3 Statement Forecast'!G58</f>
        <v>3229.713104858</v>
      </c>
      <c r="J185" s="42" t="n">
        <f aca="false">'3 Statement Forecast'!H58</f>
        <v>3399.4771157042</v>
      </c>
      <c r="K185" s="42" t="n">
        <f aca="false">'3 Statement Forecast'!I58</f>
        <v>3563.54100631382</v>
      </c>
      <c r="L185" s="11"/>
      <c r="M185" s="11"/>
      <c r="N185" s="11"/>
      <c r="O185" s="11"/>
    </row>
    <row r="186" customFormat="false" ht="14.25" hidden="false" customHeight="true" outlineLevel="0" collapsed="false">
      <c r="C186" s="11"/>
      <c r="D186" s="11"/>
      <c r="E186" s="11"/>
      <c r="F186" s="11"/>
      <c r="G186" s="11"/>
      <c r="H186" s="11"/>
      <c r="I186" s="11"/>
      <c r="J186" s="11"/>
      <c r="K186" s="11"/>
      <c r="L186" s="11"/>
      <c r="M186" s="11"/>
      <c r="N186" s="11"/>
      <c r="O186" s="11"/>
    </row>
    <row r="187" customFormat="false" ht="14.25" hidden="false" customHeight="true" outlineLevel="0" collapsed="false">
      <c r="C187" s="27" t="s">
        <v>2118</v>
      </c>
      <c r="D187" s="11"/>
      <c r="E187" s="11"/>
      <c r="F187" s="11"/>
      <c r="G187" s="11"/>
      <c r="H187" s="11"/>
      <c r="I187" s="11"/>
      <c r="J187" s="11"/>
      <c r="K187" s="11"/>
      <c r="L187" s="11"/>
      <c r="M187" s="11"/>
      <c r="N187" s="11"/>
      <c r="O187" s="11"/>
    </row>
    <row r="188" customFormat="false" ht="14.25" hidden="false" customHeight="true" outlineLevel="0" collapsed="false">
      <c r="C188" s="17" t="s">
        <v>2119</v>
      </c>
      <c r="D188" s="32" t="n">
        <f aca="false">Historicals!G46</f>
        <v>9411.2</v>
      </c>
      <c r="E188" s="32" t="n">
        <f aca="false">(E183+D183)/2</f>
        <v>9930.45</v>
      </c>
      <c r="F188" s="32" t="n">
        <f aca="false">(F183+E183)/2</f>
        <v>10930.3</v>
      </c>
      <c r="G188" s="32" t="n">
        <f aca="false">(G183+F183)/2</f>
        <v>13620.7</v>
      </c>
      <c r="H188" s="32" t="n">
        <f aca="false">(H183+G183)/2</f>
        <v>16095.5</v>
      </c>
      <c r="I188" s="32" t="n">
        <f aca="false">(I183+H183)/2</f>
        <v>16625.5</v>
      </c>
      <c r="J188" s="32" t="n">
        <f aca="false">(J183+I183)/2</f>
        <v>17155.5</v>
      </c>
      <c r="K188" s="32" t="n">
        <f aca="false">(K183+J183)/2</f>
        <v>17685.5</v>
      </c>
      <c r="L188" s="11"/>
      <c r="M188" s="11"/>
      <c r="N188" s="11"/>
      <c r="O188" s="11"/>
    </row>
    <row r="189" customFormat="false" ht="14.25" hidden="false" customHeight="true" outlineLevel="0" collapsed="false">
      <c r="C189" s="17" t="s">
        <v>2120</v>
      </c>
      <c r="D189" s="32" t="n">
        <f aca="false">Historicals!G56</f>
        <v>7399.1</v>
      </c>
      <c r="E189" s="32" t="n">
        <f aca="false">(E184+D184)/2</f>
        <v>7812.4</v>
      </c>
      <c r="F189" s="32" t="n">
        <f aca="false">(F184+E184)/2</f>
        <v>10379.8</v>
      </c>
      <c r="G189" s="32" t="n">
        <f aca="false">(G184+F184)/2</f>
        <v>12525.4279974431</v>
      </c>
      <c r="H189" s="32" t="n">
        <f aca="false">(H184+G184)/2</f>
        <v>12767.4622825542</v>
      </c>
      <c r="I189" s="32" t="n">
        <f aca="false">(I184+H184)/2</f>
        <v>13255.8318968556</v>
      </c>
      <c r="J189" s="32" t="n">
        <f aca="false">(J184+I184)/2</f>
        <v>13723.0635335302</v>
      </c>
      <c r="K189" s="32" t="n">
        <f aca="false">(K184+J184)/2</f>
        <v>14185.3430244568</v>
      </c>
      <c r="L189" s="11"/>
      <c r="M189" s="11"/>
      <c r="N189" s="11"/>
      <c r="O189" s="11"/>
    </row>
    <row r="190" customFormat="false" ht="14.25" hidden="false" customHeight="true" outlineLevel="0" collapsed="false">
      <c r="C190" s="17" t="s">
        <v>2121</v>
      </c>
      <c r="D190" s="32" t="n">
        <f aca="false">Historicals!G67</f>
        <v>2273</v>
      </c>
      <c r="E190" s="32" t="n">
        <f aca="false">(E185+D185)/2</f>
        <v>2355.95</v>
      </c>
      <c r="F190" s="32" t="n">
        <f aca="false">(F185+E185)/2</f>
        <v>2594.7</v>
      </c>
      <c r="G190" s="32" t="n">
        <f aca="false">(G185+F185)/2</f>
        <v>2839.72109204418</v>
      </c>
      <c r="H190" s="32" t="n">
        <f aca="false">(H185+G185)/2</f>
        <v>3000.74712483719</v>
      </c>
      <c r="I190" s="32" t="n">
        <f aca="false">(I185+H185)/2</f>
        <v>3151.13258522201</v>
      </c>
      <c r="J190" s="32" t="n">
        <f aca="false">(J185+I185)/2</f>
        <v>3314.5951102811</v>
      </c>
      <c r="K190" s="32" t="n">
        <f aca="false">(K185+J185)/2</f>
        <v>3481.50906100901</v>
      </c>
      <c r="L190" s="11"/>
      <c r="M190" s="11"/>
      <c r="N190" s="11"/>
      <c r="O190" s="11"/>
    </row>
    <row r="191" customFormat="false" ht="14.25" hidden="false" customHeight="true" outlineLevel="0" collapsed="false">
      <c r="C191" s="11"/>
      <c r="D191" s="11"/>
      <c r="E191" s="11"/>
      <c r="F191" s="11"/>
      <c r="G191" s="11"/>
      <c r="H191" s="11"/>
      <c r="I191" s="11"/>
      <c r="J191" s="11"/>
      <c r="K191" s="11"/>
      <c r="L191" s="11"/>
      <c r="M191" s="11"/>
      <c r="N191" s="11"/>
      <c r="O191" s="11"/>
    </row>
    <row r="192" customFormat="false" ht="14.25" hidden="false" customHeight="true" outlineLevel="0" collapsed="false">
      <c r="C192" s="27" t="s">
        <v>2122</v>
      </c>
      <c r="D192" s="11"/>
      <c r="E192" s="11"/>
      <c r="F192" s="11"/>
      <c r="G192" s="11"/>
      <c r="H192" s="11"/>
      <c r="I192" s="11"/>
      <c r="J192" s="11"/>
      <c r="K192" s="11"/>
      <c r="L192" s="11"/>
      <c r="M192" s="11"/>
      <c r="N192" s="11"/>
      <c r="O192" s="11"/>
    </row>
    <row r="193" customFormat="false" ht="14.25" hidden="false" customHeight="true" outlineLevel="0" collapsed="false">
      <c r="C193" s="17" t="s">
        <v>2123</v>
      </c>
      <c r="D193" s="34" t="n">
        <f aca="false">D175/D188</f>
        <v>0.132969228153689</v>
      </c>
      <c r="E193" s="34" t="n">
        <f aca="false">E175/E188</f>
        <v>0.139077282499786</v>
      </c>
      <c r="F193" s="34" t="n">
        <f aca="false">F175/F188</f>
        <v>0.135970650393859</v>
      </c>
      <c r="G193" s="34" t="n">
        <f aca="false">G175/G188</f>
        <v>0.150919751102975</v>
      </c>
      <c r="H193" s="34" t="n">
        <f aca="false">H175/H188</f>
        <v>0.131962497095655</v>
      </c>
      <c r="I193" s="34" t="n">
        <f aca="false">I175/I188</f>
        <v>0.131562868352735</v>
      </c>
      <c r="J193" s="34" t="n">
        <f aca="false">J175/J188</f>
        <v>0.130345181966329</v>
      </c>
      <c r="K193" s="34" t="n">
        <f aca="false">K175/K188</f>
        <v>0.128065462275422</v>
      </c>
      <c r="L193" s="11"/>
      <c r="M193" s="11"/>
      <c r="N193" s="11"/>
      <c r="O193" s="11"/>
    </row>
    <row r="194" customFormat="false" ht="14.25" hidden="false" customHeight="true" outlineLevel="0" collapsed="false">
      <c r="C194" s="17" t="s">
        <v>2124</v>
      </c>
      <c r="D194" s="34" t="n">
        <f aca="false">D176/D188</f>
        <v>0.0399842740564434</v>
      </c>
      <c r="E194" s="34" t="n">
        <f aca="false">E176/E188</f>
        <v>0.0405218293229411</v>
      </c>
      <c r="F194" s="34" t="n">
        <f aca="false">F176/F188</f>
        <v>0.039504862629571</v>
      </c>
      <c r="G194" s="34" t="n">
        <f aca="false">G176/G188</f>
        <v>0.0492926207904146</v>
      </c>
      <c r="H194" s="34" t="n">
        <f aca="false">H176/H188</f>
        <v>0.0447329999068063</v>
      </c>
      <c r="I194" s="34" t="n">
        <f aca="false">I176/I188</f>
        <v>0.0433069682114824</v>
      </c>
      <c r="J194" s="34" t="n">
        <f aca="false">J176/J188</f>
        <v>0.0419690478272274</v>
      </c>
      <c r="K194" s="34" t="n">
        <f aca="false">K176/K188</f>
        <v>0.0407113171807413</v>
      </c>
      <c r="L194" s="11"/>
      <c r="M194" s="11"/>
      <c r="N194" s="11"/>
      <c r="O194" s="11"/>
    </row>
    <row r="195" customFormat="false" ht="14.25" hidden="false" customHeight="true" outlineLevel="0" collapsed="false">
      <c r="C195" s="17" t="s">
        <v>2125</v>
      </c>
      <c r="D195" s="34" t="n">
        <f aca="false">D177/D188</f>
        <v>0.0366371982318939</v>
      </c>
      <c r="E195" s="34" t="n">
        <f aca="false">E177/E188</f>
        <v>0.038427261604459</v>
      </c>
      <c r="F195" s="34" t="n">
        <f aca="false">F177/F188</f>
        <v>0.0391297585610642</v>
      </c>
      <c r="G195" s="34" t="n">
        <f aca="false">G177/G188</f>
        <v>0.0440168799572214</v>
      </c>
      <c r="H195" s="34" t="n">
        <f aca="false">H177/H188</f>
        <v>0.038592239287197</v>
      </c>
      <c r="I195" s="34" t="n">
        <f aca="false">I177/I188</f>
        <v>0.0386050974515334</v>
      </c>
      <c r="J195" s="34" t="n">
        <f aca="false">J177/J188</f>
        <v>0.0384257774299477</v>
      </c>
      <c r="K195" s="34" t="n">
        <f aca="false">K177/K188</f>
        <v>0.0379935040310715</v>
      </c>
      <c r="L195" s="11"/>
      <c r="M195" s="11"/>
      <c r="N195" s="11"/>
      <c r="O195" s="11"/>
    </row>
    <row r="196" customFormat="false" ht="14.25" hidden="false" customHeight="true" outlineLevel="0" collapsed="false">
      <c r="C196" s="17" t="s">
        <v>2126</v>
      </c>
      <c r="D196" s="34" t="n">
        <f aca="false">D178/D188</f>
        <v>0.0226007310438626</v>
      </c>
      <c r="E196" s="34" t="n">
        <f aca="false">E178/E188</f>
        <v>0.023795497686409</v>
      </c>
      <c r="F196" s="34" t="n">
        <f aca="false">F178/F188</f>
        <v>0.0231100701719075</v>
      </c>
      <c r="G196" s="34" t="n">
        <f aca="false">G178/G188</f>
        <v>0.0211912760075211</v>
      </c>
      <c r="H196" s="34" t="n">
        <f aca="false">H178/H188</f>
        <v>0.0185796629674367</v>
      </c>
      <c r="I196" s="34" t="n">
        <f aca="false">I178/I188</f>
        <v>0.0185858533405314</v>
      </c>
      <c r="J196" s="34" t="n">
        <f aca="false">J178/J188</f>
        <v>0.018499522367623</v>
      </c>
      <c r="K196" s="34" t="n">
        <f aca="false">K178/K188</f>
        <v>0.018291410731469</v>
      </c>
      <c r="L196" s="11"/>
      <c r="M196" s="11"/>
      <c r="N196" s="11"/>
      <c r="O196" s="11"/>
    </row>
    <row r="197" customFormat="false" ht="14.25" hidden="false" customHeight="true" outlineLevel="0" collapsed="false">
      <c r="C197" s="27" t="s">
        <v>2127</v>
      </c>
      <c r="D197" s="110" t="n">
        <f aca="false">D193-D194-D195-D196</f>
        <v>0.0337470248214893</v>
      </c>
      <c r="E197" s="110" t="n">
        <f aca="false">E193-E194-E195-E196</f>
        <v>0.036332693885977</v>
      </c>
      <c r="F197" s="110" t="n">
        <f aca="false">F193-F194-F195-F196</f>
        <v>0.0342259590313166</v>
      </c>
      <c r="G197" s="110" t="n">
        <f aca="false">G193-G194-G195-G196</f>
        <v>0.0364189743478176</v>
      </c>
      <c r="H197" s="110" t="n">
        <f aca="false">H193-H194-H195-H196</f>
        <v>0.030057594934215</v>
      </c>
      <c r="I197" s="110" t="n">
        <f aca="false">I193-I194-I195-I196</f>
        <v>0.0310649493491875</v>
      </c>
      <c r="J197" s="110" t="n">
        <f aca="false">J193-J194-J195-J196</f>
        <v>0.0314508343415304</v>
      </c>
      <c r="K197" s="110" t="n">
        <f aca="false">K193-K194-K195-K196</f>
        <v>0.03106923033214</v>
      </c>
      <c r="L197" s="11"/>
      <c r="M197" s="11"/>
      <c r="N197" s="11"/>
      <c r="O197" s="11"/>
    </row>
    <row r="198" customFormat="false" ht="14.25" hidden="false" customHeight="true" outlineLevel="0" collapsed="false">
      <c r="C198" s="17" t="s">
        <v>2128</v>
      </c>
      <c r="D198" s="34" t="n">
        <f aca="false">D179/D189</f>
        <v>0.035598924193483</v>
      </c>
      <c r="E198" s="34" t="n">
        <f aca="false">E179/E189</f>
        <v>0.0436485587015514</v>
      </c>
      <c r="F198" s="34" t="n">
        <f aca="false">F179/F189</f>
        <v>0.0377174897396867</v>
      </c>
      <c r="G198" s="34" t="n">
        <f aca="false">G179/G189</f>
        <v>0.0470104486745045</v>
      </c>
      <c r="H198" s="34" t="n">
        <f aca="false">H179/H189</f>
        <v>0.0482247956856173</v>
      </c>
      <c r="I198" s="34" t="n">
        <f aca="false">I179/I189</f>
        <v>0.0484615560153855</v>
      </c>
      <c r="J198" s="34" t="n">
        <f aca="false">J179/J189</f>
        <v>0.0487714159717095</v>
      </c>
      <c r="K198" s="34" t="n">
        <f aca="false">K179/K189</f>
        <v>0.0504579747395575</v>
      </c>
      <c r="L198" s="11"/>
      <c r="M198" s="11"/>
      <c r="N198" s="11"/>
      <c r="O198" s="11"/>
    </row>
    <row r="199" customFormat="false" ht="14.25" hidden="false" customHeight="true" outlineLevel="0" collapsed="false">
      <c r="C199" s="17" t="s">
        <v>2129</v>
      </c>
      <c r="D199" s="122" t="n">
        <f aca="false">D188/D190</f>
        <v>4.14043114826221</v>
      </c>
      <c r="E199" s="122" t="n">
        <f aca="false">E188/E190</f>
        <v>4.21505125320996</v>
      </c>
      <c r="F199" s="122" t="n">
        <f aca="false">F188/F190</f>
        <v>4.21254865687748</v>
      </c>
      <c r="G199" s="122" t="n">
        <f aca="false">G188/G190</f>
        <v>4.79649217599575</v>
      </c>
      <c r="H199" s="122" t="n">
        <f aca="false">H188/H190</f>
        <v>5.36383084958327</v>
      </c>
      <c r="I199" s="122" t="n">
        <f aca="false">I188/I190</f>
        <v>5.27603950337389</v>
      </c>
      <c r="J199" s="122" t="n">
        <f aca="false">J188/J190</f>
        <v>5.17574528086029</v>
      </c>
      <c r="K199" s="122" t="n">
        <f aca="false">K188/K190</f>
        <v>5.07983741822415</v>
      </c>
      <c r="L199" s="11"/>
      <c r="M199" s="11"/>
      <c r="N199" s="11"/>
      <c r="O199" s="11"/>
    </row>
    <row r="200" customFormat="false" ht="14.25" hidden="false" customHeight="true" outlineLevel="0" collapsed="false">
      <c r="C200" s="11"/>
      <c r="D200" s="11"/>
      <c r="E200" s="11"/>
      <c r="F200" s="11"/>
      <c r="G200" s="11"/>
      <c r="H200" s="11"/>
      <c r="I200" s="11"/>
      <c r="J200" s="11"/>
      <c r="K200" s="11"/>
      <c r="L200" s="11"/>
      <c r="M200" s="11"/>
      <c r="N200" s="11"/>
      <c r="O200" s="11"/>
    </row>
    <row r="201" customFormat="false" ht="14.25" hidden="false" customHeight="true" outlineLevel="0" collapsed="false">
      <c r="C201" s="27" t="s">
        <v>2130</v>
      </c>
      <c r="D201" s="110" t="n">
        <f aca="false">D182/D190</f>
        <v>0.114034315882094</v>
      </c>
      <c r="E201" s="110" t="n">
        <f aca="false">E182/E190</f>
        <v>0.12063074343683</v>
      </c>
      <c r="F201" s="110" t="n">
        <f aca="false">F182/F190</f>
        <v>0.12845415654989</v>
      </c>
      <c r="G201" s="110" t="n">
        <f aca="false">G182/G190</f>
        <v>0.129714916412157</v>
      </c>
      <c r="H201" s="110" t="n">
        <f aca="false">H182/H190</f>
        <v>0.119459309672398</v>
      </c>
      <c r="I201" s="110" t="n">
        <f aca="false">I182/I190</f>
        <v>0.117576817096313</v>
      </c>
      <c r="J201" s="110" t="n">
        <f aca="false">J182/J190</f>
        <v>0.115138121049798</v>
      </c>
      <c r="K201" s="110" t="n">
        <f aca="false">K182/K190</f>
        <v>0.107573719322139</v>
      </c>
      <c r="L201" s="11"/>
      <c r="M201" s="11"/>
      <c r="N201" s="11"/>
      <c r="O201" s="11"/>
    </row>
    <row r="202" customFormat="false" ht="14.25" hidden="false" customHeight="true" outlineLevel="0" collapsed="false">
      <c r="C202" s="17" t="s">
        <v>2131</v>
      </c>
      <c r="D202" s="34" t="n">
        <f aca="false">(D182-(1-ABS(Historicals!G32/Historicals!G31))*D180-D181)/D190</f>
        <v>0.0385636754139401</v>
      </c>
      <c r="E202" s="34" t="n">
        <f aca="false">(E182-(1-ABS(Historicals!H32/Historicals!H31))*E180-E181)/E190</f>
        <v>0.0402574133346111</v>
      </c>
      <c r="F202" s="34" t="n">
        <f aca="false">(F182-(1-ABS(Historicals!I32/Historicals!I31))*F180-F181)/F190</f>
        <v>0.0424137194363778</v>
      </c>
      <c r="G202" s="34" t="n">
        <f aca="false">(G182-(1-ABS('3 Statement Forecast'!E27/'3 Statement Forecast'!E26))*G180-G181)/G190</f>
        <v>0.025782702496197</v>
      </c>
      <c r="H202" s="34" t="n">
        <f aca="false">(H182-(1-ABS('3 Statement Forecast'!F27/'3 Statement Forecast'!F26))*H180-H181)/H190</f>
        <v>0.0161583692384994</v>
      </c>
      <c r="I202" s="34" t="n">
        <f aca="false">(I182-(1-ABS('3 Statement Forecast'!G27/'3 Statement Forecast'!G26))*I180-I181)/I190</f>
        <v>0.0192060147715482</v>
      </c>
      <c r="J202" s="34" t="n">
        <f aca="false">(J182-(1-ABS('3 Statement Forecast'!H27/'3 Statement Forecast'!H26))*J180-J181)/J190</f>
        <v>0.0216185718057547</v>
      </c>
      <c r="K202" s="34" t="n">
        <f aca="false">(K182-(1-ABS('3 Statement Forecast'!I27/'3 Statement Forecast'!I26))*K180-K181)/K190</f>
        <v>0.0185377768018107</v>
      </c>
      <c r="L202" s="11"/>
      <c r="M202" s="11"/>
      <c r="N202" s="11"/>
      <c r="O202" s="11"/>
    </row>
    <row r="203" customFormat="false" ht="14.25" hidden="false" customHeight="true" outlineLevel="0" collapsed="false">
      <c r="C203" s="17" t="s">
        <v>2132</v>
      </c>
      <c r="D203" s="41" t="n">
        <f aca="false">DCF!$D$57</f>
        <v>0.0902</v>
      </c>
      <c r="E203" s="41" t="n">
        <f aca="false">DCF!$D$57</f>
        <v>0.0902</v>
      </c>
      <c r="F203" s="41" t="n">
        <f aca="false">DCF!$D$57</f>
        <v>0.0902</v>
      </c>
      <c r="G203" s="41" t="n">
        <f aca="false">DCF!$D$57</f>
        <v>0.0902</v>
      </c>
      <c r="H203" s="41" t="n">
        <f aca="false">DCF!$D$57</f>
        <v>0.0902</v>
      </c>
      <c r="I203" s="41" t="n">
        <f aca="false">DCF!$D$57</f>
        <v>0.0902</v>
      </c>
      <c r="J203" s="41" t="n">
        <f aca="false">DCF!$D$57</f>
        <v>0.0902</v>
      </c>
      <c r="K203" s="41" t="n">
        <f aca="false">DCF!$D$57</f>
        <v>0.0902</v>
      </c>
      <c r="L203" s="11"/>
      <c r="M203" s="11"/>
      <c r="N203" s="11"/>
      <c r="O203" s="11"/>
    </row>
    <row r="204" customFormat="false" ht="14.25" hidden="false" customHeight="true" outlineLevel="0" collapsed="false">
      <c r="C204" s="27" t="s">
        <v>2133</v>
      </c>
      <c r="D204" s="110" t="n">
        <f aca="false">D201-D203</f>
        <v>0.0238343158820941</v>
      </c>
      <c r="E204" s="110" t="n">
        <f aca="false">E201-E203</f>
        <v>0.0304307434368302</v>
      </c>
      <c r="F204" s="110" t="n">
        <f aca="false">F201-F203</f>
        <v>0.0382541565498902</v>
      </c>
      <c r="G204" s="110" t="n">
        <f aca="false">G201-G203</f>
        <v>0.0395149164121575</v>
      </c>
      <c r="H204" s="110" t="n">
        <f aca="false">H201-H203</f>
        <v>0.0292593096723985</v>
      </c>
      <c r="I204" s="110" t="n">
        <f aca="false">I201-I203</f>
        <v>0.0273768170963132</v>
      </c>
      <c r="J204" s="110" t="n">
        <f aca="false">J201-J203</f>
        <v>0.0249381210497984</v>
      </c>
      <c r="K204" s="110" t="n">
        <f aca="false">K201-K203</f>
        <v>0.0173737193221388</v>
      </c>
      <c r="L204" s="11"/>
      <c r="M204" s="11"/>
      <c r="N204" s="11"/>
      <c r="O204" s="11"/>
    </row>
    <row r="205" customFormat="false" ht="14.25" hidden="false" customHeight="true" outlineLevel="0" collapsed="false">
      <c r="C205" s="11"/>
      <c r="D205" s="11"/>
      <c r="E205" s="11"/>
      <c r="F205" s="11"/>
      <c r="G205" s="11"/>
      <c r="H205" s="11"/>
      <c r="I205" s="11"/>
      <c r="J205" s="11"/>
      <c r="K205" s="11"/>
      <c r="L205" s="11"/>
      <c r="M205" s="11"/>
      <c r="N205" s="11"/>
      <c r="O205" s="11"/>
    </row>
    <row r="206" customFormat="false" ht="14.25" hidden="false" customHeight="true" outlineLevel="0" collapsed="false">
      <c r="C206" s="27" t="s">
        <v>2134</v>
      </c>
      <c r="D206" s="11"/>
      <c r="E206" s="11"/>
      <c r="F206" s="11"/>
      <c r="G206" s="11"/>
      <c r="H206" s="11"/>
      <c r="I206" s="11"/>
      <c r="J206" s="11"/>
      <c r="K206" s="11"/>
      <c r="L206" s="11"/>
      <c r="M206" s="11"/>
      <c r="N206" s="11"/>
      <c r="O206" s="11"/>
    </row>
    <row r="207" customFormat="false" ht="14.25" hidden="false" customHeight="true" outlineLevel="0" collapsed="false">
      <c r="C207" s="17" t="s">
        <v>2135</v>
      </c>
      <c r="D207" s="122" t="n">
        <f aca="false">(D201-Drivers!$C$704)/(DCF!$D$57-Drivers!$C$704)</f>
        <v>1.3395201692606</v>
      </c>
      <c r="E207" s="122" t="n">
        <f aca="false">(E201-Drivers!$C$704)/(DCF!$D$57-Drivers!$C$704)</f>
        <v>1.43348637374402</v>
      </c>
      <c r="F207" s="122" t="n">
        <f aca="false">(F201-Drivers!$C$704)/(DCF!$D$57-Drivers!$C$704)</f>
        <v>1.54493100498419</v>
      </c>
      <c r="G207" s="122" t="n">
        <f aca="false">(G201-Drivers!$C$704)/(DCF!$D$57-Drivers!$C$704)</f>
        <v>1.56289054718173</v>
      </c>
      <c r="H207" s="122" t="n">
        <f aca="false">(H201-Drivers!$C$781)/(DCF!$D$57-Drivers!$C$781)</f>
        <v>1.73148274180996</v>
      </c>
      <c r="I207" s="122" t="n">
        <f aca="false">(I201-Drivers!$C$704)/(DCF!$D$57-Drivers!$C$704)</f>
        <v>1.38998314952013</v>
      </c>
      <c r="J207" s="122" t="n">
        <f aca="false">(J201-Drivers!$C$704)/(DCF!$D$57-Drivers!$C$704)</f>
        <v>1.35524388959827</v>
      </c>
      <c r="K207" s="122" t="n">
        <f aca="false">(K201-Drivers!$C$704)/(DCF!$D$57-Drivers!$C$704)</f>
        <v>1.24748887923275</v>
      </c>
      <c r="L207" s="11"/>
      <c r="M207" s="11"/>
      <c r="N207" s="11"/>
      <c r="O207" s="11"/>
    </row>
    <row r="208" customFormat="false" ht="14.25" hidden="false" customHeight="true" outlineLevel="0" collapsed="false">
      <c r="C208" s="17" t="s">
        <v>2136</v>
      </c>
      <c r="D208" s="64" t="n">
        <f aca="false">D185/(Historicals!G35/Historicals!G36)</f>
        <v>62.4373456790123</v>
      </c>
      <c r="E208" s="64" t="n">
        <f aca="false">E185/(Historicals!H35/Historicals!H36)</f>
        <v>66.7651020408163</v>
      </c>
      <c r="F208" s="64" t="n">
        <f aca="false">F185/(Historicals!I35/Historicals!I36)</f>
        <v>75.261206120612</v>
      </c>
      <c r="G208" s="64" t="n">
        <f aca="false">G185/'3 Statement Forecast'!E32</f>
        <v>81.8140274885014</v>
      </c>
      <c r="H208" s="64" t="n">
        <f aca="false">H185/'3 Statement Forecast'!F32</f>
        <v>87.222696515239</v>
      </c>
      <c r="I208" s="64" t="n">
        <f aca="false">I185/'3 Statement Forecast'!G32</f>
        <v>93.1493067099929</v>
      </c>
      <c r="J208" s="64" t="n">
        <f aca="false">J185/'3 Statement Forecast'!H32</f>
        <v>99.5831153879499</v>
      </c>
      <c r="K208" s="64" t="n">
        <f aca="false">K185/'3 Statement Forecast'!I32</f>
        <v>105.995188844904</v>
      </c>
      <c r="L208" s="11"/>
      <c r="M208" s="11"/>
      <c r="N208" s="11"/>
      <c r="O208" s="11"/>
    </row>
    <row r="209" customFormat="false" ht="14.25" hidden="false" customHeight="true" outlineLevel="0" collapsed="false">
      <c r="C209" s="17" t="s">
        <v>2137</v>
      </c>
      <c r="D209" s="122" t="n">
        <f aca="false">Drivers!$C$179/D208</f>
        <v>2.60709353079878</v>
      </c>
      <c r="E209" s="122" t="n">
        <f aca="false">Drivers!$C$179/E208</f>
        <v>2.43810007061003</v>
      </c>
      <c r="F209" s="122" t="n">
        <f aca="false">Drivers!$C$179/F208</f>
        <v>2.16286727771984</v>
      </c>
      <c r="G209" s="122" t="n">
        <f aca="false">Drivers!$C$179/G208</f>
        <v>1.98963435729745</v>
      </c>
      <c r="H209" s="122" t="n">
        <f aca="false">Drivers!$C$179/H208</f>
        <v>1.86625736767448</v>
      </c>
      <c r="I209" s="122" t="n">
        <f aca="false">Drivers!$C$179/I208</f>
        <v>1.74751703205685</v>
      </c>
      <c r="J209" s="122" t="n">
        <f aca="false">Drivers!$C$179/J208</f>
        <v>1.63461445613397</v>
      </c>
      <c r="K209" s="122" t="n">
        <f aca="false">Drivers!$C$179/K208</f>
        <v>1.53573008146799</v>
      </c>
      <c r="L209" s="11"/>
      <c r="M209" s="11"/>
      <c r="N209" s="11"/>
      <c r="O209" s="11"/>
    </row>
    <row r="210" customFormat="false" ht="14.25" hidden="false" customHeight="true" outlineLevel="0" collapsed="false">
      <c r="C210" s="27" t="s">
        <v>2138</v>
      </c>
      <c r="D210" s="123" t="n">
        <f aca="false">D209-D207</f>
        <v>1.26757336153818</v>
      </c>
      <c r="E210" s="123" t="n">
        <f aca="false">E209-E207</f>
        <v>1.00461369686601</v>
      </c>
      <c r="F210" s="123" t="n">
        <f aca="false">F209-F207</f>
        <v>0.61793627273565</v>
      </c>
      <c r="G210" s="123" t="n">
        <f aca="false">G209-G207</f>
        <v>0.426743810115715</v>
      </c>
      <c r="H210" s="123" t="n">
        <f aca="false">H209-H207</f>
        <v>0.13477462586452</v>
      </c>
      <c r="I210" s="123" t="n">
        <f aca="false">I209-I207</f>
        <v>0.357533882536719</v>
      </c>
      <c r="J210" s="123" t="n">
        <f aca="false">J209-J207</f>
        <v>0.279370566535701</v>
      </c>
      <c r="K210" s="123" t="n">
        <f aca="false">K209-K207</f>
        <v>0.288241202235245</v>
      </c>
      <c r="L210" s="11"/>
      <c r="M210" s="11"/>
      <c r="N210" s="11"/>
      <c r="O210" s="11"/>
    </row>
    <row r="211" customFormat="false" ht="14.25" hidden="false" customHeight="true" outlineLevel="0" collapsed="false">
      <c r="C211" s="11"/>
      <c r="D211" s="11"/>
      <c r="E211" s="11"/>
      <c r="F211" s="11"/>
      <c r="G211" s="11"/>
      <c r="H211" s="11"/>
      <c r="I211" s="11"/>
      <c r="J211" s="11"/>
      <c r="K211" s="11"/>
      <c r="L211" s="11"/>
      <c r="M211" s="124" t="s">
        <v>2139</v>
      </c>
      <c r="N211" s="11"/>
      <c r="O211" s="124" t="s">
        <v>2140</v>
      </c>
    </row>
    <row r="212" customFormat="false" ht="14.25" hidden="false" customHeight="true" outlineLevel="0" collapsed="false">
      <c r="C212" s="27" t="s">
        <v>2141</v>
      </c>
      <c r="D212" s="11"/>
      <c r="E212" s="11"/>
      <c r="F212" s="11"/>
      <c r="G212" s="11"/>
      <c r="H212" s="11"/>
      <c r="I212" s="11"/>
      <c r="J212" s="11"/>
      <c r="K212" s="11"/>
      <c r="L212" s="11"/>
      <c r="M212" s="11"/>
      <c r="N212" s="44" t="n">
        <v>8.62</v>
      </c>
      <c r="O212" s="44" t="n">
        <v>2.182819</v>
      </c>
    </row>
    <row r="213" customFormat="false" ht="14.25" hidden="false" customHeight="true" outlineLevel="0" collapsed="false">
      <c r="C213" s="17" t="s">
        <v>2142</v>
      </c>
      <c r="D213" s="125" t="s">
        <v>2143</v>
      </c>
      <c r="E213" s="11"/>
      <c r="F213" s="11"/>
      <c r="G213" s="11"/>
      <c r="H213" s="11"/>
      <c r="I213" s="11"/>
      <c r="J213" s="11"/>
      <c r="K213" s="11"/>
      <c r="L213" s="11"/>
      <c r="M213" s="11"/>
      <c r="N213" s="44" t="n">
        <v>8.69</v>
      </c>
      <c r="O213" s="44" t="n">
        <v>2.260367</v>
      </c>
    </row>
    <row r="214" customFormat="false" ht="14.25" hidden="false" customHeight="true" outlineLevel="0" collapsed="false">
      <c r="C214" s="17" t="s">
        <v>2144</v>
      </c>
      <c r="D214" s="125" t="s">
        <v>2145</v>
      </c>
      <c r="E214" s="11"/>
      <c r="F214" s="11"/>
      <c r="G214" s="11"/>
      <c r="H214" s="11"/>
      <c r="I214" s="11"/>
      <c r="J214" s="11"/>
      <c r="K214" s="11"/>
      <c r="L214" s="11"/>
      <c r="M214" s="11"/>
      <c r="N214" s="44" t="n">
        <v>8.92</v>
      </c>
      <c r="O214" s="44" t="n">
        <v>1.875751</v>
      </c>
    </row>
    <row r="215" customFormat="false" ht="14.25" hidden="false" customHeight="true" outlineLevel="0" collapsed="false">
      <c r="C215" s="11"/>
      <c r="D215" s="11"/>
      <c r="E215" s="11"/>
      <c r="F215" s="11"/>
      <c r="G215" s="11"/>
      <c r="H215" s="11"/>
      <c r="I215" s="11"/>
      <c r="J215" s="11"/>
      <c r="K215" s="11"/>
      <c r="L215" s="11"/>
      <c r="M215" s="11"/>
      <c r="N215" s="44" t="n">
        <v>8.98</v>
      </c>
      <c r="O215" s="44" t="n">
        <v>1.847867</v>
      </c>
    </row>
    <row r="216" customFormat="false" ht="14.25" hidden="false" customHeight="true" outlineLevel="0" collapsed="false">
      <c r="C216" s="126" t="s">
        <v>2146</v>
      </c>
      <c r="D216" s="11"/>
      <c r="E216" s="11"/>
      <c r="F216" s="11"/>
      <c r="G216" s="11"/>
      <c r="H216" s="11"/>
      <c r="I216" s="11"/>
      <c r="J216" s="11"/>
      <c r="K216" s="11"/>
      <c r="L216" s="11"/>
      <c r="M216" s="11"/>
      <c r="N216" s="44" t="n">
        <v>9.19</v>
      </c>
      <c r="O216" s="44" t="n">
        <v>1.827743</v>
      </c>
    </row>
    <row r="217" customFormat="false" ht="14.25" hidden="false" customHeight="true" outlineLevel="0" collapsed="false">
      <c r="C217" s="11"/>
      <c r="D217" s="11"/>
      <c r="E217" s="11"/>
      <c r="F217" s="11"/>
      <c r="G217" s="11"/>
      <c r="H217" s="11"/>
      <c r="I217" s="11"/>
      <c r="J217" s="11"/>
      <c r="K217" s="11"/>
      <c r="L217" s="11"/>
      <c r="M217" s="11"/>
      <c r="N217" s="44" t="n">
        <v>9.13</v>
      </c>
      <c r="O217" s="44" t="n">
        <v>1.489341</v>
      </c>
    </row>
    <row r="218" customFormat="false" ht="14.25" hidden="false" customHeight="true" outlineLevel="0" collapsed="false">
      <c r="C218" s="11"/>
      <c r="D218" s="11"/>
      <c r="E218" s="11"/>
      <c r="F218" s="11"/>
      <c r="G218" s="11"/>
      <c r="H218" s="11"/>
      <c r="I218" s="11"/>
      <c r="J218" s="11"/>
      <c r="K218" s="11"/>
      <c r="L218" s="11"/>
      <c r="M218" s="11"/>
      <c r="N218" s="44" t="n">
        <v>9.22</v>
      </c>
      <c r="O218" s="44" t="n">
        <v>1.572621</v>
      </c>
    </row>
    <row r="219" customFormat="false" ht="14.25" hidden="false" customHeight="true" outlineLevel="0" collapsed="false">
      <c r="B219" s="127" t="s">
        <v>2147</v>
      </c>
      <c r="C219" s="11"/>
      <c r="D219" s="11"/>
      <c r="E219" s="11"/>
      <c r="F219" s="11"/>
      <c r="G219" s="11"/>
      <c r="H219" s="11"/>
      <c r="I219" s="11"/>
      <c r="J219" s="11"/>
      <c r="K219" s="11"/>
      <c r="L219" s="11"/>
      <c r="M219" s="11"/>
      <c r="N219" s="44" t="n">
        <v>9.3</v>
      </c>
      <c r="O219" s="44" t="n">
        <v>1.449869</v>
      </c>
    </row>
    <row r="220" customFormat="false" ht="14.25" hidden="false" customHeight="true" outlineLevel="0" collapsed="false">
      <c r="B220" s="1" t="s">
        <v>2148</v>
      </c>
      <c r="C220" s="11"/>
      <c r="D220" s="11"/>
      <c r="E220" s="11"/>
      <c r="F220" s="11"/>
      <c r="G220" s="11"/>
      <c r="H220" s="11"/>
      <c r="I220" s="11"/>
      <c r="J220" s="11"/>
      <c r="K220" s="11"/>
      <c r="L220" s="11"/>
      <c r="M220" s="11"/>
      <c r="N220" s="44" t="n">
        <v>9.35</v>
      </c>
      <c r="O220" s="44" t="n">
        <v>1.313992</v>
      </c>
    </row>
    <row r="221" customFormat="false" ht="14.25" hidden="false" customHeight="true" outlineLevel="0" collapsed="false">
      <c r="C221" s="128" t="s">
        <v>2149</v>
      </c>
      <c r="D221" s="128" t="s">
        <v>2150</v>
      </c>
      <c r="E221" s="128" t="s">
        <v>2151</v>
      </c>
      <c r="F221" s="128" t="s">
        <v>2152</v>
      </c>
      <c r="G221" s="128" t="s">
        <v>2153</v>
      </c>
      <c r="H221" s="11"/>
      <c r="I221" s="11"/>
      <c r="J221" s="11"/>
      <c r="K221" s="11"/>
      <c r="L221" s="11"/>
      <c r="M221" s="11"/>
      <c r="N221" s="44" t="n">
        <v>9.27</v>
      </c>
      <c r="O221" s="44" t="n">
        <v>1.80292</v>
      </c>
    </row>
    <row r="222" customFormat="false" ht="14.25" hidden="false" customHeight="true" outlineLevel="0" collapsed="false">
      <c r="C222" s="11" t="s">
        <v>2154</v>
      </c>
      <c r="D222" s="112" t="n">
        <f aca="false">I69</f>
        <v>167.661418219471</v>
      </c>
      <c r="E222" s="129" t="n">
        <v>0.3</v>
      </c>
      <c r="F222" s="11" t="n">
        <f aca="false">D222*E222</f>
        <v>50.2984254658414</v>
      </c>
      <c r="G222" s="11" t="s">
        <v>2155</v>
      </c>
      <c r="H222" s="11"/>
      <c r="I222" s="11"/>
      <c r="J222" s="11"/>
      <c r="K222" s="11"/>
      <c r="L222" s="11"/>
      <c r="M222" s="11"/>
      <c r="N222" s="44" t="n">
        <v>9.37</v>
      </c>
      <c r="O222" s="44" t="n">
        <v>1.39496</v>
      </c>
    </row>
    <row r="223" customFormat="false" ht="14.25" hidden="false" customHeight="true" outlineLevel="0" collapsed="false">
      <c r="C223" s="11" t="s">
        <v>2156</v>
      </c>
      <c r="D223" s="111" t="n">
        <f aca="false">NAV!D168</f>
        <v>169.738951211227</v>
      </c>
      <c r="E223" s="129" t="n">
        <v>0.35</v>
      </c>
      <c r="F223" s="11" t="n">
        <f aca="false">D223*E223</f>
        <v>59.4086329239293</v>
      </c>
      <c r="G223" s="11" t="s">
        <v>2157</v>
      </c>
      <c r="H223" s="11"/>
      <c r="I223" s="11"/>
      <c r="J223" s="11"/>
      <c r="K223" s="11"/>
      <c r="L223" s="11"/>
      <c r="M223" s="11"/>
      <c r="N223" s="44" t="n">
        <v>9.17</v>
      </c>
      <c r="O223" s="44" t="n">
        <v>1.935466</v>
      </c>
    </row>
    <row r="224" customFormat="false" ht="14.25" hidden="false" customHeight="true" outlineLevel="0" collapsed="false">
      <c r="C224" s="11" t="s">
        <v>2158</v>
      </c>
      <c r="D224" s="11" t="n">
        <f aca="false">H207*H208</f>
        <v>151.024593710264</v>
      </c>
      <c r="E224" s="129" t="n">
        <v>0.35</v>
      </c>
      <c r="F224" s="11" t="n">
        <f aca="false">D224*E224</f>
        <v>52.8586077985924</v>
      </c>
      <c r="G224" s="11" t="s">
        <v>2159</v>
      </c>
      <c r="H224" s="11"/>
      <c r="I224" s="11"/>
      <c r="J224" s="11"/>
      <c r="K224" s="11"/>
      <c r="L224" s="11"/>
      <c r="M224" s="11"/>
      <c r="N224" s="44" t="n">
        <v>9.11</v>
      </c>
      <c r="O224" s="44" t="n">
        <v>1.712935</v>
      </c>
    </row>
    <row r="225" customFormat="false" ht="14.25" hidden="false" customHeight="true" outlineLevel="0" collapsed="false">
      <c r="C225" s="11" t="s">
        <v>2160</v>
      </c>
      <c r="D225" s="11" t="n">
        <f aca="false">'Residual Income'!D45</f>
        <v>93.4605263806057</v>
      </c>
      <c r="E225" s="129" t="n">
        <v>0</v>
      </c>
      <c r="F225" s="11" t="n">
        <f aca="false">D225*E225</f>
        <v>0</v>
      </c>
      <c r="G225" s="11" t="s">
        <v>2161</v>
      </c>
      <c r="H225" s="11"/>
      <c r="I225" s="11"/>
      <c r="J225" s="11"/>
      <c r="K225" s="11"/>
      <c r="L225" s="11"/>
      <c r="M225" s="11"/>
      <c r="N225" s="44" t="n">
        <v>9.03</v>
      </c>
      <c r="O225" s="44" t="n">
        <v>1.632152</v>
      </c>
    </row>
    <row r="226" customFormat="false" ht="14.25" hidden="false" customHeight="true" outlineLevel="0" collapsed="false">
      <c r="C226" s="11" t="s">
        <v>2162</v>
      </c>
      <c r="D226" s="111" t="n">
        <f aca="false">'Peer P-B vs ROE'!D80</f>
        <v>162.177052956792</v>
      </c>
      <c r="E226" s="129" t="n">
        <v>0</v>
      </c>
      <c r="F226" s="11" t="n">
        <f aca="false">D226*E226</f>
        <v>0</v>
      </c>
      <c r="G226" s="11" t="s">
        <v>2163</v>
      </c>
      <c r="H226" s="11"/>
      <c r="I226" s="11"/>
      <c r="J226" s="11"/>
      <c r="K226" s="11"/>
      <c r="L226" s="11"/>
      <c r="M226" s="11"/>
      <c r="N226" s="44" t="n">
        <v>9.02</v>
      </c>
      <c r="O226" s="44" t="n">
        <v>1.806859</v>
      </c>
    </row>
    <row r="227" customFormat="false" ht="14.25" hidden="false" customHeight="true" outlineLevel="0" collapsed="false">
      <c r="C227" s="11" t="s">
        <v>2164</v>
      </c>
      <c r="D227" s="111" t="n">
        <f aca="false">DCF!D118</f>
        <v>458.930130203241</v>
      </c>
      <c r="E227" s="129" t="n">
        <v>0</v>
      </c>
      <c r="F227" s="11" t="n">
        <f aca="false">D227*E227</f>
        <v>0</v>
      </c>
      <c r="G227" s="11" t="s">
        <v>2165</v>
      </c>
      <c r="H227" s="11"/>
      <c r="I227" s="11"/>
      <c r="J227" s="11"/>
      <c r="K227" s="11"/>
      <c r="L227" s="11"/>
      <c r="M227" s="11"/>
      <c r="N227" s="44" t="n">
        <v>9.25</v>
      </c>
      <c r="O227" s="44" t="n">
        <v>1.468615</v>
      </c>
    </row>
    <row r="228" customFormat="false" ht="14.25" hidden="false" customHeight="true" outlineLevel="0" collapsed="false">
      <c r="C228" s="11" t="s">
        <v>2166</v>
      </c>
      <c r="D228" s="11"/>
      <c r="E228" s="128" t="n">
        <f aca="false">SUM(E222:E227)</f>
        <v>1</v>
      </c>
      <c r="F228" s="11"/>
      <c r="G228" s="11"/>
      <c r="H228" s="11"/>
      <c r="I228" s="11"/>
      <c r="J228" s="11"/>
      <c r="K228" s="11"/>
      <c r="L228" s="11"/>
      <c r="M228" s="11"/>
      <c r="N228" s="44" t="n">
        <v>9.19</v>
      </c>
      <c r="O228" s="44" t="n">
        <v>1.202086</v>
      </c>
    </row>
    <row r="229" customFormat="false" ht="14.25" hidden="false" customHeight="true" outlineLevel="0" collapsed="false">
      <c r="C229" s="11" t="s">
        <v>2167</v>
      </c>
      <c r="D229" s="128" t="n">
        <f aca="false">SUMPRODUCT(D222:D227,E222:E227)</f>
        <v>162.565666188363</v>
      </c>
      <c r="E229" s="11"/>
      <c r="F229" s="11"/>
      <c r="G229" s="11"/>
      <c r="H229" s="11"/>
      <c r="I229" s="11"/>
      <c r="J229" s="11"/>
      <c r="K229" s="11"/>
      <c r="L229" s="11"/>
      <c r="M229" s="11"/>
      <c r="N229" s="44" t="n">
        <v>9.43</v>
      </c>
      <c r="O229" s="44" t="n">
        <v>1.341849</v>
      </c>
    </row>
    <row r="230" customFormat="false" ht="14.25" hidden="false" customHeight="true" outlineLevel="0" collapsed="false">
      <c r="C230" s="11" t="s">
        <v>2168</v>
      </c>
      <c r="D230" s="112" t="n">
        <f aca="false">D222</f>
        <v>167.661418219471</v>
      </c>
      <c r="E230" s="11"/>
      <c r="F230" s="11"/>
      <c r="G230" s="11" t="s">
        <v>2169</v>
      </c>
      <c r="H230" s="11"/>
      <c r="I230" s="11"/>
      <c r="J230" s="11"/>
      <c r="K230" s="11"/>
      <c r="L230" s="11"/>
      <c r="M230" s="11"/>
      <c r="N230" s="44" t="n">
        <v>9.77</v>
      </c>
      <c r="O230" s="44" t="n">
        <v>1.528463</v>
      </c>
    </row>
    <row r="231" customFormat="false" ht="14.25" hidden="false" customHeight="true" outlineLevel="0" collapsed="false">
      <c r="C231" s="11"/>
      <c r="D231" s="11"/>
      <c r="E231" s="11"/>
      <c r="F231" s="11"/>
      <c r="G231" s="11"/>
      <c r="H231" s="11"/>
      <c r="I231" s="11"/>
      <c r="J231" s="11"/>
      <c r="K231" s="11"/>
      <c r="L231" s="11"/>
      <c r="M231" s="11"/>
      <c r="N231" s="44" t="n">
        <v>9.79</v>
      </c>
      <c r="O231" s="44" t="n">
        <v>1.937263</v>
      </c>
    </row>
    <row r="232" customFormat="false" ht="14.25" hidden="false" customHeight="true" outlineLevel="0" collapsed="false">
      <c r="B232" s="127" t="s">
        <v>2170</v>
      </c>
      <c r="C232" s="11"/>
      <c r="D232" s="11"/>
      <c r="E232" s="11"/>
      <c r="F232" s="11"/>
      <c r="G232" s="11"/>
      <c r="H232" s="11"/>
      <c r="I232" s="11"/>
      <c r="J232" s="11"/>
      <c r="K232" s="11"/>
      <c r="L232" s="11"/>
      <c r="M232" s="11"/>
      <c r="N232" s="44" t="n">
        <v>9.78</v>
      </c>
      <c r="O232" s="44" t="n">
        <v>1.786467</v>
      </c>
    </row>
    <row r="233" customFormat="false" ht="14.25" hidden="false" customHeight="true" outlineLevel="0" collapsed="false">
      <c r="C233" s="128" t="s">
        <v>2171</v>
      </c>
      <c r="D233" s="128" t="s">
        <v>2172</v>
      </c>
      <c r="E233" s="128" t="s">
        <v>2173</v>
      </c>
      <c r="F233" s="128" t="s">
        <v>2174</v>
      </c>
      <c r="G233" s="11"/>
      <c r="H233" s="11"/>
      <c r="I233" s="11"/>
      <c r="J233" s="11"/>
      <c r="K233" s="11"/>
      <c r="L233" s="11"/>
      <c r="M233" s="11"/>
      <c r="N233" s="44" t="n">
        <v>9.53</v>
      </c>
      <c r="O233" s="44" t="n">
        <v>1.354536</v>
      </c>
    </row>
    <row r="234" customFormat="false" ht="14.25" hidden="false" customHeight="true" outlineLevel="0" collapsed="false">
      <c r="C234" s="11" t="s">
        <v>2175</v>
      </c>
      <c r="D234" s="11" t="n">
        <f aca="false">((H201-Drivers!$C$781)/(D236-Drivers!$C$781))*H208</f>
        <v>202.717575450019</v>
      </c>
      <c r="E234" s="11" t="n">
        <f aca="false">((H201-Drivers!$C$781)/(E236-Drivers!$C$781))*H208</f>
        <v>151.783511266597</v>
      </c>
      <c r="F234" s="11" t="n">
        <f aca="false">((H201-Drivers!$C$781)/(F236-Drivers!$C$781))*H208</f>
        <v>121.304894546397</v>
      </c>
      <c r="G234" s="11"/>
      <c r="H234" s="11"/>
      <c r="I234" s="11"/>
      <c r="J234" s="11"/>
      <c r="K234" s="11"/>
      <c r="L234" s="11"/>
      <c r="M234" s="11"/>
      <c r="N234" s="44" t="n">
        <v>9.4</v>
      </c>
      <c r="O234" s="44" t="n">
        <v>1.550134</v>
      </c>
    </row>
    <row r="235" customFormat="false" ht="14.25" hidden="false" customHeight="true" outlineLevel="0" collapsed="false">
      <c r="C235" s="11" t="s">
        <v>2176</v>
      </c>
      <c r="D235" s="11" t="n">
        <f aca="false">0.3*D222+0.35*D223+0.35*D234</f>
        <v>180.658209797277</v>
      </c>
      <c r="E235" s="11" t="n">
        <f aca="false">0.3*D222+0.35*D223+0.35*E234</f>
        <v>162.83128733308</v>
      </c>
      <c r="F235" s="11" t="n">
        <f aca="false">0.3*D222+0.35*D223+0.35*F234</f>
        <v>152.16377148101</v>
      </c>
      <c r="G235" s="11"/>
      <c r="H235" s="11"/>
      <c r="I235" s="11"/>
      <c r="J235" s="11"/>
      <c r="K235" s="11"/>
      <c r="L235" s="11"/>
      <c r="M235" s="11"/>
      <c r="N235" s="44" t="n">
        <v>9.32</v>
      </c>
      <c r="O235" s="44" t="n">
        <v>1.39631</v>
      </c>
    </row>
    <row r="236" customFormat="false" ht="14.25" hidden="false" customHeight="true" outlineLevel="0" collapsed="false">
      <c r="C236" s="11" t="s">
        <v>2177</v>
      </c>
      <c r="D236" s="129" t="n">
        <v>0.08</v>
      </c>
      <c r="E236" s="129" t="n">
        <v>0.09</v>
      </c>
      <c r="F236" s="129" t="n">
        <v>0.1</v>
      </c>
      <c r="G236" s="11" t="s">
        <v>2178</v>
      </c>
      <c r="H236" s="11"/>
      <c r="I236" s="11"/>
      <c r="J236" s="11"/>
      <c r="K236" s="11"/>
      <c r="L236" s="11"/>
      <c r="M236" s="11"/>
      <c r="N236" s="44" t="n">
        <v>9.22</v>
      </c>
      <c r="O236" s="44" t="n">
        <v>1.800127</v>
      </c>
    </row>
    <row r="237" customFormat="false" ht="14.25" hidden="false" customHeight="true" outlineLevel="0" collapsed="false">
      <c r="C237" s="11"/>
      <c r="D237" s="11"/>
      <c r="E237" s="11"/>
      <c r="F237" s="11"/>
      <c r="G237" s="11"/>
      <c r="H237" s="11"/>
      <c r="I237" s="11"/>
      <c r="J237" s="11"/>
      <c r="K237" s="11"/>
      <c r="L237" s="11"/>
      <c r="M237" s="11"/>
      <c r="N237" s="44" t="n">
        <v>9.25</v>
      </c>
      <c r="O237" s="11"/>
    </row>
    <row r="238" customFormat="false" ht="14.25" hidden="false" customHeight="true" outlineLevel="0" collapsed="false">
      <c r="B238" s="1" t="s">
        <v>2179</v>
      </c>
      <c r="C238" s="11"/>
      <c r="D238" s="11"/>
      <c r="E238" s="11"/>
      <c r="F238" s="11"/>
      <c r="G238" s="11"/>
      <c r="H238" s="11"/>
      <c r="I238" s="11"/>
      <c r="J238" s="11"/>
      <c r="K238" s="11"/>
      <c r="L238" s="11"/>
      <c r="M238" s="11"/>
      <c r="N238" s="44" t="n">
        <v>9.06</v>
      </c>
      <c r="O238" s="11"/>
    </row>
    <row r="239" customFormat="false" ht="14.25" hidden="false" customHeight="true" outlineLevel="0" collapsed="false">
      <c r="C239" s="11" t="s">
        <v>2180</v>
      </c>
      <c r="D239" s="11" t="s">
        <v>2181</v>
      </c>
      <c r="E239" s="11" t="s">
        <v>2182</v>
      </c>
      <c r="F239" s="11" t="s">
        <v>2183</v>
      </c>
      <c r="G239" s="11" t="s">
        <v>2184</v>
      </c>
      <c r="H239" s="11"/>
      <c r="I239" s="11"/>
      <c r="J239" s="11"/>
      <c r="K239" s="11"/>
      <c r="L239" s="11"/>
      <c r="M239" s="11"/>
      <c r="N239" s="44" t="n">
        <v>9.02</v>
      </c>
      <c r="O239" s="11"/>
    </row>
    <row r="240" customFormat="false" ht="14.25" hidden="false" customHeight="true" outlineLevel="0" collapsed="false">
      <c r="C240" s="11" t="s">
        <v>2185</v>
      </c>
      <c r="D240" s="129" t="n">
        <v>0.02</v>
      </c>
      <c r="E240" s="129" t="n">
        <v>0.04</v>
      </c>
      <c r="F240" s="11" t="n">
        <f aca="false">Drivers!$C$781</f>
        <v>0.0502</v>
      </c>
      <c r="G240" s="129" t="n">
        <v>0.05</v>
      </c>
      <c r="H240" s="11"/>
      <c r="I240" s="11"/>
      <c r="J240" s="11"/>
      <c r="K240" s="11"/>
      <c r="L240" s="11"/>
      <c r="M240" s="11"/>
      <c r="N240" s="44" t="n">
        <v>9.21</v>
      </c>
      <c r="O240" s="11"/>
    </row>
    <row r="241" customFormat="false" ht="14.25" hidden="false" customHeight="true" outlineLevel="0" collapsed="false">
      <c r="C241" s="11" t="s">
        <v>2175</v>
      </c>
      <c r="D241" s="11" t="n">
        <f aca="false">((H201-D240)/(DCF!$D$57-D240))*H208</f>
        <v>123.577053891322</v>
      </c>
      <c r="E241" s="11" t="n">
        <f aca="false">((H201-E240)/(DCF!$D$57-E240))*H208</f>
        <v>138.060861610877</v>
      </c>
      <c r="F241" s="11" t="n">
        <f aca="false">((H201-F240)/(DCF!$D$57-F240))*H208</f>
        <v>151.024593710264</v>
      </c>
      <c r="G241" s="11" t="n">
        <f aca="false">((H201-G240)/(DCF!$D$57-G240))*H208</f>
        <v>150.70717133616</v>
      </c>
      <c r="H241" s="11"/>
      <c r="I241" s="11"/>
      <c r="J241" s="11"/>
      <c r="K241" s="11"/>
      <c r="L241" s="11"/>
      <c r="M241" s="11"/>
      <c r="N241" s="44" t="n">
        <v>9.45</v>
      </c>
      <c r="O241" s="11"/>
    </row>
    <row r="242" customFormat="false" ht="14.25" hidden="false" customHeight="true" outlineLevel="0" collapsed="false">
      <c r="C242" s="11" t="s">
        <v>2186</v>
      </c>
      <c r="D242" s="11" t="n">
        <f aca="false">0.3*D222+0.35*D223+0.35*D241</f>
        <v>152.959027251733</v>
      </c>
      <c r="E242" s="11" t="n">
        <f aca="false">0.3*D222+0.35*D223+0.35*E241</f>
        <v>158.028359953577</v>
      </c>
      <c r="F242" s="11" t="n">
        <f aca="false">0.3*D222+0.35*D223+0.35*F241</f>
        <v>162.565666188363</v>
      </c>
      <c r="G242" s="11" t="n">
        <f aca="false">0.3*D222+0.35*D223+0.35*G241</f>
        <v>162.454568357427</v>
      </c>
      <c r="H242" s="11"/>
      <c r="I242" s="11"/>
      <c r="J242" s="11"/>
      <c r="K242" s="11"/>
      <c r="L242" s="11"/>
      <c r="M242" s="11"/>
      <c r="N242" s="44" t="n">
        <v>9.68</v>
      </c>
      <c r="O242" s="11"/>
    </row>
    <row r="243" customFormat="false" ht="14.25" hidden="false" customHeight="true" outlineLevel="0" collapsed="false">
      <c r="C243" s="11" t="s">
        <v>2187</v>
      </c>
      <c r="D243" s="11"/>
      <c r="E243" s="11"/>
      <c r="F243" s="11"/>
      <c r="G243" s="11"/>
      <c r="H243" s="11"/>
      <c r="I243" s="11"/>
      <c r="J243" s="11"/>
      <c r="K243" s="11"/>
      <c r="L243" s="11"/>
      <c r="M243" s="11"/>
      <c r="N243" s="44" t="n">
        <v>9.62</v>
      </c>
      <c r="O243" s="11"/>
    </row>
    <row r="244" customFormat="false" ht="14.25" hidden="false" customHeight="true" outlineLevel="0" collapsed="false">
      <c r="C244" s="11"/>
      <c r="D244" s="11"/>
      <c r="E244" s="11"/>
      <c r="F244" s="11"/>
      <c r="G244" s="11"/>
      <c r="H244" s="11"/>
      <c r="I244" s="11"/>
      <c r="J244" s="11"/>
      <c r="K244" s="11"/>
      <c r="L244" s="11"/>
      <c r="M244" s="11"/>
      <c r="N244" s="44" t="n">
        <v>10.31</v>
      </c>
      <c r="O244" s="11"/>
    </row>
    <row r="245" customFormat="false" ht="14.25" hidden="false" customHeight="true" outlineLevel="0" collapsed="false">
      <c r="B245" s="1" t="s">
        <v>2188</v>
      </c>
      <c r="C245" s="11"/>
      <c r="D245" s="11"/>
      <c r="E245" s="11"/>
      <c r="F245" s="11"/>
      <c r="G245" s="11"/>
      <c r="H245" s="11"/>
      <c r="I245" s="11"/>
      <c r="J245" s="11"/>
      <c r="K245" s="11"/>
      <c r="L245" s="11"/>
      <c r="M245" s="11"/>
      <c r="N245" s="44" t="n">
        <v>10.47</v>
      </c>
      <c r="O245" s="11"/>
    </row>
    <row r="246" customFormat="false" ht="14.25" hidden="false" customHeight="true" outlineLevel="0" collapsed="false">
      <c r="B246" s="1" t="s">
        <v>2189</v>
      </c>
      <c r="C246" s="11"/>
      <c r="D246" s="11"/>
      <c r="E246" s="11"/>
      <c r="F246" s="11"/>
      <c r="G246" s="11"/>
      <c r="H246" s="11"/>
      <c r="I246" s="11"/>
      <c r="J246" s="11"/>
      <c r="K246" s="11"/>
      <c r="L246" s="11"/>
      <c r="M246" s="11"/>
      <c r="N246" s="44" t="n">
        <v>10.69</v>
      </c>
      <c r="O246" s="11"/>
    </row>
    <row r="247" customFormat="false" ht="14.25" hidden="false" customHeight="true" outlineLevel="0" collapsed="false">
      <c r="C247" s="11" t="s">
        <v>2190</v>
      </c>
      <c r="D247" s="11" t="n">
        <v>48</v>
      </c>
      <c r="E247" s="11" t="n">
        <v>54</v>
      </c>
      <c r="F247" s="11" t="n">
        <v>60</v>
      </c>
      <c r="G247" s="11"/>
      <c r="H247" s="11"/>
      <c r="I247" s="11"/>
      <c r="J247" s="11"/>
      <c r="K247" s="11"/>
      <c r="L247" s="11"/>
      <c r="M247" s="11"/>
      <c r="N247" s="44" t="n">
        <v>10.9</v>
      </c>
      <c r="O247" s="11"/>
    </row>
    <row r="248" customFormat="false" ht="14.25" hidden="false" customHeight="true" outlineLevel="0" collapsed="false">
      <c r="C248" s="11" t="s">
        <v>2191</v>
      </c>
      <c r="D248" s="11" t="n">
        <f aca="false">Drivers!C786</f>
        <v>100593</v>
      </c>
      <c r="E248" s="11" t="n">
        <f aca="false">Drivers!C786</f>
        <v>100593</v>
      </c>
      <c r="F248" s="11" t="n">
        <f aca="false">Drivers!C786</f>
        <v>100593</v>
      </c>
      <c r="G248" s="11"/>
      <c r="H248" s="11"/>
      <c r="I248" s="11"/>
      <c r="J248" s="11"/>
      <c r="K248" s="11"/>
      <c r="L248" s="11"/>
      <c r="M248" s="11"/>
      <c r="N248" s="44" t="n">
        <v>10.97</v>
      </c>
      <c r="O248" s="11"/>
    </row>
    <row r="249" customFormat="false" ht="14.25" hidden="false" customHeight="true" outlineLevel="0" collapsed="false">
      <c r="C249" s="11" t="s">
        <v>2192</v>
      </c>
      <c r="D249" s="113" t="n">
        <f aca="false">Drivers!C38</f>
        <v>0.85</v>
      </c>
      <c r="E249" s="113" t="n">
        <f aca="false">Drivers!C38</f>
        <v>0.85</v>
      </c>
      <c r="F249" s="113" t="n">
        <f aca="false">Drivers!C38</f>
        <v>0.85</v>
      </c>
      <c r="G249" s="11"/>
      <c r="H249" s="11"/>
      <c r="I249" s="11"/>
      <c r="J249" s="11"/>
      <c r="K249" s="11"/>
      <c r="L249" s="11"/>
      <c r="M249" s="11"/>
      <c r="N249" s="44" t="n">
        <v>10.83</v>
      </c>
      <c r="O249" s="11"/>
    </row>
    <row r="250" customFormat="false" ht="14.25" hidden="false" customHeight="true" outlineLevel="0" collapsed="false">
      <c r="C250" s="11" t="s">
        <v>2193</v>
      </c>
      <c r="D250" s="11" t="n">
        <f aca="false">D248*(D249*12/D247)</f>
        <v>21376.0125</v>
      </c>
      <c r="E250" s="11" t="n">
        <f aca="false">E248*(E249*12/E247)</f>
        <v>19000.9</v>
      </c>
      <c r="F250" s="11" t="n">
        <f aca="false">F248*(F249*12/F247)</f>
        <v>17100.81</v>
      </c>
      <c r="G250" s="11"/>
      <c r="H250" s="11"/>
      <c r="I250" s="11"/>
      <c r="J250" s="11"/>
      <c r="K250" s="11"/>
      <c r="L250" s="11"/>
      <c r="M250" s="11"/>
      <c r="N250" s="44" t="n">
        <v>10.86</v>
      </c>
      <c r="O250" s="11"/>
    </row>
    <row r="251" customFormat="false" ht="14.25" hidden="false" customHeight="true" outlineLevel="0" collapsed="false">
      <c r="C251" s="11" t="s">
        <v>2194</v>
      </c>
      <c r="D251" s="11" t="n">
        <f aca="false">(Drivers!C11)*Drivers!C38</f>
        <v>17000</v>
      </c>
      <c r="E251" s="11" t="n">
        <f aca="false">(Drivers!C11)*Drivers!C38</f>
        <v>17000</v>
      </c>
      <c r="F251" s="11" t="n">
        <f aca="false">(Drivers!C11)*Drivers!C38</f>
        <v>17000</v>
      </c>
      <c r="G251" s="11"/>
      <c r="H251" s="11"/>
      <c r="I251" s="11"/>
      <c r="J251" s="11"/>
      <c r="K251" s="11"/>
      <c r="L251" s="11"/>
      <c r="M251" s="11"/>
      <c r="N251" s="44" t="n">
        <v>10.94</v>
      </c>
      <c r="O251" s="11"/>
    </row>
    <row r="252" customFormat="false" ht="14.25" hidden="false" customHeight="true" outlineLevel="0" collapsed="false">
      <c r="C252" s="11" t="s">
        <v>2195</v>
      </c>
      <c r="D252" s="11" t="n">
        <f aca="false">D250-D251</f>
        <v>4376.0125</v>
      </c>
      <c r="E252" s="11" t="n">
        <f aca="false">E250-E251</f>
        <v>2000.9</v>
      </c>
      <c r="F252" s="11" t="n">
        <f aca="false">F250-F251</f>
        <v>100.809999999998</v>
      </c>
      <c r="G252" s="11"/>
      <c r="H252" s="11"/>
      <c r="I252" s="11"/>
      <c r="J252" s="11"/>
      <c r="K252" s="11"/>
      <c r="L252" s="11"/>
      <c r="M252" s="11"/>
      <c r="N252" s="44" t="n">
        <v>11.11</v>
      </c>
      <c r="O252" s="11"/>
    </row>
    <row r="253" customFormat="false" ht="14.25" hidden="false" customHeight="true" outlineLevel="0" collapsed="false">
      <c r="C253" s="11" t="s">
        <v>2196</v>
      </c>
      <c r="D253" s="113" t="n">
        <f aca="false">Drivers!C33</f>
        <v>0.15</v>
      </c>
      <c r="E253" s="113" t="n">
        <f aca="false">Drivers!C33</f>
        <v>0.15</v>
      </c>
      <c r="F253" s="113" t="n">
        <f aca="false">Drivers!C33</f>
        <v>0.15</v>
      </c>
      <c r="G253" s="11"/>
      <c r="H253" s="11"/>
      <c r="I253" s="11"/>
      <c r="J253" s="11"/>
      <c r="K253" s="11"/>
      <c r="L253" s="11"/>
      <c r="M253" s="11"/>
      <c r="N253" s="44" t="n">
        <v>11.32</v>
      </c>
      <c r="O253" s="11"/>
    </row>
    <row r="254" customFormat="false" ht="14.25" hidden="false" customHeight="true" outlineLevel="0" collapsed="false">
      <c r="C254" s="11" t="s">
        <v>2197</v>
      </c>
      <c r="D254" s="11" t="n">
        <f aca="false">Drivers!C18*Drivers!C23</f>
        <v>8918.64</v>
      </c>
      <c r="E254" s="11" t="n">
        <f aca="false">Drivers!C18*Drivers!C23</f>
        <v>8918.64</v>
      </c>
      <c r="F254" s="11" t="n">
        <f aca="false">Drivers!C18*Drivers!C23</f>
        <v>8918.64</v>
      </c>
      <c r="G254" s="11"/>
      <c r="H254" s="11"/>
      <c r="I254" s="11"/>
      <c r="J254" s="11"/>
      <c r="K254" s="11"/>
      <c r="L254" s="11"/>
      <c r="M254" s="11"/>
      <c r="N254" s="44" t="n">
        <v>11.58</v>
      </c>
      <c r="O254" s="11"/>
    </row>
    <row r="255" customFormat="false" ht="14.25" hidden="false" customHeight="true" outlineLevel="0" collapsed="false">
      <c r="C255" s="11" t="s">
        <v>2198</v>
      </c>
      <c r="D255" s="11" t="n">
        <f aca="false">D253*D254</f>
        <v>1337.796</v>
      </c>
      <c r="E255" s="11" t="n">
        <f aca="false">E253*E254</f>
        <v>1337.796</v>
      </c>
      <c r="F255" s="11" t="n">
        <f aca="false">F253*F254</f>
        <v>1337.796</v>
      </c>
      <c r="G255" s="11"/>
      <c r="H255" s="11"/>
      <c r="I255" s="11"/>
      <c r="J255" s="11"/>
      <c r="K255" s="11"/>
      <c r="L255" s="11"/>
      <c r="M255" s="11"/>
      <c r="N255" s="44" t="n">
        <v>11.59</v>
      </c>
      <c r="O255" s="11"/>
    </row>
    <row r="256" customFormat="false" ht="14.25" hidden="false" customHeight="true" outlineLevel="0" collapsed="false">
      <c r="C256" s="11" t="s">
        <v>2199</v>
      </c>
      <c r="D256" s="11" t="n">
        <f aca="false">(D252*D255)/1000000</f>
        <v>5.85421201845</v>
      </c>
      <c r="E256" s="11" t="n">
        <f aca="false">(E252*E255)/1000000</f>
        <v>2.6767960164</v>
      </c>
      <c r="F256" s="11" t="n">
        <f aca="false">(F252*F255)/1000000</f>
        <v>0.134863214759997</v>
      </c>
      <c r="G256" s="11"/>
      <c r="H256" s="11"/>
      <c r="I256" s="11"/>
      <c r="J256" s="11"/>
      <c r="K256" s="11"/>
      <c r="L256" s="11"/>
      <c r="M256" s="11"/>
      <c r="N256" s="44" t="n">
        <v>11.62</v>
      </c>
      <c r="O256" s="11"/>
    </row>
    <row r="257" customFormat="false" ht="14.25" hidden="false" customHeight="true" outlineLevel="0" collapsed="false">
      <c r="C257" s="11" t="s">
        <v>2200</v>
      </c>
      <c r="D257" s="11" t="n">
        <f aca="false">D256*(1-Drivers!C76)/'3 Statement Forecast'!$F$32</f>
        <v>0.12630260186463</v>
      </c>
      <c r="E257" s="11" t="n">
        <f aca="false">E256*(1-Drivers!C76)/'3 Statement Forecast'!$F$32</f>
        <v>0.0577509493108025</v>
      </c>
      <c r="F257" s="11" t="n">
        <f aca="false">F256*(1-Drivers!C76)/'3 Statement Forecast'!$F$32</f>
        <v>0.00290962726774045</v>
      </c>
      <c r="G257" s="11"/>
      <c r="H257" s="11"/>
      <c r="I257" s="11"/>
      <c r="J257" s="11"/>
      <c r="K257" s="11"/>
      <c r="L257" s="11"/>
      <c r="M257" s="11"/>
      <c r="N257" s="44" t="n">
        <v>11.44</v>
      </c>
      <c r="O257" s="11"/>
    </row>
    <row r="258" customFormat="false" ht="14.25" hidden="false" customHeight="true" outlineLevel="0" collapsed="false">
      <c r="C258" s="11" t="s">
        <v>2201</v>
      </c>
      <c r="D258" s="11" t="n">
        <f aca="false">'3 Statement Forecast'!$F$33+D257</f>
        <v>10.3023625635558</v>
      </c>
      <c r="E258" s="11" t="n">
        <f aca="false">'3 Statement Forecast'!$F$33+E257</f>
        <v>10.233810911002</v>
      </c>
      <c r="F258" s="11" t="n">
        <f aca="false">'3 Statement Forecast'!$F$33+F257</f>
        <v>10.1789695889589</v>
      </c>
      <c r="G258" s="11"/>
      <c r="H258" s="11"/>
      <c r="I258" s="11"/>
      <c r="J258" s="11"/>
      <c r="K258" s="11"/>
      <c r="L258" s="11"/>
      <c r="M258" s="11"/>
      <c r="N258" s="44" t="n">
        <v>11.5</v>
      </c>
      <c r="O258" s="11"/>
    </row>
    <row r="259" customFormat="false" ht="14.25" hidden="false" customHeight="true" outlineLevel="0" collapsed="false">
      <c r="C259" s="11" t="s">
        <v>2202</v>
      </c>
      <c r="D259" s="11" t="n">
        <f aca="false">D258/H208</f>
        <v>0.118115616406744</v>
      </c>
      <c r="E259" s="11" t="n">
        <f aca="false">E258/H208</f>
        <v>0.117329678167127</v>
      </c>
      <c r="F259" s="11" t="n">
        <f aca="false">F258/H208</f>
        <v>0.116700927575433</v>
      </c>
      <c r="G259" s="11"/>
      <c r="H259" s="11"/>
      <c r="I259" s="11"/>
      <c r="J259" s="11"/>
      <c r="K259" s="11"/>
      <c r="L259" s="11"/>
      <c r="M259" s="11"/>
      <c r="N259" s="44" t="n">
        <v>11.78</v>
      </c>
      <c r="O259" s="11"/>
    </row>
    <row r="260" customFormat="false" ht="14.25" hidden="false" customHeight="true" outlineLevel="0" collapsed="false">
      <c r="C260" s="11" t="s">
        <v>2203</v>
      </c>
      <c r="D260" s="11" t="n">
        <f aca="false">((D259-Drivers!$C$781)/(DCF!$D$57-Drivers!$C$781))*H208</f>
        <v>148.09457996227</v>
      </c>
      <c r="E260" s="11" t="n">
        <f aca="false">((E259-Drivers!$C$781)/(DCF!$D$57-Drivers!$C$781))*H208</f>
        <v>146.380788648424</v>
      </c>
      <c r="F260" s="11" t="n">
        <f aca="false">((F259-Drivers!$C$781)/(DCF!$D$57-Drivers!$C$781))*H208</f>
        <v>145.009755597348</v>
      </c>
      <c r="G260" s="11"/>
      <c r="H260" s="11"/>
      <c r="I260" s="11"/>
      <c r="J260" s="11"/>
      <c r="K260" s="11"/>
      <c r="L260" s="11"/>
      <c r="M260" s="11"/>
      <c r="N260" s="44" t="n">
        <v>12.16</v>
      </c>
      <c r="O260" s="11"/>
    </row>
    <row r="261" customFormat="false" ht="14.25" hidden="false" customHeight="true" outlineLevel="0" collapsed="false">
      <c r="C261" s="11" t="s">
        <v>2204</v>
      </c>
      <c r="D261" s="11" t="n">
        <f aca="false">D258*D20</f>
        <v>168.340604288502</v>
      </c>
      <c r="E261" s="11" t="n">
        <f aca="false">E258*D20</f>
        <v>167.220470285772</v>
      </c>
      <c r="F261" s="11" t="n">
        <f aca="false">F258*D20</f>
        <v>166.324363083588</v>
      </c>
      <c r="G261" s="11"/>
      <c r="H261" s="11"/>
      <c r="I261" s="11"/>
      <c r="J261" s="11"/>
      <c r="K261" s="11"/>
      <c r="L261" s="11"/>
      <c r="M261" s="11"/>
      <c r="N261" s="44" t="n">
        <v>12.24</v>
      </c>
      <c r="O261" s="11"/>
    </row>
    <row r="262" customFormat="false" ht="14.25" hidden="false" customHeight="true" outlineLevel="0" collapsed="false">
      <c r="C262" s="11" t="s">
        <v>2205</v>
      </c>
      <c r="D262" s="111" t="n">
        <f aca="false">NAV!D168</f>
        <v>169.738951211227</v>
      </c>
      <c r="E262" s="111" t="n">
        <f aca="false">NAV!D168</f>
        <v>169.738951211227</v>
      </c>
      <c r="F262" s="111" t="n">
        <f aca="false">NAV!D168</f>
        <v>169.738951211227</v>
      </c>
      <c r="G262" s="11"/>
      <c r="H262" s="11"/>
      <c r="I262" s="11"/>
      <c r="J262" s="11"/>
      <c r="K262" s="11"/>
      <c r="L262" s="11"/>
      <c r="M262" s="11"/>
      <c r="N262" s="44" t="n">
        <v>12.5</v>
      </c>
      <c r="O262" s="11"/>
    </row>
    <row r="263" customFormat="false" ht="14.25" hidden="false" customHeight="true" outlineLevel="0" collapsed="false">
      <c r="C263" s="11" t="s">
        <v>2206</v>
      </c>
      <c r="D263" s="11" t="n">
        <f aca="false">0.3*D261+0.35*D262+0.35*D260</f>
        <v>161.743917197274</v>
      </c>
      <c r="E263" s="11" t="n">
        <f aca="false">0.3*E261+0.35*E262+0.35*E260</f>
        <v>160.808050036609</v>
      </c>
      <c r="F263" s="11" t="n">
        <f aca="false">0.3*F261+0.35*F262+0.35*F260</f>
        <v>160.059356308078</v>
      </c>
      <c r="G263" s="11"/>
      <c r="H263" s="11"/>
      <c r="I263" s="11"/>
      <c r="J263" s="11"/>
      <c r="K263" s="11"/>
      <c r="L263" s="11"/>
      <c r="M263" s="11"/>
      <c r="N263" s="44" t="n">
        <v>12.98</v>
      </c>
      <c r="O263" s="11"/>
    </row>
    <row r="264" customFormat="false" ht="14.25" hidden="false" customHeight="true" outlineLevel="0" collapsed="false">
      <c r="C264" s="11" t="s">
        <v>2207</v>
      </c>
      <c r="D264" s="11" t="n">
        <f aca="false">(D263+Drivers!C80-Drivers!C179)/Drivers!C179</f>
        <v>0.0104676077974828</v>
      </c>
      <c r="E264" s="11" t="n">
        <f aca="false">(E263+Drivers!C80-Drivers!C179)/Drivers!C179</f>
        <v>0.00471833171525614</v>
      </c>
      <c r="F264" s="11" t="n">
        <f aca="false">(F263+Drivers!C80-Drivers!C179)/Drivers!C179</f>
        <v>0.000118910849474782</v>
      </c>
      <c r="G264" s="11"/>
      <c r="H264" s="11"/>
      <c r="I264" s="11"/>
      <c r="J264" s="11"/>
      <c r="K264" s="11"/>
      <c r="L264" s="11"/>
      <c r="M264" s="11"/>
      <c r="N264" s="44" t="n">
        <v>13.22</v>
      </c>
      <c r="O264" s="11"/>
    </row>
    <row r="265" customFormat="false" ht="14.25" hidden="false" customHeight="true" outlineLevel="0" collapsed="false">
      <c r="C265" s="11" t="s">
        <v>2208</v>
      </c>
      <c r="D265" s="11" t="str">
        <f aca="false">IF(D264&gt;Drivers!C378,"BUY",IF(D264&lt;Drivers!C379,"SELL","HOLD"))</f>
        <v>HOLD</v>
      </c>
      <c r="E265" s="11" t="str">
        <f aca="false">IF(E264&gt;Drivers!C378,"BUY",IF(E264&lt;Drivers!C379,"SELL","HOLD"))</f>
        <v>HOLD</v>
      </c>
      <c r="F265" s="11" t="str">
        <f aca="false">IF(F264&gt;Drivers!C378,"BUY",IF(F264&lt;Drivers!C379,"SELL","HOLD"))</f>
        <v>HOLD</v>
      </c>
      <c r="G265" s="11"/>
      <c r="H265" s="11"/>
      <c r="I265" s="11"/>
      <c r="J265" s="11"/>
      <c r="K265" s="11"/>
      <c r="L265" s="11"/>
      <c r="M265" s="11"/>
      <c r="N265" s="44" t="n">
        <v>13.35</v>
      </c>
      <c r="O265" s="11"/>
    </row>
    <row r="266" customFormat="false" ht="14.25" hidden="false" customHeight="true" outlineLevel="0" collapsed="false">
      <c r="C266" s="11"/>
      <c r="D266" s="11"/>
      <c r="E266" s="11"/>
      <c r="F266" s="11"/>
      <c r="G266" s="11"/>
      <c r="H266" s="11"/>
      <c r="I266" s="11"/>
      <c r="J266" s="11"/>
      <c r="K266" s="11"/>
      <c r="L266" s="11"/>
      <c r="M266" s="11"/>
      <c r="N266" s="44" t="n">
        <v>13.43</v>
      </c>
      <c r="O266" s="11"/>
    </row>
    <row r="267" customFormat="false" ht="14.25" hidden="false" customHeight="true" outlineLevel="0" collapsed="false">
      <c r="B267" s="1" t="s">
        <v>2209</v>
      </c>
      <c r="C267" s="11"/>
      <c r="D267" s="11"/>
      <c r="E267" s="11"/>
      <c r="F267" s="11"/>
      <c r="G267" s="11"/>
      <c r="H267" s="11"/>
      <c r="I267" s="11"/>
      <c r="J267" s="11"/>
      <c r="K267" s="11"/>
      <c r="L267" s="11"/>
      <c r="M267" s="11"/>
      <c r="N267" s="44" t="n">
        <v>13.44</v>
      </c>
      <c r="O267" s="11"/>
    </row>
    <row r="268" customFormat="false" ht="14.25" hidden="false" customHeight="true" outlineLevel="0" collapsed="false">
      <c r="C268" s="11"/>
      <c r="D268" s="11"/>
      <c r="E268" s="11"/>
      <c r="F268" s="11"/>
      <c r="G268" s="11"/>
      <c r="H268" s="11"/>
      <c r="I268" s="11"/>
      <c r="J268" s="11"/>
      <c r="K268" s="11"/>
      <c r="L268" s="11"/>
      <c r="M268" s="11"/>
      <c r="N268" s="44" t="n">
        <v>13.34</v>
      </c>
      <c r="O268" s="11"/>
    </row>
    <row r="269" customFormat="false" ht="14.25" hidden="false" customHeight="true" outlineLevel="0" collapsed="false">
      <c r="C269" s="11"/>
      <c r="D269" s="11"/>
      <c r="E269" s="11"/>
      <c r="F269" s="11"/>
      <c r="G269" s="11"/>
      <c r="H269" s="11"/>
      <c r="I269" s="11"/>
      <c r="J269" s="11"/>
      <c r="K269" s="11"/>
      <c r="L269" s="11"/>
      <c r="M269" s="11"/>
      <c r="N269" s="44" t="n">
        <v>13.05</v>
      </c>
      <c r="O269" s="11"/>
    </row>
    <row r="270" customFormat="false" ht="14.25" hidden="false" customHeight="true" outlineLevel="0" collapsed="false">
      <c r="C270" s="11"/>
      <c r="D270" s="11"/>
      <c r="E270" s="11"/>
      <c r="F270" s="11"/>
      <c r="G270" s="11"/>
      <c r="H270" s="11"/>
      <c r="I270" s="11"/>
      <c r="J270" s="11"/>
      <c r="K270" s="11"/>
      <c r="L270" s="11"/>
      <c r="M270" s="11"/>
      <c r="N270" s="44" t="n">
        <v>13.25</v>
      </c>
      <c r="O270" s="11"/>
    </row>
    <row r="271" customFormat="false" ht="14.25" hidden="false" customHeight="true" outlineLevel="0" collapsed="false">
      <c r="C271" s="11"/>
      <c r="D271" s="11"/>
      <c r="E271" s="11"/>
      <c r="F271" s="11"/>
      <c r="G271" s="11"/>
      <c r="H271" s="11"/>
      <c r="I271" s="11"/>
      <c r="J271" s="11"/>
      <c r="K271" s="11"/>
      <c r="L271" s="11"/>
      <c r="M271" s="11"/>
      <c r="N271" s="44" t="n">
        <v>13.33</v>
      </c>
      <c r="O271" s="11"/>
    </row>
    <row r="272" customFormat="false" ht="14.25" hidden="false" customHeight="true" outlineLevel="0" collapsed="false">
      <c r="C272" s="11"/>
      <c r="D272" s="11"/>
      <c r="E272" s="11"/>
      <c r="F272" s="11"/>
      <c r="G272" s="11"/>
      <c r="H272" s="11"/>
      <c r="I272" s="11"/>
      <c r="J272" s="11"/>
      <c r="K272" s="11"/>
      <c r="L272" s="11"/>
      <c r="M272" s="11"/>
      <c r="N272" s="44" t="n">
        <v>13.48</v>
      </c>
      <c r="O272" s="11"/>
    </row>
    <row r="273" customFormat="false" ht="14.25" hidden="false" customHeight="true" outlineLevel="0" collapsed="false">
      <c r="C273" s="11"/>
      <c r="D273" s="11"/>
      <c r="E273" s="11"/>
      <c r="F273" s="11"/>
      <c r="G273" s="11"/>
      <c r="H273" s="11"/>
      <c r="I273" s="11"/>
      <c r="J273" s="11"/>
      <c r="K273" s="11"/>
      <c r="L273" s="11"/>
      <c r="M273" s="11"/>
      <c r="N273" s="44" t="n">
        <v>14.05</v>
      </c>
      <c r="O273" s="11"/>
    </row>
    <row r="274" customFormat="false" ht="14.25" hidden="false" customHeight="true" outlineLevel="0" collapsed="false">
      <c r="C274" s="11"/>
      <c r="D274" s="11"/>
      <c r="E274" s="11"/>
      <c r="F274" s="11"/>
      <c r="G274" s="11"/>
      <c r="H274" s="11"/>
      <c r="I274" s="11"/>
      <c r="J274" s="11"/>
      <c r="K274" s="11"/>
      <c r="L274" s="11"/>
      <c r="M274" s="11"/>
      <c r="N274" s="44" t="n">
        <v>13.86</v>
      </c>
      <c r="O274" s="11"/>
    </row>
    <row r="275" customFormat="false" ht="14.25" hidden="false" customHeight="true" outlineLevel="0" collapsed="false">
      <c r="C275" s="11"/>
      <c r="D275" s="11"/>
      <c r="E275" s="11"/>
      <c r="F275" s="11"/>
      <c r="G275" s="11"/>
      <c r="H275" s="11"/>
      <c r="I275" s="11"/>
      <c r="J275" s="11"/>
      <c r="K275" s="11"/>
      <c r="L275" s="11"/>
      <c r="M275" s="11"/>
      <c r="N275" s="44" t="n">
        <v>13.86</v>
      </c>
      <c r="O275" s="11"/>
    </row>
    <row r="276" customFormat="false" ht="14.25" hidden="false" customHeight="true" outlineLevel="0" collapsed="false">
      <c r="C276" s="11"/>
      <c r="D276" s="11"/>
      <c r="E276" s="11"/>
      <c r="F276" s="11"/>
      <c r="G276" s="11"/>
      <c r="H276" s="11"/>
      <c r="I276" s="11"/>
      <c r="J276" s="11"/>
      <c r="K276" s="11"/>
      <c r="L276" s="11"/>
      <c r="M276" s="11"/>
      <c r="N276" s="44" t="n">
        <v>13.85</v>
      </c>
      <c r="O276" s="11"/>
    </row>
    <row r="277" customFormat="false" ht="14.25" hidden="false" customHeight="true" outlineLevel="0" collapsed="false">
      <c r="C277" s="11"/>
      <c r="D277" s="11"/>
      <c r="E277" s="11"/>
      <c r="F277" s="11"/>
      <c r="G277" s="11"/>
      <c r="H277" s="11"/>
      <c r="I277" s="11"/>
      <c r="J277" s="11"/>
      <c r="K277" s="11"/>
      <c r="L277" s="11"/>
      <c r="M277" s="11"/>
      <c r="N277" s="44" t="n">
        <v>13.88</v>
      </c>
      <c r="O277" s="11"/>
    </row>
    <row r="278" customFormat="false" ht="14.25" hidden="false" customHeight="true" outlineLevel="0" collapsed="false">
      <c r="C278" s="11"/>
      <c r="D278" s="11"/>
      <c r="E278" s="11"/>
      <c r="F278" s="11"/>
      <c r="G278" s="11"/>
      <c r="H278" s="11"/>
      <c r="I278" s="11"/>
      <c r="J278" s="11"/>
      <c r="K278" s="11"/>
      <c r="L278" s="11"/>
      <c r="M278" s="11"/>
      <c r="N278" s="44" t="n">
        <v>13.95</v>
      </c>
      <c r="O278" s="11"/>
    </row>
    <row r="279" customFormat="false" ht="14.25" hidden="false" customHeight="true" outlineLevel="0" collapsed="false">
      <c r="C279" s="11"/>
      <c r="D279" s="11"/>
      <c r="E279" s="11"/>
      <c r="F279" s="11"/>
      <c r="G279" s="11"/>
      <c r="H279" s="11"/>
      <c r="I279" s="11"/>
      <c r="J279" s="11"/>
      <c r="K279" s="11"/>
      <c r="L279" s="11"/>
      <c r="M279" s="11"/>
      <c r="N279" s="44" t="n">
        <v>13.89</v>
      </c>
      <c r="O279" s="11"/>
    </row>
    <row r="280" customFormat="false" ht="14.25" hidden="false" customHeight="true" outlineLevel="0" collapsed="false">
      <c r="C280" s="11"/>
      <c r="D280" s="11"/>
      <c r="E280" s="11"/>
      <c r="F280" s="11"/>
      <c r="G280" s="11"/>
      <c r="H280" s="11"/>
      <c r="I280" s="11"/>
      <c r="J280" s="11"/>
      <c r="K280" s="11"/>
      <c r="L280" s="11"/>
      <c r="M280" s="11"/>
      <c r="N280" s="44" t="n">
        <v>13.8</v>
      </c>
      <c r="O280" s="11"/>
    </row>
    <row r="281" customFormat="false" ht="14.25" hidden="false" customHeight="true" outlineLevel="0" collapsed="false">
      <c r="C281" s="11"/>
      <c r="D281" s="11"/>
      <c r="E281" s="11"/>
      <c r="F281" s="11"/>
      <c r="G281" s="11"/>
      <c r="H281" s="11"/>
      <c r="I281" s="11"/>
      <c r="J281" s="11"/>
      <c r="K281" s="11"/>
      <c r="L281" s="11"/>
      <c r="M281" s="11"/>
      <c r="N281" s="44" t="n">
        <v>13.58</v>
      </c>
      <c r="O281" s="11"/>
    </row>
    <row r="282" customFormat="false" ht="14.25" hidden="false" customHeight="true" outlineLevel="0" collapsed="false">
      <c r="C282" s="11"/>
      <c r="D282" s="11"/>
      <c r="E282" s="11"/>
      <c r="F282" s="11"/>
      <c r="G282" s="11"/>
      <c r="H282" s="11"/>
      <c r="I282" s="11"/>
      <c r="J282" s="11"/>
      <c r="K282" s="11"/>
      <c r="L282" s="11"/>
      <c r="M282" s="11"/>
      <c r="N282" s="44" t="n">
        <v>13.6</v>
      </c>
      <c r="O282" s="11"/>
    </row>
    <row r="283" customFormat="false" ht="14.25" hidden="false" customHeight="true" outlineLevel="0" collapsed="false">
      <c r="C283" s="11"/>
      <c r="D283" s="11"/>
      <c r="E283" s="11"/>
      <c r="F283" s="11"/>
      <c r="G283" s="11"/>
      <c r="H283" s="11"/>
      <c r="I283" s="11"/>
      <c r="J283" s="11"/>
      <c r="K283" s="11"/>
      <c r="L283" s="11"/>
      <c r="M283" s="11"/>
      <c r="N283" s="44" t="n">
        <v>13.49</v>
      </c>
      <c r="O283" s="11"/>
    </row>
    <row r="284" customFormat="false" ht="14.25" hidden="false" customHeight="true" outlineLevel="0" collapsed="false">
      <c r="C284" s="11"/>
      <c r="D284" s="11"/>
      <c r="E284" s="11"/>
      <c r="F284" s="11"/>
      <c r="G284" s="11"/>
      <c r="H284" s="11"/>
      <c r="I284" s="11"/>
      <c r="J284" s="11"/>
      <c r="K284" s="11"/>
      <c r="L284" s="11"/>
      <c r="M284" s="11"/>
      <c r="N284" s="44" t="n">
        <v>13.76</v>
      </c>
      <c r="O284" s="11"/>
    </row>
    <row r="285" customFormat="false" ht="14.25" hidden="false" customHeight="true" outlineLevel="0" collapsed="false">
      <c r="C285" s="11"/>
      <c r="D285" s="11"/>
      <c r="E285" s="11"/>
      <c r="F285" s="11"/>
      <c r="G285" s="11"/>
      <c r="H285" s="11"/>
      <c r="I285" s="11"/>
      <c r="J285" s="11"/>
      <c r="K285" s="11"/>
      <c r="L285" s="11"/>
      <c r="M285" s="11"/>
      <c r="N285" s="44" t="n">
        <v>13.3</v>
      </c>
      <c r="O285" s="11"/>
    </row>
    <row r="286" customFormat="false" ht="14.25" hidden="false" customHeight="true" outlineLevel="0" collapsed="false">
      <c r="C286" s="11"/>
      <c r="D286" s="11"/>
      <c r="E286" s="11"/>
      <c r="F286" s="11"/>
      <c r="G286" s="11"/>
      <c r="H286" s="11"/>
      <c r="I286" s="11"/>
      <c r="J286" s="11"/>
      <c r="K286" s="11"/>
      <c r="L286" s="11"/>
      <c r="M286" s="11"/>
      <c r="N286" s="44" t="n">
        <v>13.33</v>
      </c>
      <c r="O286" s="11"/>
    </row>
    <row r="287" customFormat="false" ht="14.25" hidden="false" customHeight="true" outlineLevel="0" collapsed="false">
      <c r="C287" s="11"/>
      <c r="D287" s="11"/>
      <c r="E287" s="11"/>
      <c r="F287" s="11"/>
      <c r="G287" s="11"/>
      <c r="H287" s="11"/>
      <c r="I287" s="11"/>
      <c r="J287" s="11"/>
      <c r="K287" s="11"/>
      <c r="L287" s="11"/>
      <c r="M287" s="11"/>
      <c r="N287" s="44" t="n">
        <v>13.05</v>
      </c>
      <c r="O287" s="11"/>
    </row>
    <row r="288" customFormat="false" ht="14.25" hidden="false" customHeight="true" outlineLevel="0" collapsed="false">
      <c r="C288" s="11"/>
      <c r="D288" s="11"/>
      <c r="E288" s="11"/>
      <c r="F288" s="11"/>
      <c r="G288" s="11"/>
      <c r="H288" s="11"/>
      <c r="I288" s="11"/>
      <c r="J288" s="11"/>
      <c r="K288" s="11"/>
      <c r="L288" s="11"/>
      <c r="M288" s="11"/>
      <c r="N288" s="44" t="n">
        <v>13.13</v>
      </c>
      <c r="O288" s="11"/>
    </row>
    <row r="289" customFormat="false" ht="14.25" hidden="false" customHeight="true" outlineLevel="0" collapsed="false">
      <c r="C289" s="11"/>
      <c r="D289" s="11"/>
      <c r="E289" s="11"/>
      <c r="F289" s="11"/>
      <c r="G289" s="11"/>
      <c r="H289" s="11"/>
      <c r="I289" s="11"/>
      <c r="J289" s="11"/>
      <c r="K289" s="11"/>
      <c r="L289" s="11"/>
      <c r="M289" s="11"/>
      <c r="N289" s="44" t="n">
        <v>13.13</v>
      </c>
      <c r="O289" s="11"/>
    </row>
    <row r="290" customFormat="false" ht="14.25" hidden="false" customHeight="true" outlineLevel="0" collapsed="false">
      <c r="C290" s="11"/>
      <c r="D290" s="11"/>
      <c r="E290" s="11"/>
      <c r="F290" s="11"/>
      <c r="G290" s="11"/>
      <c r="H290" s="11"/>
      <c r="I290" s="11"/>
      <c r="J290" s="11"/>
      <c r="K290" s="11"/>
      <c r="L290" s="11"/>
      <c r="M290" s="11"/>
      <c r="N290" s="44" t="n">
        <v>12.62</v>
      </c>
      <c r="O290" s="11"/>
    </row>
    <row r="291" customFormat="false" ht="14.25" hidden="false" customHeight="true" outlineLevel="0" collapsed="false">
      <c r="C291" s="11"/>
      <c r="D291" s="11"/>
      <c r="E291" s="11"/>
      <c r="F291" s="11"/>
      <c r="G291" s="11"/>
      <c r="H291" s="11"/>
      <c r="I291" s="11"/>
      <c r="J291" s="11"/>
      <c r="K291" s="11"/>
      <c r="L291" s="11"/>
      <c r="M291" s="11"/>
      <c r="N291" s="44" t="n">
        <v>12.78</v>
      </c>
      <c r="O291" s="11"/>
    </row>
    <row r="292" customFormat="false" ht="14.25" hidden="false" customHeight="true" outlineLevel="0" collapsed="false">
      <c r="C292" s="11"/>
      <c r="D292" s="11"/>
      <c r="E292" s="11"/>
      <c r="F292" s="11"/>
      <c r="G292" s="11"/>
      <c r="H292" s="11"/>
      <c r="I292" s="11"/>
      <c r="J292" s="11"/>
      <c r="K292" s="11"/>
      <c r="L292" s="11"/>
      <c r="M292" s="11"/>
      <c r="N292" s="44" t="n">
        <v>12.79</v>
      </c>
      <c r="O292" s="11"/>
    </row>
    <row r="293" customFormat="false" ht="14.25" hidden="false" customHeight="true" outlineLevel="0" collapsed="false">
      <c r="C293" s="11"/>
      <c r="D293" s="11"/>
      <c r="E293" s="11"/>
      <c r="F293" s="11"/>
      <c r="G293" s="11"/>
      <c r="H293" s="11"/>
      <c r="I293" s="11"/>
      <c r="J293" s="11"/>
      <c r="K293" s="11"/>
      <c r="L293" s="11"/>
      <c r="M293" s="11"/>
      <c r="N293" s="44" t="n">
        <v>12.56</v>
      </c>
      <c r="O293" s="11"/>
    </row>
    <row r="294" customFormat="false" ht="14.25" hidden="false" customHeight="true" outlineLevel="0" collapsed="false">
      <c r="C294" s="11"/>
      <c r="D294" s="11"/>
      <c r="E294" s="11"/>
      <c r="F294" s="11"/>
      <c r="G294" s="11"/>
      <c r="H294" s="11"/>
      <c r="I294" s="11"/>
      <c r="J294" s="11"/>
      <c r="K294" s="11"/>
      <c r="L294" s="11"/>
      <c r="M294" s="11"/>
      <c r="N294" s="44" t="n">
        <v>12.68</v>
      </c>
      <c r="O294" s="11"/>
    </row>
    <row r="295" customFormat="false" ht="14.25" hidden="false" customHeight="true" outlineLevel="0" collapsed="false">
      <c r="C295" s="11"/>
      <c r="D295" s="11"/>
      <c r="E295" s="11"/>
      <c r="F295" s="11"/>
      <c r="G295" s="11"/>
      <c r="H295" s="11"/>
      <c r="I295" s="11"/>
      <c r="J295" s="11"/>
      <c r="K295" s="11"/>
      <c r="L295" s="11"/>
      <c r="M295" s="11"/>
      <c r="N295" s="44" t="n">
        <v>13.23</v>
      </c>
      <c r="O295" s="11"/>
    </row>
    <row r="296" customFormat="false" ht="14.25" hidden="false" customHeight="true" outlineLevel="0" collapsed="false">
      <c r="C296" s="11"/>
      <c r="D296" s="11"/>
      <c r="E296" s="11"/>
      <c r="F296" s="11"/>
      <c r="G296" s="11"/>
      <c r="H296" s="11"/>
      <c r="I296" s="11"/>
      <c r="J296" s="11"/>
      <c r="K296" s="11"/>
      <c r="L296" s="11"/>
      <c r="M296" s="11"/>
      <c r="N296" s="44" t="n">
        <v>13.31</v>
      </c>
      <c r="O296" s="11"/>
    </row>
    <row r="297" customFormat="false" ht="14.25" hidden="false" customHeight="true" outlineLevel="0" collapsed="false">
      <c r="C297" s="11"/>
      <c r="D297" s="11"/>
      <c r="E297" s="11"/>
      <c r="F297" s="11"/>
      <c r="G297" s="11"/>
      <c r="H297" s="11"/>
      <c r="I297" s="11"/>
      <c r="J297" s="11"/>
      <c r="K297" s="11"/>
      <c r="L297" s="11"/>
      <c r="M297" s="11"/>
      <c r="N297" s="44" t="n">
        <v>13.26</v>
      </c>
      <c r="O297" s="11"/>
    </row>
    <row r="298" customFormat="false" ht="14.25" hidden="false" customHeight="true" outlineLevel="0" collapsed="false">
      <c r="C298" s="11"/>
      <c r="D298" s="11"/>
      <c r="E298" s="11"/>
      <c r="F298" s="11"/>
      <c r="G298" s="11"/>
      <c r="H298" s="11"/>
      <c r="I298" s="11"/>
      <c r="J298" s="11"/>
      <c r="K298" s="11"/>
      <c r="L298" s="11"/>
      <c r="M298" s="11"/>
      <c r="N298" s="44" t="n">
        <v>13.41</v>
      </c>
      <c r="O298" s="11"/>
    </row>
    <row r="299" customFormat="false" ht="14.25" hidden="false" customHeight="true" outlineLevel="0" collapsed="false">
      <c r="C299" s="11"/>
      <c r="D299" s="11"/>
      <c r="E299" s="11"/>
      <c r="F299" s="11"/>
      <c r="G299" s="11"/>
      <c r="H299" s="11"/>
      <c r="I299" s="11"/>
      <c r="J299" s="11"/>
      <c r="K299" s="11"/>
      <c r="L299" s="11"/>
      <c r="M299" s="11"/>
      <c r="N299" s="44" t="n">
        <v>13.73</v>
      </c>
      <c r="O299" s="11"/>
    </row>
    <row r="300" customFormat="false" ht="14.25" hidden="false" customHeight="true" outlineLevel="0" collapsed="false">
      <c r="C300" s="11"/>
      <c r="D300" s="11"/>
      <c r="E300" s="11"/>
      <c r="F300" s="11"/>
      <c r="G300" s="11"/>
      <c r="H300" s="11"/>
      <c r="I300" s="11"/>
      <c r="J300" s="11"/>
      <c r="K300" s="11"/>
      <c r="L300" s="11"/>
      <c r="M300" s="11"/>
      <c r="N300" s="44" t="n">
        <v>13.54</v>
      </c>
      <c r="O300" s="11"/>
    </row>
    <row r="301" customFormat="false" ht="14.25" hidden="false" customHeight="true" outlineLevel="0" collapsed="false">
      <c r="C301" s="11"/>
      <c r="D301" s="11"/>
      <c r="E301" s="11"/>
      <c r="F301" s="11"/>
      <c r="G301" s="11"/>
      <c r="H301" s="11"/>
      <c r="I301" s="11"/>
      <c r="J301" s="11"/>
      <c r="K301" s="11"/>
      <c r="L301" s="11"/>
      <c r="M301" s="11"/>
      <c r="N301" s="44" t="n">
        <v>13.43</v>
      </c>
      <c r="O301" s="11"/>
    </row>
    <row r="302" customFormat="false" ht="14.25" hidden="false" customHeight="true" outlineLevel="0" collapsed="false">
      <c r="C302" s="11"/>
      <c r="D302" s="11"/>
      <c r="E302" s="11"/>
      <c r="F302" s="11"/>
      <c r="G302" s="11"/>
      <c r="H302" s="11"/>
      <c r="I302" s="11"/>
      <c r="J302" s="11"/>
      <c r="K302" s="11"/>
      <c r="L302" s="11"/>
      <c r="M302" s="11"/>
      <c r="N302" s="44" t="n">
        <v>13.29</v>
      </c>
      <c r="O302" s="11"/>
    </row>
    <row r="303" customFormat="false" ht="14.25" hidden="false" customHeight="true" outlineLevel="0" collapsed="false">
      <c r="C303" s="11"/>
      <c r="D303" s="11"/>
      <c r="E303" s="11"/>
      <c r="F303" s="11"/>
      <c r="G303" s="11"/>
      <c r="H303" s="11"/>
      <c r="I303" s="11"/>
      <c r="J303" s="11"/>
      <c r="K303" s="11"/>
      <c r="L303" s="11"/>
      <c r="M303" s="11"/>
      <c r="N303" s="44" t="n">
        <v>12.97</v>
      </c>
      <c r="O303" s="11"/>
    </row>
    <row r="304" customFormat="false" ht="14.25" hidden="false" customHeight="true" outlineLevel="0" collapsed="false">
      <c r="C304" s="11"/>
      <c r="D304" s="11"/>
      <c r="E304" s="11"/>
      <c r="F304" s="11"/>
      <c r="G304" s="11"/>
      <c r="H304" s="11"/>
      <c r="I304" s="11"/>
      <c r="J304" s="11"/>
      <c r="K304" s="11"/>
      <c r="L304" s="11"/>
      <c r="M304" s="11"/>
      <c r="N304" s="44" t="n">
        <v>13.13</v>
      </c>
      <c r="O304" s="11"/>
    </row>
    <row r="305" customFormat="false" ht="14.25" hidden="false" customHeight="true" outlineLevel="0" collapsed="false">
      <c r="C305" s="11"/>
      <c r="D305" s="11"/>
      <c r="E305" s="11"/>
      <c r="F305" s="11"/>
      <c r="G305" s="11"/>
      <c r="H305" s="11"/>
      <c r="I305" s="11"/>
      <c r="J305" s="11"/>
      <c r="K305" s="11"/>
      <c r="L305" s="11"/>
      <c r="M305" s="11"/>
      <c r="N305" s="44" t="n">
        <v>12.89</v>
      </c>
      <c r="O305" s="11"/>
    </row>
    <row r="306" customFormat="false" ht="14.25" hidden="false" customHeight="true" outlineLevel="0" collapsed="false">
      <c r="C306" s="11"/>
      <c r="D306" s="11"/>
      <c r="E306" s="11"/>
      <c r="F306" s="11"/>
      <c r="G306" s="11"/>
      <c r="H306" s="11"/>
      <c r="I306" s="11"/>
      <c r="J306" s="11"/>
      <c r="K306" s="11"/>
      <c r="L306" s="11"/>
      <c r="M306" s="11"/>
      <c r="N306" s="44" t="n">
        <v>13.15</v>
      </c>
      <c r="O306" s="11"/>
    </row>
    <row r="307" customFormat="false" ht="14.25" hidden="false" customHeight="true" outlineLevel="0" collapsed="false">
      <c r="C307" s="11"/>
      <c r="D307" s="11"/>
      <c r="E307" s="11"/>
      <c r="F307" s="11"/>
      <c r="G307" s="11"/>
      <c r="H307" s="11"/>
      <c r="I307" s="11"/>
      <c r="J307" s="11"/>
      <c r="K307" s="11"/>
      <c r="L307" s="11"/>
      <c r="M307" s="11"/>
      <c r="N307" s="44" t="n">
        <v>13.07</v>
      </c>
      <c r="O307" s="11"/>
    </row>
    <row r="308" customFormat="false" ht="14.25" hidden="false" customHeight="true" outlineLevel="0" collapsed="false">
      <c r="C308" s="11"/>
      <c r="D308" s="11"/>
      <c r="E308" s="11"/>
      <c r="F308" s="11"/>
      <c r="G308" s="11"/>
      <c r="H308" s="11"/>
      <c r="I308" s="11"/>
      <c r="J308" s="11"/>
      <c r="K308" s="11"/>
      <c r="L308" s="11"/>
      <c r="M308" s="11"/>
      <c r="N308" s="44" t="n">
        <v>13.01</v>
      </c>
      <c r="O308" s="11"/>
    </row>
    <row r="309" customFormat="false" ht="14.25" hidden="false" customHeight="true" outlineLevel="0" collapsed="false">
      <c r="C309" s="11"/>
      <c r="D309" s="11"/>
      <c r="E309" s="11"/>
      <c r="F309" s="11"/>
      <c r="G309" s="11"/>
      <c r="H309" s="11"/>
      <c r="I309" s="11"/>
      <c r="J309" s="11"/>
      <c r="K309" s="11"/>
      <c r="L309" s="11"/>
      <c r="M309" s="11"/>
      <c r="N309" s="44" t="n">
        <v>12.88</v>
      </c>
      <c r="O309" s="11"/>
    </row>
    <row r="310" customFormat="false" ht="14.25" hidden="false" customHeight="true" outlineLevel="0" collapsed="false">
      <c r="C310" s="11"/>
      <c r="D310" s="11"/>
      <c r="E310" s="11"/>
      <c r="F310" s="11"/>
      <c r="G310" s="11"/>
      <c r="H310" s="11"/>
      <c r="I310" s="11"/>
      <c r="J310" s="11"/>
      <c r="K310" s="11"/>
      <c r="L310" s="11"/>
      <c r="M310" s="11"/>
      <c r="N310" s="44" t="n">
        <v>13.04</v>
      </c>
      <c r="O310" s="11"/>
    </row>
    <row r="311" customFormat="false" ht="14.25" hidden="false" customHeight="true" outlineLevel="0" collapsed="false">
      <c r="C311" s="11"/>
      <c r="D311" s="11"/>
      <c r="E311" s="11"/>
      <c r="F311" s="11"/>
      <c r="G311" s="11"/>
      <c r="H311" s="11"/>
      <c r="I311" s="11"/>
      <c r="J311" s="11"/>
      <c r="K311" s="11"/>
      <c r="L311" s="11"/>
      <c r="M311" s="11"/>
      <c r="N311" s="44" t="n">
        <v>13.18</v>
      </c>
      <c r="O311" s="11"/>
    </row>
    <row r="312" customFormat="false" ht="14.25" hidden="false" customHeight="true" outlineLevel="0" collapsed="false">
      <c r="C312" s="11"/>
      <c r="D312" s="11"/>
      <c r="E312" s="11"/>
      <c r="F312" s="11"/>
      <c r="G312" s="11"/>
      <c r="H312" s="11"/>
      <c r="I312" s="11"/>
      <c r="J312" s="11"/>
      <c r="K312" s="11"/>
      <c r="L312" s="11"/>
      <c r="M312" s="11"/>
      <c r="N312" s="44" t="n">
        <v>13.18</v>
      </c>
      <c r="O312" s="11"/>
    </row>
    <row r="313" customFormat="false" ht="14.25" hidden="false" customHeight="true" outlineLevel="0" collapsed="false">
      <c r="C313" s="11"/>
      <c r="D313" s="11"/>
      <c r="E313" s="11"/>
      <c r="F313" s="11"/>
      <c r="G313" s="11"/>
      <c r="H313" s="11"/>
      <c r="I313" s="11"/>
      <c r="J313" s="11"/>
      <c r="K313" s="11"/>
      <c r="L313" s="11"/>
      <c r="M313" s="11"/>
      <c r="N313" s="44" t="n">
        <v>13.22</v>
      </c>
      <c r="O313" s="11"/>
    </row>
    <row r="314" customFormat="false" ht="14.25" hidden="false" customHeight="true" outlineLevel="0" collapsed="false">
      <c r="C314" s="11"/>
      <c r="D314" s="11"/>
      <c r="E314" s="11"/>
      <c r="F314" s="11"/>
      <c r="G314" s="11"/>
      <c r="H314" s="11"/>
      <c r="I314" s="11"/>
      <c r="J314" s="11"/>
      <c r="K314" s="11"/>
      <c r="L314" s="11"/>
      <c r="M314" s="11"/>
      <c r="N314" s="44" t="n">
        <v>13.36</v>
      </c>
      <c r="O314" s="11"/>
    </row>
    <row r="315" customFormat="false" ht="14.25" hidden="false" customHeight="true" outlineLevel="0" collapsed="false">
      <c r="C315" s="11"/>
      <c r="D315" s="11"/>
      <c r="E315" s="11"/>
      <c r="F315" s="11"/>
      <c r="G315" s="11"/>
      <c r="H315" s="11"/>
      <c r="I315" s="11"/>
      <c r="J315" s="11"/>
      <c r="K315" s="11"/>
      <c r="L315" s="11"/>
      <c r="M315" s="11"/>
      <c r="N315" s="44" t="n">
        <v>13.22</v>
      </c>
      <c r="O315" s="11"/>
    </row>
    <row r="316" customFormat="false" ht="14.25" hidden="false" customHeight="true" outlineLevel="0" collapsed="false">
      <c r="C316" s="11"/>
      <c r="D316" s="11"/>
      <c r="E316" s="11"/>
      <c r="F316" s="11"/>
      <c r="G316" s="11"/>
      <c r="H316" s="11"/>
      <c r="I316" s="11"/>
      <c r="J316" s="11"/>
      <c r="K316" s="11"/>
      <c r="L316" s="11"/>
      <c r="M316" s="11"/>
      <c r="N316" s="44" t="n">
        <v>13.41</v>
      </c>
      <c r="O316" s="11"/>
    </row>
    <row r="317" customFormat="false" ht="14.25" hidden="false" customHeight="true" outlineLevel="0" collapsed="false">
      <c r="C317" s="11"/>
      <c r="D317" s="11"/>
      <c r="E317" s="11"/>
      <c r="F317" s="11"/>
      <c r="G317" s="11"/>
      <c r="H317" s="11"/>
      <c r="I317" s="11"/>
      <c r="J317" s="11"/>
      <c r="K317" s="11"/>
      <c r="L317" s="11"/>
      <c r="M317" s="11"/>
      <c r="N317" s="44" t="n">
        <v>13.42</v>
      </c>
      <c r="O317" s="11"/>
    </row>
    <row r="318" customFormat="false" ht="14.25" hidden="false" customHeight="true" outlineLevel="0" collapsed="false">
      <c r="C318" s="11"/>
      <c r="D318" s="11"/>
      <c r="E318" s="11"/>
      <c r="F318" s="11"/>
      <c r="G318" s="11"/>
      <c r="H318" s="11"/>
      <c r="I318" s="11"/>
      <c r="J318" s="11"/>
      <c r="K318" s="11"/>
      <c r="L318" s="11"/>
      <c r="M318" s="11"/>
      <c r="N318" s="44" t="n">
        <v>13.22</v>
      </c>
      <c r="O318" s="11"/>
    </row>
    <row r="319" customFormat="false" ht="14.25" hidden="false" customHeight="true" outlineLevel="0" collapsed="false">
      <c r="C319" s="11"/>
      <c r="D319" s="11"/>
      <c r="E319" s="11"/>
      <c r="F319" s="11"/>
      <c r="G319" s="11"/>
      <c r="H319" s="11"/>
      <c r="I319" s="11"/>
      <c r="J319" s="11"/>
      <c r="K319" s="11"/>
      <c r="L319" s="11"/>
      <c r="M319" s="11"/>
      <c r="N319" s="44" t="n">
        <v>13.17</v>
      </c>
      <c r="O319" s="11"/>
    </row>
    <row r="320" customFormat="false" ht="14.25" hidden="false" customHeight="true" outlineLevel="0" collapsed="false">
      <c r="C320" s="11"/>
      <c r="D320" s="11"/>
      <c r="E320" s="11"/>
      <c r="F320" s="11"/>
      <c r="G320" s="11"/>
      <c r="H320" s="11"/>
      <c r="I320" s="11"/>
      <c r="J320" s="11"/>
      <c r="K320" s="11"/>
      <c r="L320" s="11"/>
      <c r="M320" s="11"/>
      <c r="N320" s="44" t="n">
        <v>13.14</v>
      </c>
      <c r="O320" s="11"/>
    </row>
    <row r="321" customFormat="false" ht="14.25" hidden="false" customHeight="true" outlineLevel="0" collapsed="false">
      <c r="C321" s="11"/>
      <c r="D321" s="11"/>
      <c r="E321" s="11"/>
      <c r="F321" s="11"/>
      <c r="G321" s="11"/>
      <c r="H321" s="11"/>
      <c r="I321" s="11"/>
      <c r="J321" s="11"/>
      <c r="K321" s="11"/>
      <c r="L321" s="11"/>
      <c r="M321" s="11"/>
      <c r="N321" s="44" t="n">
        <v>13.25</v>
      </c>
      <c r="O321" s="11"/>
    </row>
    <row r="322" customFormat="false" ht="14.25" hidden="false" customHeight="true" outlineLevel="0" collapsed="false">
      <c r="C322" s="11"/>
      <c r="D322" s="11"/>
      <c r="E322" s="11"/>
      <c r="F322" s="11"/>
      <c r="G322" s="11"/>
      <c r="H322" s="11"/>
      <c r="I322" s="11"/>
      <c r="J322" s="11"/>
      <c r="K322" s="11"/>
      <c r="L322" s="11"/>
      <c r="M322" s="11"/>
      <c r="N322" s="44" t="n">
        <v>13.49</v>
      </c>
      <c r="O322" s="11"/>
    </row>
    <row r="323" customFormat="false" ht="14.25" hidden="false" customHeight="true" outlineLevel="0" collapsed="false">
      <c r="C323" s="11"/>
      <c r="D323" s="11"/>
      <c r="E323" s="11"/>
      <c r="F323" s="11"/>
      <c r="G323" s="11"/>
      <c r="H323" s="11"/>
      <c r="I323" s="11"/>
      <c r="J323" s="11"/>
      <c r="K323" s="11"/>
      <c r="L323" s="11"/>
      <c r="M323" s="11"/>
      <c r="N323" s="44" t="n">
        <v>13.06</v>
      </c>
      <c r="O323" s="11"/>
    </row>
    <row r="324" customFormat="false" ht="14.25" hidden="false" customHeight="true" outlineLevel="0" collapsed="false">
      <c r="C324" s="11"/>
      <c r="D324" s="11"/>
      <c r="E324" s="11"/>
      <c r="F324" s="11"/>
      <c r="G324" s="11"/>
      <c r="H324" s="11"/>
      <c r="I324" s="11"/>
      <c r="J324" s="11"/>
      <c r="K324" s="11"/>
      <c r="L324" s="11"/>
      <c r="M324" s="11"/>
      <c r="N324" s="44" t="n">
        <v>13.41</v>
      </c>
      <c r="O324" s="11"/>
    </row>
    <row r="325" customFormat="false" ht="14.25" hidden="false" customHeight="true" outlineLevel="0" collapsed="false">
      <c r="C325" s="11"/>
      <c r="D325" s="11"/>
      <c r="E325" s="11"/>
      <c r="F325" s="11"/>
      <c r="G325" s="11"/>
      <c r="H325" s="11"/>
      <c r="I325" s="11"/>
      <c r="J325" s="11"/>
      <c r="K325" s="11"/>
      <c r="L325" s="11"/>
      <c r="M325" s="11"/>
      <c r="N325" s="44" t="n">
        <v>13.12</v>
      </c>
      <c r="O325" s="11"/>
    </row>
    <row r="326" customFormat="false" ht="14.25" hidden="false" customHeight="true" outlineLevel="0" collapsed="false">
      <c r="C326" s="11"/>
      <c r="D326" s="11"/>
      <c r="E326" s="11"/>
      <c r="F326" s="11"/>
      <c r="G326" s="11"/>
      <c r="H326" s="11"/>
      <c r="I326" s="11"/>
      <c r="J326" s="11"/>
      <c r="K326" s="11"/>
      <c r="L326" s="11"/>
      <c r="M326" s="11"/>
      <c r="N326" s="44" t="n">
        <v>13.26</v>
      </c>
      <c r="O326" s="11"/>
    </row>
    <row r="327" customFormat="false" ht="14.25" hidden="false" customHeight="true" outlineLevel="0" collapsed="false">
      <c r="C327" s="11"/>
      <c r="D327" s="11"/>
      <c r="E327" s="11"/>
      <c r="F327" s="11"/>
      <c r="G327" s="11"/>
      <c r="H327" s="11"/>
      <c r="I327" s="11"/>
      <c r="J327" s="11"/>
      <c r="K327" s="11"/>
      <c r="L327" s="11"/>
      <c r="M327" s="11"/>
      <c r="N327" s="44" t="n">
        <v>13.23</v>
      </c>
      <c r="O327" s="11"/>
    </row>
    <row r="328" customFormat="false" ht="14.25" hidden="false" customHeight="true" outlineLevel="0" collapsed="false">
      <c r="C328" s="11"/>
      <c r="D328" s="11"/>
      <c r="E328" s="11"/>
      <c r="F328" s="11"/>
      <c r="G328" s="11"/>
      <c r="H328" s="11"/>
      <c r="I328" s="11"/>
      <c r="J328" s="11"/>
      <c r="K328" s="11"/>
      <c r="L328" s="11"/>
      <c r="M328" s="11"/>
      <c r="N328" s="44" t="n">
        <v>13.13</v>
      </c>
      <c r="O328" s="11"/>
    </row>
    <row r="329" customFormat="false" ht="14.25" hidden="false" customHeight="true" outlineLevel="0" collapsed="false">
      <c r="C329" s="11"/>
      <c r="D329" s="11"/>
      <c r="E329" s="11"/>
      <c r="F329" s="11"/>
      <c r="G329" s="11"/>
      <c r="H329" s="11"/>
      <c r="I329" s="11"/>
      <c r="J329" s="11"/>
      <c r="K329" s="11"/>
      <c r="L329" s="11"/>
      <c r="M329" s="11"/>
      <c r="N329" s="44" t="n">
        <v>13.11</v>
      </c>
      <c r="O329" s="11"/>
    </row>
    <row r="330" customFormat="false" ht="14.25" hidden="false" customHeight="true" outlineLevel="0" collapsed="false">
      <c r="C330" s="11"/>
      <c r="D330" s="11"/>
      <c r="E330" s="11"/>
      <c r="F330" s="11"/>
      <c r="G330" s="11"/>
      <c r="H330" s="11"/>
      <c r="I330" s="11"/>
      <c r="J330" s="11"/>
      <c r="K330" s="11"/>
      <c r="L330" s="11"/>
      <c r="M330" s="11"/>
      <c r="N330" s="44" t="n">
        <v>12.99</v>
      </c>
      <c r="O330" s="11"/>
    </row>
    <row r="331" customFormat="false" ht="14.25" hidden="false" customHeight="true" outlineLevel="0" collapsed="false">
      <c r="C331" s="11"/>
      <c r="D331" s="11"/>
      <c r="E331" s="11"/>
      <c r="F331" s="11"/>
      <c r="G331" s="11"/>
      <c r="H331" s="11"/>
      <c r="I331" s="11"/>
      <c r="J331" s="11"/>
      <c r="K331" s="11"/>
      <c r="L331" s="11"/>
      <c r="M331" s="11"/>
      <c r="N331" s="44" t="n">
        <v>13.16</v>
      </c>
      <c r="O331" s="11"/>
    </row>
    <row r="332" customFormat="false" ht="14.25" hidden="false" customHeight="true" outlineLevel="0" collapsed="false">
      <c r="C332" s="11"/>
      <c r="D332" s="11"/>
      <c r="E332" s="11"/>
      <c r="F332" s="11"/>
      <c r="G332" s="11"/>
      <c r="H332" s="11"/>
      <c r="I332" s="11"/>
      <c r="J332" s="11"/>
      <c r="K332" s="11"/>
      <c r="L332" s="11"/>
      <c r="M332" s="11"/>
      <c r="N332" s="44" t="n">
        <v>13.34</v>
      </c>
      <c r="O332" s="11"/>
    </row>
    <row r="333" customFormat="false" ht="14.25" hidden="false" customHeight="true" outlineLevel="0" collapsed="false">
      <c r="C333" s="11"/>
      <c r="D333" s="11"/>
      <c r="E333" s="11"/>
      <c r="F333" s="11"/>
      <c r="G333" s="11"/>
      <c r="H333" s="11"/>
      <c r="I333" s="11"/>
      <c r="J333" s="11"/>
      <c r="K333" s="11"/>
      <c r="L333" s="11"/>
      <c r="M333" s="11"/>
      <c r="N333" s="44" t="n">
        <v>13.27</v>
      </c>
      <c r="O333" s="11"/>
    </row>
    <row r="334" customFormat="false" ht="14.25" hidden="false" customHeight="true" outlineLevel="0" collapsed="false">
      <c r="C334" s="11"/>
      <c r="D334" s="11"/>
      <c r="E334" s="11"/>
      <c r="F334" s="11"/>
      <c r="G334" s="11"/>
      <c r="H334" s="11"/>
      <c r="I334" s="11"/>
      <c r="J334" s="11"/>
      <c r="K334" s="11"/>
      <c r="L334" s="11"/>
      <c r="M334" s="11"/>
      <c r="N334" s="44" t="n">
        <v>13.43</v>
      </c>
      <c r="O334" s="11"/>
    </row>
    <row r="335" customFormat="false" ht="14.25" hidden="false" customHeight="true" outlineLevel="0" collapsed="false">
      <c r="C335" s="11"/>
      <c r="D335" s="11"/>
      <c r="E335" s="11"/>
      <c r="F335" s="11"/>
      <c r="G335" s="11"/>
      <c r="H335" s="11"/>
      <c r="I335" s="11"/>
      <c r="J335" s="11"/>
      <c r="K335" s="11"/>
      <c r="L335" s="11"/>
      <c r="M335" s="11"/>
      <c r="N335" s="44" t="n">
        <v>13.4</v>
      </c>
      <c r="O335" s="11"/>
    </row>
    <row r="336" customFormat="false" ht="14.25" hidden="false" customHeight="true" outlineLevel="0" collapsed="false">
      <c r="C336" s="11"/>
      <c r="D336" s="11"/>
      <c r="E336" s="11"/>
      <c r="F336" s="11"/>
      <c r="G336" s="11"/>
      <c r="H336" s="11"/>
      <c r="I336" s="11"/>
      <c r="J336" s="11"/>
      <c r="K336" s="11"/>
      <c r="L336" s="11"/>
      <c r="M336" s="11"/>
      <c r="N336" s="44" t="n">
        <v>13.55</v>
      </c>
      <c r="O336" s="11"/>
    </row>
    <row r="337" customFormat="false" ht="14.25" hidden="false" customHeight="true" outlineLevel="0" collapsed="false">
      <c r="C337" s="11"/>
      <c r="D337" s="11"/>
      <c r="E337" s="11"/>
      <c r="F337" s="11"/>
      <c r="G337" s="11"/>
      <c r="H337" s="11"/>
      <c r="I337" s="11"/>
      <c r="J337" s="11"/>
      <c r="K337" s="11"/>
      <c r="L337" s="11"/>
      <c r="M337" s="11"/>
      <c r="N337" s="44" t="n">
        <v>13.31</v>
      </c>
      <c r="O337" s="11"/>
    </row>
    <row r="338" customFormat="false" ht="14.25" hidden="false" customHeight="true" outlineLevel="0" collapsed="false">
      <c r="C338" s="11"/>
      <c r="D338" s="11"/>
      <c r="E338" s="11"/>
      <c r="F338" s="11"/>
      <c r="G338" s="11"/>
      <c r="H338" s="11"/>
      <c r="I338" s="11"/>
      <c r="J338" s="11"/>
      <c r="K338" s="11"/>
      <c r="L338" s="11"/>
      <c r="M338" s="11"/>
      <c r="N338" s="44" t="n">
        <v>12.98</v>
      </c>
      <c r="O338" s="11"/>
    </row>
    <row r="339" customFormat="false" ht="14.25" hidden="false" customHeight="true" outlineLevel="0" collapsed="false">
      <c r="C339" s="11"/>
      <c r="D339" s="11"/>
      <c r="E339" s="11"/>
      <c r="F339" s="11"/>
      <c r="G339" s="11"/>
      <c r="H339" s="11"/>
      <c r="I339" s="11"/>
      <c r="J339" s="11"/>
      <c r="K339" s="11"/>
      <c r="L339" s="11"/>
      <c r="M339" s="11"/>
      <c r="N339" s="44" t="n">
        <v>12.99</v>
      </c>
      <c r="O339" s="11"/>
    </row>
    <row r="340" customFormat="false" ht="14.25" hidden="false" customHeight="true" outlineLevel="0" collapsed="false">
      <c r="C340" s="11"/>
      <c r="D340" s="11"/>
      <c r="E340" s="11"/>
      <c r="F340" s="11"/>
      <c r="G340" s="11"/>
      <c r="H340" s="11"/>
      <c r="I340" s="11"/>
      <c r="J340" s="11"/>
      <c r="K340" s="11"/>
      <c r="L340" s="11"/>
      <c r="M340" s="11"/>
      <c r="N340" s="44" t="n">
        <v>13.19</v>
      </c>
      <c r="O340" s="11"/>
    </row>
    <row r="341" customFormat="false" ht="14.25" hidden="false" customHeight="true" outlineLevel="0" collapsed="false">
      <c r="C341" s="11"/>
      <c r="D341" s="11"/>
      <c r="E341" s="11"/>
      <c r="F341" s="11"/>
      <c r="G341" s="11"/>
      <c r="H341" s="11"/>
      <c r="I341" s="11"/>
      <c r="J341" s="11"/>
      <c r="K341" s="11"/>
      <c r="L341" s="11"/>
      <c r="M341" s="11"/>
      <c r="N341" s="44" t="n">
        <v>13.1</v>
      </c>
      <c r="O341" s="11"/>
    </row>
    <row r="342" customFormat="false" ht="14.25" hidden="false" customHeight="true" outlineLevel="0" collapsed="false">
      <c r="C342" s="11"/>
      <c r="D342" s="11"/>
      <c r="E342" s="11"/>
      <c r="F342" s="11"/>
      <c r="G342" s="11"/>
      <c r="H342" s="11"/>
      <c r="I342" s="11"/>
      <c r="J342" s="11"/>
      <c r="K342" s="11"/>
      <c r="L342" s="11"/>
      <c r="M342" s="11"/>
      <c r="N342" s="44" t="n">
        <v>13</v>
      </c>
      <c r="O342" s="11"/>
    </row>
    <row r="343" customFormat="false" ht="14.25" hidden="false" customHeight="true" outlineLevel="0" collapsed="false">
      <c r="C343" s="11"/>
      <c r="D343" s="11"/>
      <c r="E343" s="11"/>
      <c r="F343" s="11"/>
      <c r="G343" s="11"/>
      <c r="H343" s="11"/>
      <c r="I343" s="11"/>
      <c r="J343" s="11"/>
      <c r="K343" s="11"/>
      <c r="L343" s="11"/>
      <c r="M343" s="11"/>
      <c r="N343" s="44" t="n">
        <v>13.42</v>
      </c>
      <c r="O343" s="11"/>
    </row>
    <row r="344" customFormat="false" ht="14.25" hidden="false" customHeight="true" outlineLevel="0" collapsed="false">
      <c r="C344" s="11"/>
      <c r="D344" s="11"/>
      <c r="E344" s="11"/>
      <c r="F344" s="11"/>
      <c r="G344" s="11"/>
      <c r="H344" s="11"/>
      <c r="I344" s="11"/>
      <c r="J344" s="11"/>
      <c r="K344" s="11"/>
      <c r="L344" s="11"/>
      <c r="M344" s="11"/>
      <c r="N344" s="44" t="n">
        <v>13.46</v>
      </c>
      <c r="O344" s="11"/>
    </row>
    <row r="345" customFormat="false" ht="14.25" hidden="false" customHeight="true" outlineLevel="0" collapsed="false">
      <c r="C345" s="11"/>
      <c r="D345" s="11"/>
      <c r="E345" s="11"/>
      <c r="F345" s="11"/>
      <c r="G345" s="11"/>
      <c r="H345" s="11"/>
      <c r="I345" s="11"/>
      <c r="J345" s="11"/>
      <c r="K345" s="11"/>
      <c r="L345" s="11"/>
      <c r="M345" s="11"/>
      <c r="N345" s="44" t="n">
        <v>13.74</v>
      </c>
      <c r="O345" s="11"/>
    </row>
    <row r="346" customFormat="false" ht="14.25" hidden="false" customHeight="true" outlineLevel="0" collapsed="false">
      <c r="C346" s="11"/>
      <c r="D346" s="11"/>
      <c r="E346" s="11"/>
      <c r="F346" s="11"/>
      <c r="G346" s="11"/>
      <c r="H346" s="11"/>
      <c r="I346" s="11"/>
      <c r="J346" s="11"/>
      <c r="K346" s="11"/>
      <c r="L346" s="11"/>
      <c r="M346" s="11"/>
      <c r="N346" s="44" t="n">
        <v>13.79</v>
      </c>
      <c r="O346" s="11"/>
    </row>
    <row r="347" customFormat="false" ht="14.25" hidden="false" customHeight="true" outlineLevel="0" collapsed="false">
      <c r="C347" s="11"/>
      <c r="D347" s="11"/>
      <c r="E347" s="11"/>
      <c r="F347" s="11"/>
      <c r="G347" s="11"/>
      <c r="H347" s="11"/>
      <c r="I347" s="11"/>
      <c r="J347" s="11"/>
      <c r="K347" s="11"/>
      <c r="L347" s="11"/>
      <c r="M347" s="11"/>
      <c r="N347" s="44" t="n">
        <v>13.65</v>
      </c>
      <c r="O347" s="11"/>
    </row>
    <row r="348" customFormat="false" ht="14.25" hidden="false" customHeight="true" outlineLevel="0" collapsed="false">
      <c r="C348" s="11"/>
      <c r="D348" s="11"/>
      <c r="E348" s="11"/>
      <c r="F348" s="11"/>
      <c r="G348" s="11"/>
      <c r="H348" s="11"/>
      <c r="I348" s="11"/>
      <c r="J348" s="11"/>
      <c r="K348" s="11"/>
      <c r="L348" s="11"/>
      <c r="M348" s="11"/>
      <c r="N348" s="44" t="n">
        <v>13.66</v>
      </c>
      <c r="O348" s="11"/>
    </row>
    <row r="349" customFormat="false" ht="14.25" hidden="false" customHeight="true" outlineLevel="0" collapsed="false">
      <c r="C349" s="11"/>
      <c r="D349" s="11"/>
      <c r="E349" s="11"/>
      <c r="F349" s="11"/>
      <c r="G349" s="11"/>
      <c r="H349" s="11"/>
      <c r="I349" s="11"/>
      <c r="J349" s="11"/>
      <c r="K349" s="11"/>
      <c r="L349" s="11"/>
      <c r="M349" s="11"/>
      <c r="N349" s="44" t="n">
        <v>13.76</v>
      </c>
      <c r="O349" s="11"/>
    </row>
    <row r="350" customFormat="false" ht="14.25" hidden="false" customHeight="true" outlineLevel="0" collapsed="false">
      <c r="C350" s="11"/>
      <c r="D350" s="11"/>
      <c r="E350" s="11"/>
      <c r="F350" s="11"/>
      <c r="G350" s="11"/>
      <c r="H350" s="11"/>
      <c r="I350" s="11"/>
      <c r="J350" s="11"/>
      <c r="K350" s="11"/>
      <c r="L350" s="11"/>
      <c r="M350" s="11"/>
      <c r="N350" s="44" t="n">
        <v>14.04</v>
      </c>
      <c r="O350" s="11"/>
    </row>
    <row r="351" customFormat="false" ht="14.25" hidden="false" customHeight="true" outlineLevel="0" collapsed="false">
      <c r="C351" s="11"/>
      <c r="D351" s="11"/>
      <c r="E351" s="11"/>
      <c r="F351" s="11"/>
      <c r="G351" s="11"/>
      <c r="H351" s="11"/>
      <c r="I351" s="11"/>
      <c r="J351" s="11"/>
      <c r="K351" s="11"/>
      <c r="L351" s="11"/>
      <c r="M351" s="11"/>
      <c r="N351" s="44" t="n">
        <v>14.02</v>
      </c>
      <c r="O351" s="11"/>
    </row>
    <row r="352" customFormat="false" ht="14.25" hidden="false" customHeight="true" outlineLevel="0" collapsed="false">
      <c r="C352" s="11"/>
      <c r="D352" s="11"/>
      <c r="E352" s="11"/>
      <c r="F352" s="11"/>
      <c r="G352" s="11"/>
      <c r="H352" s="11"/>
      <c r="I352" s="11"/>
      <c r="J352" s="11"/>
      <c r="K352" s="11"/>
      <c r="L352" s="11"/>
      <c r="M352" s="11"/>
      <c r="N352" s="44" t="n">
        <v>14.09</v>
      </c>
      <c r="O352" s="11"/>
    </row>
    <row r="353" customFormat="false" ht="14.25" hidden="false" customHeight="true" outlineLevel="0" collapsed="false">
      <c r="C353" s="11"/>
      <c r="D353" s="11"/>
      <c r="E353" s="11"/>
      <c r="F353" s="11"/>
      <c r="G353" s="11"/>
      <c r="H353" s="11"/>
      <c r="I353" s="11"/>
      <c r="J353" s="11"/>
      <c r="K353" s="11"/>
      <c r="L353" s="11"/>
      <c r="M353" s="11"/>
      <c r="N353" s="44" t="n">
        <v>14.15</v>
      </c>
      <c r="O353" s="11"/>
    </row>
    <row r="354" customFormat="false" ht="14.25" hidden="false" customHeight="true" outlineLevel="0" collapsed="false">
      <c r="C354" s="11"/>
      <c r="D354" s="11"/>
      <c r="E354" s="11"/>
      <c r="F354" s="11"/>
      <c r="G354" s="11"/>
      <c r="H354" s="11"/>
      <c r="I354" s="11"/>
      <c r="J354" s="11"/>
      <c r="K354" s="11"/>
      <c r="L354" s="11"/>
      <c r="M354" s="11"/>
      <c r="N354" s="44" t="n">
        <v>13.61</v>
      </c>
      <c r="O354" s="11"/>
    </row>
    <row r="355" customFormat="false" ht="14.25" hidden="false" customHeight="true" outlineLevel="0" collapsed="false">
      <c r="C355" s="11"/>
      <c r="D355" s="11"/>
      <c r="E355" s="11"/>
      <c r="F355" s="11"/>
      <c r="G355" s="11"/>
      <c r="H355" s="11"/>
      <c r="I355" s="11"/>
      <c r="J355" s="11"/>
      <c r="K355" s="11"/>
      <c r="L355" s="11"/>
      <c r="M355" s="11"/>
      <c r="N355" s="44" t="n">
        <v>13.38</v>
      </c>
      <c r="O355" s="11"/>
    </row>
    <row r="356" customFormat="false" ht="14.25" hidden="false" customHeight="true" outlineLevel="0" collapsed="false">
      <c r="C356" s="11"/>
      <c r="D356" s="11"/>
      <c r="E356" s="11"/>
      <c r="F356" s="11"/>
      <c r="G356" s="11"/>
      <c r="H356" s="11"/>
      <c r="I356" s="11"/>
      <c r="J356" s="11"/>
      <c r="K356" s="11"/>
      <c r="L356" s="11"/>
      <c r="M356" s="11"/>
      <c r="N356" s="44" t="n">
        <v>13.39</v>
      </c>
      <c r="O356" s="11"/>
    </row>
    <row r="357" customFormat="false" ht="14.25" hidden="false" customHeight="true" outlineLevel="0" collapsed="false">
      <c r="C357" s="11"/>
      <c r="D357" s="11"/>
      <c r="E357" s="11"/>
      <c r="F357" s="11"/>
      <c r="G357" s="11"/>
      <c r="H357" s="11"/>
      <c r="I357" s="11"/>
      <c r="J357" s="11"/>
      <c r="K357" s="11"/>
      <c r="L357" s="11"/>
      <c r="M357" s="11"/>
      <c r="N357" s="44" t="n">
        <v>13.62</v>
      </c>
      <c r="O357" s="11"/>
    </row>
    <row r="358" customFormat="false" ht="14.25" hidden="false" customHeight="true" outlineLevel="0" collapsed="false">
      <c r="C358" s="11"/>
      <c r="D358" s="11"/>
      <c r="E358" s="11"/>
      <c r="F358" s="11"/>
      <c r="G358" s="11"/>
      <c r="H358" s="11"/>
      <c r="I358" s="11"/>
      <c r="J358" s="11"/>
      <c r="K358" s="11"/>
      <c r="L358" s="11"/>
      <c r="M358" s="11"/>
      <c r="N358" s="44" t="n">
        <v>13.51</v>
      </c>
      <c r="O358" s="11"/>
    </row>
    <row r="359" customFormat="false" ht="14.25" hidden="false" customHeight="true" outlineLevel="0" collapsed="false">
      <c r="C359" s="11"/>
      <c r="D359" s="11"/>
      <c r="E359" s="11"/>
      <c r="F359" s="11"/>
      <c r="G359" s="11"/>
      <c r="H359" s="11"/>
      <c r="I359" s="11"/>
      <c r="J359" s="11"/>
      <c r="K359" s="11"/>
      <c r="L359" s="11"/>
      <c r="M359" s="11"/>
      <c r="N359" s="44" t="n">
        <v>13.63</v>
      </c>
      <c r="O359" s="11"/>
    </row>
    <row r="360" customFormat="false" ht="14.25" hidden="false" customHeight="true" outlineLevel="0" collapsed="false">
      <c r="C360" s="11"/>
      <c r="D360" s="11"/>
      <c r="E360" s="11"/>
      <c r="F360" s="11"/>
      <c r="G360" s="11"/>
      <c r="H360" s="11"/>
      <c r="I360" s="11"/>
      <c r="J360" s="11"/>
      <c r="K360" s="11"/>
      <c r="L360" s="11"/>
      <c r="M360" s="11"/>
      <c r="N360" s="44" t="n">
        <v>13.94</v>
      </c>
      <c r="O360" s="11"/>
    </row>
    <row r="361" customFormat="false" ht="14.25" hidden="false" customHeight="true" outlineLevel="0" collapsed="false">
      <c r="C361" s="11"/>
      <c r="D361" s="11"/>
      <c r="E361" s="11"/>
      <c r="F361" s="11"/>
      <c r="G361" s="11"/>
      <c r="H361" s="11"/>
      <c r="I361" s="11"/>
      <c r="J361" s="11"/>
      <c r="K361" s="11"/>
      <c r="L361" s="11"/>
      <c r="M361" s="11"/>
      <c r="N361" s="44" t="n">
        <v>13.74</v>
      </c>
      <c r="O361" s="11"/>
    </row>
    <row r="362" customFormat="false" ht="14.25" hidden="false" customHeight="true" outlineLevel="0" collapsed="false">
      <c r="C362" s="11"/>
      <c r="D362" s="11"/>
      <c r="E362" s="11"/>
      <c r="F362" s="11"/>
      <c r="G362" s="11"/>
      <c r="H362" s="11"/>
      <c r="I362" s="11"/>
      <c r="J362" s="11"/>
      <c r="K362" s="11"/>
      <c r="L362" s="11"/>
      <c r="M362" s="11"/>
      <c r="N362" s="44" t="n">
        <v>13.77</v>
      </c>
      <c r="O362" s="11"/>
    </row>
    <row r="363" customFormat="false" ht="14.25" hidden="false" customHeight="true" outlineLevel="0" collapsed="false">
      <c r="C363" s="11"/>
      <c r="D363" s="11"/>
      <c r="E363" s="11"/>
      <c r="F363" s="11"/>
      <c r="G363" s="11"/>
      <c r="H363" s="11"/>
      <c r="I363" s="11"/>
      <c r="J363" s="11"/>
      <c r="K363" s="11"/>
      <c r="L363" s="11"/>
      <c r="M363" s="11"/>
      <c r="N363" s="44" t="n">
        <v>13.74</v>
      </c>
      <c r="O363" s="11"/>
    </row>
    <row r="364" customFormat="false" ht="14.25" hidden="false" customHeight="true" outlineLevel="0" collapsed="false">
      <c r="C364" s="11"/>
      <c r="D364" s="11"/>
      <c r="E364" s="11"/>
      <c r="F364" s="11"/>
      <c r="G364" s="11"/>
      <c r="H364" s="11"/>
      <c r="I364" s="11"/>
      <c r="J364" s="11"/>
      <c r="K364" s="11"/>
      <c r="L364" s="11"/>
      <c r="M364" s="11"/>
      <c r="N364" s="44" t="n">
        <v>13.7</v>
      </c>
      <c r="O364" s="11"/>
    </row>
    <row r="365" customFormat="false" ht="14.25" hidden="false" customHeight="true" outlineLevel="0" collapsed="false">
      <c r="C365" s="11"/>
      <c r="D365" s="11"/>
      <c r="E365" s="11"/>
      <c r="F365" s="11"/>
      <c r="G365" s="11"/>
      <c r="H365" s="11"/>
      <c r="I365" s="11"/>
      <c r="J365" s="11"/>
      <c r="K365" s="11"/>
      <c r="L365" s="11"/>
      <c r="M365" s="11"/>
      <c r="N365" s="44" t="n">
        <v>13.65</v>
      </c>
      <c r="O365" s="11"/>
    </row>
    <row r="366" customFormat="false" ht="14.25" hidden="false" customHeight="true" outlineLevel="0" collapsed="false">
      <c r="C366" s="11"/>
      <c r="D366" s="11"/>
      <c r="E366" s="11"/>
      <c r="F366" s="11"/>
      <c r="G366" s="11"/>
      <c r="H366" s="11"/>
      <c r="I366" s="11"/>
      <c r="J366" s="11"/>
      <c r="K366" s="11"/>
      <c r="L366" s="11"/>
      <c r="M366" s="11"/>
      <c r="N366" s="44" t="n">
        <v>13.47</v>
      </c>
      <c r="O366" s="11"/>
    </row>
    <row r="367" customFormat="false" ht="14.25" hidden="false" customHeight="true" outlineLevel="0" collapsed="false">
      <c r="C367" s="11"/>
      <c r="D367" s="11"/>
      <c r="E367" s="11"/>
      <c r="F367" s="11"/>
      <c r="G367" s="11"/>
      <c r="H367" s="11"/>
      <c r="I367" s="11"/>
      <c r="J367" s="11"/>
      <c r="K367" s="11"/>
      <c r="L367" s="11"/>
      <c r="M367" s="11"/>
      <c r="N367" s="44" t="n">
        <v>13.35</v>
      </c>
      <c r="O367" s="11"/>
    </row>
    <row r="368" customFormat="false" ht="14.25" hidden="false" customHeight="true" outlineLevel="0" collapsed="false">
      <c r="C368" s="11"/>
      <c r="D368" s="11"/>
      <c r="E368" s="11"/>
      <c r="F368" s="11"/>
      <c r="G368" s="11"/>
      <c r="H368" s="11"/>
      <c r="I368" s="11"/>
      <c r="J368" s="11"/>
      <c r="K368" s="11"/>
      <c r="L368" s="11"/>
      <c r="M368" s="11"/>
      <c r="N368" s="44" t="n">
        <v>13.35</v>
      </c>
      <c r="O368" s="11"/>
    </row>
    <row r="369" customFormat="false" ht="14.25" hidden="false" customHeight="true" outlineLevel="0" collapsed="false">
      <c r="C369" s="11"/>
      <c r="D369" s="11"/>
      <c r="E369" s="11"/>
      <c r="F369" s="11"/>
      <c r="G369" s="11"/>
      <c r="H369" s="11"/>
      <c r="I369" s="11"/>
      <c r="J369" s="11"/>
      <c r="K369" s="11"/>
      <c r="L369" s="11"/>
      <c r="M369" s="11"/>
      <c r="N369" s="44" t="n">
        <v>13.4</v>
      </c>
      <c r="O369" s="11"/>
    </row>
    <row r="370" customFormat="false" ht="14.25" hidden="false" customHeight="true" outlineLevel="0" collapsed="false">
      <c r="C370" s="11"/>
      <c r="D370" s="11"/>
      <c r="E370" s="11"/>
      <c r="F370" s="11"/>
      <c r="G370" s="11"/>
      <c r="H370" s="11"/>
      <c r="I370" s="11"/>
      <c r="J370" s="11"/>
      <c r="K370" s="11"/>
      <c r="L370" s="11"/>
      <c r="M370" s="11"/>
      <c r="N370" s="44" t="n">
        <v>13.33</v>
      </c>
      <c r="O370" s="11"/>
    </row>
    <row r="371" customFormat="false" ht="14.25" hidden="false" customHeight="true" outlineLevel="0" collapsed="false">
      <c r="C371" s="11"/>
      <c r="D371" s="11"/>
      <c r="E371" s="11"/>
      <c r="F371" s="11"/>
      <c r="G371" s="11"/>
      <c r="H371" s="11"/>
      <c r="I371" s="11"/>
      <c r="J371" s="11"/>
      <c r="K371" s="11"/>
      <c r="L371" s="11"/>
      <c r="M371" s="11"/>
      <c r="N371" s="44" t="n">
        <v>13.49</v>
      </c>
      <c r="O371" s="11"/>
    </row>
    <row r="372" customFormat="false" ht="14.25" hidden="false" customHeight="true" outlineLevel="0" collapsed="false">
      <c r="C372" s="11"/>
      <c r="D372" s="11"/>
      <c r="E372" s="11"/>
      <c r="F372" s="11"/>
      <c r="G372" s="11"/>
      <c r="H372" s="11"/>
      <c r="I372" s="11"/>
      <c r="J372" s="11"/>
      <c r="K372" s="11"/>
      <c r="L372" s="11"/>
      <c r="M372" s="11"/>
      <c r="N372" s="44" t="n">
        <v>13.51</v>
      </c>
      <c r="O372" s="11"/>
    </row>
    <row r="373" customFormat="false" ht="14.25" hidden="false" customHeight="true" outlineLevel="0" collapsed="false">
      <c r="C373" s="11"/>
      <c r="D373" s="11"/>
      <c r="E373" s="11"/>
      <c r="F373" s="11"/>
      <c r="G373" s="11"/>
      <c r="H373" s="11"/>
      <c r="I373" s="11"/>
      <c r="J373" s="11"/>
      <c r="K373" s="11"/>
      <c r="L373" s="11"/>
      <c r="M373" s="11"/>
      <c r="N373" s="44" t="n">
        <v>13.37</v>
      </c>
      <c r="O373" s="11"/>
    </row>
    <row r="374" customFormat="false" ht="14.25" hidden="false" customHeight="true" outlineLevel="0" collapsed="false">
      <c r="C374" s="11"/>
      <c r="D374" s="11"/>
      <c r="E374" s="11"/>
      <c r="F374" s="11"/>
      <c r="G374" s="11"/>
      <c r="H374" s="11"/>
      <c r="I374" s="11"/>
      <c r="J374" s="11"/>
      <c r="K374" s="11"/>
      <c r="L374" s="11"/>
      <c r="M374" s="11"/>
      <c r="N374" s="44" t="n">
        <v>13.42</v>
      </c>
      <c r="O374" s="11"/>
    </row>
    <row r="375" customFormat="false" ht="14.25" hidden="false" customHeight="true" outlineLevel="0" collapsed="false">
      <c r="C375" s="11"/>
      <c r="D375" s="11"/>
      <c r="E375" s="11"/>
      <c r="F375" s="11"/>
      <c r="G375" s="11"/>
      <c r="H375" s="11"/>
      <c r="I375" s="11"/>
      <c r="J375" s="11"/>
      <c r="K375" s="11"/>
      <c r="L375" s="11"/>
      <c r="M375" s="11"/>
      <c r="N375" s="44" t="n">
        <v>13.38</v>
      </c>
      <c r="O375" s="11"/>
    </row>
    <row r="376" customFormat="false" ht="14.25" hidden="false" customHeight="true" outlineLevel="0" collapsed="false">
      <c r="C376" s="11"/>
      <c r="D376" s="11"/>
      <c r="E376" s="11"/>
      <c r="F376" s="11"/>
      <c r="G376" s="11"/>
      <c r="H376" s="11"/>
      <c r="I376" s="11"/>
      <c r="J376" s="11"/>
      <c r="K376" s="11"/>
      <c r="L376" s="11"/>
      <c r="M376" s="11"/>
      <c r="N376" s="44" t="n">
        <v>13.22</v>
      </c>
      <c r="O376" s="11"/>
    </row>
    <row r="377" customFormat="false" ht="14.25" hidden="false" customHeight="true" outlineLevel="0" collapsed="false">
      <c r="C377" s="11"/>
      <c r="D377" s="11"/>
      <c r="E377" s="11"/>
      <c r="F377" s="11"/>
      <c r="G377" s="11"/>
      <c r="H377" s="11"/>
      <c r="I377" s="11"/>
      <c r="J377" s="11"/>
      <c r="K377" s="11"/>
      <c r="L377" s="11"/>
      <c r="M377" s="11"/>
      <c r="N377" s="44" t="n">
        <v>13.32</v>
      </c>
      <c r="O377" s="11"/>
    </row>
    <row r="378" customFormat="false" ht="14.25" hidden="false" customHeight="true" outlineLevel="0" collapsed="false">
      <c r="C378" s="11"/>
      <c r="D378" s="11"/>
      <c r="E378" s="11"/>
      <c r="F378" s="11"/>
      <c r="G378" s="11"/>
      <c r="H378" s="11"/>
      <c r="I378" s="11"/>
      <c r="J378" s="11"/>
      <c r="K378" s="11"/>
      <c r="L378" s="11"/>
      <c r="M378" s="11"/>
      <c r="N378" s="44" t="n">
        <v>13.31</v>
      </c>
      <c r="O378" s="11"/>
    </row>
    <row r="379" customFormat="false" ht="14.25" hidden="false" customHeight="true" outlineLevel="0" collapsed="false">
      <c r="C379" s="11"/>
      <c r="D379" s="11"/>
      <c r="E379" s="11"/>
      <c r="F379" s="11"/>
      <c r="G379" s="11"/>
      <c r="H379" s="11"/>
      <c r="I379" s="11"/>
      <c r="J379" s="11"/>
      <c r="K379" s="11"/>
      <c r="L379" s="11"/>
      <c r="M379" s="11"/>
      <c r="N379" s="44" t="n">
        <v>13</v>
      </c>
      <c r="O379" s="11"/>
    </row>
    <row r="380" customFormat="false" ht="14.25" hidden="false" customHeight="true" outlineLevel="0" collapsed="false">
      <c r="C380" s="11"/>
      <c r="D380" s="11"/>
      <c r="E380" s="11"/>
      <c r="F380" s="11"/>
      <c r="G380" s="11"/>
      <c r="H380" s="11"/>
      <c r="I380" s="11"/>
      <c r="J380" s="11"/>
      <c r="K380" s="11"/>
      <c r="L380" s="11"/>
      <c r="M380" s="11"/>
      <c r="N380" s="44" t="n">
        <v>12.97</v>
      </c>
      <c r="O380" s="11"/>
    </row>
    <row r="381" customFormat="false" ht="14.25" hidden="false" customHeight="true" outlineLevel="0" collapsed="false">
      <c r="C381" s="11"/>
      <c r="D381" s="11"/>
      <c r="E381" s="11"/>
      <c r="F381" s="11"/>
      <c r="G381" s="11"/>
      <c r="H381" s="11"/>
      <c r="I381" s="11"/>
      <c r="J381" s="11"/>
      <c r="K381" s="11"/>
      <c r="L381" s="11"/>
      <c r="M381" s="11"/>
      <c r="N381" s="44" t="n">
        <v>13.39</v>
      </c>
      <c r="O381" s="11"/>
    </row>
    <row r="382" customFormat="false" ht="14.25" hidden="false" customHeight="true" outlineLevel="0" collapsed="false">
      <c r="C382" s="11"/>
      <c r="D382" s="11"/>
      <c r="E382" s="11"/>
      <c r="F382" s="11"/>
      <c r="G382" s="11"/>
      <c r="H382" s="11"/>
      <c r="I382" s="11"/>
      <c r="J382" s="11"/>
      <c r="K382" s="11"/>
      <c r="L382" s="11"/>
      <c r="M382" s="11"/>
      <c r="N382" s="44" t="n">
        <v>13.65</v>
      </c>
      <c r="O382" s="11"/>
    </row>
    <row r="383" customFormat="false" ht="14.25" hidden="false" customHeight="true" outlineLevel="0" collapsed="false">
      <c r="C383" s="11"/>
      <c r="D383" s="11"/>
      <c r="E383" s="11"/>
      <c r="F383" s="11"/>
      <c r="G383" s="11"/>
      <c r="H383" s="11"/>
      <c r="I383" s="11"/>
      <c r="J383" s="11"/>
      <c r="K383" s="11"/>
      <c r="L383" s="11"/>
      <c r="M383" s="11"/>
      <c r="N383" s="44" t="n">
        <v>13.94</v>
      </c>
      <c r="O383" s="11"/>
    </row>
    <row r="384" customFormat="false" ht="14.25" hidden="false" customHeight="true" outlineLevel="0" collapsed="false">
      <c r="C384" s="11"/>
      <c r="D384" s="11"/>
      <c r="E384" s="11"/>
      <c r="F384" s="11"/>
      <c r="G384" s="11"/>
      <c r="H384" s="11"/>
      <c r="I384" s="11"/>
      <c r="J384" s="11"/>
      <c r="K384" s="11"/>
      <c r="L384" s="11"/>
      <c r="M384" s="11"/>
      <c r="N384" s="44" t="n">
        <v>13.81</v>
      </c>
      <c r="O384" s="11"/>
    </row>
    <row r="385" customFormat="false" ht="14.25" hidden="false" customHeight="true" outlineLevel="0" collapsed="false">
      <c r="C385" s="11"/>
      <c r="D385" s="11"/>
      <c r="E385" s="11"/>
      <c r="F385" s="11"/>
      <c r="G385" s="11"/>
      <c r="H385" s="11"/>
      <c r="I385" s="11"/>
      <c r="J385" s="11"/>
      <c r="K385" s="11"/>
      <c r="L385" s="11"/>
      <c r="M385" s="11"/>
      <c r="N385" s="44" t="n">
        <v>13.76</v>
      </c>
      <c r="O385" s="11"/>
    </row>
    <row r="386" customFormat="false" ht="14.25" hidden="false" customHeight="true" outlineLevel="0" collapsed="false">
      <c r="C386" s="11"/>
      <c r="D386" s="11"/>
      <c r="E386" s="11"/>
      <c r="F386" s="11"/>
      <c r="G386" s="11"/>
      <c r="H386" s="11"/>
      <c r="I386" s="11"/>
      <c r="J386" s="11"/>
      <c r="K386" s="11"/>
      <c r="L386" s="11"/>
      <c r="M386" s="11"/>
      <c r="N386" s="44" t="n">
        <v>13.55</v>
      </c>
      <c r="O386" s="11"/>
    </row>
    <row r="387" customFormat="false" ht="14.25" hidden="false" customHeight="true" outlineLevel="0" collapsed="false">
      <c r="C387" s="11"/>
      <c r="D387" s="11"/>
      <c r="E387" s="11"/>
      <c r="F387" s="11"/>
      <c r="G387" s="11"/>
      <c r="H387" s="11"/>
      <c r="I387" s="11"/>
      <c r="J387" s="11"/>
      <c r="K387" s="11"/>
      <c r="L387" s="11"/>
      <c r="M387" s="11"/>
      <c r="N387" s="44" t="n">
        <v>13.56</v>
      </c>
      <c r="O387" s="11"/>
    </row>
    <row r="388" customFormat="false" ht="14.25" hidden="false" customHeight="true" outlineLevel="0" collapsed="false">
      <c r="C388" s="11"/>
      <c r="D388" s="11"/>
      <c r="E388" s="11"/>
      <c r="F388" s="11"/>
      <c r="G388" s="11"/>
      <c r="H388" s="11"/>
      <c r="I388" s="11"/>
      <c r="J388" s="11"/>
      <c r="K388" s="11"/>
      <c r="L388" s="11"/>
      <c r="M388" s="11"/>
      <c r="N388" s="44" t="n">
        <v>13.44</v>
      </c>
      <c r="O388" s="11"/>
    </row>
    <row r="389" customFormat="false" ht="14.25" hidden="false" customHeight="true" outlineLevel="0" collapsed="false">
      <c r="C389" s="11"/>
      <c r="D389" s="11"/>
      <c r="E389" s="11"/>
      <c r="F389" s="11"/>
      <c r="G389" s="11"/>
      <c r="H389" s="11"/>
      <c r="I389" s="11"/>
      <c r="J389" s="11"/>
      <c r="K389" s="11"/>
      <c r="L389" s="11"/>
      <c r="M389" s="11"/>
      <c r="N389" s="44" t="n">
        <v>13.48</v>
      </c>
      <c r="O389" s="11"/>
    </row>
    <row r="390" customFormat="false" ht="14.25" hidden="false" customHeight="true" outlineLevel="0" collapsed="false">
      <c r="C390" s="11"/>
      <c r="D390" s="11"/>
      <c r="E390" s="11"/>
      <c r="F390" s="11"/>
      <c r="G390" s="11"/>
      <c r="H390" s="11"/>
      <c r="I390" s="11"/>
      <c r="J390" s="11"/>
      <c r="K390" s="11"/>
      <c r="L390" s="11"/>
      <c r="M390" s="11"/>
      <c r="N390" s="44" t="n">
        <v>13.93</v>
      </c>
      <c r="O390" s="11"/>
    </row>
    <row r="391" customFormat="false" ht="14.25" hidden="false" customHeight="true" outlineLevel="0" collapsed="false">
      <c r="C391" s="11"/>
      <c r="D391" s="11"/>
      <c r="E391" s="11"/>
      <c r="F391" s="11"/>
      <c r="G391" s="11"/>
      <c r="H391" s="11"/>
      <c r="I391" s="11"/>
      <c r="J391" s="11"/>
      <c r="K391" s="11"/>
      <c r="L391" s="11"/>
      <c r="M391" s="11"/>
      <c r="N391" s="44" t="n">
        <v>14.11</v>
      </c>
      <c r="O391" s="11"/>
    </row>
    <row r="392" customFormat="false" ht="14.25" hidden="false" customHeight="true" outlineLevel="0" collapsed="false">
      <c r="C392" s="11"/>
      <c r="D392" s="11"/>
      <c r="E392" s="11"/>
      <c r="F392" s="11"/>
      <c r="G392" s="11"/>
      <c r="H392" s="11"/>
      <c r="I392" s="11"/>
      <c r="J392" s="11"/>
      <c r="K392" s="11"/>
      <c r="L392" s="11"/>
      <c r="M392" s="11"/>
      <c r="N392" s="44" t="n">
        <v>13.97</v>
      </c>
      <c r="O392" s="11"/>
    </row>
    <row r="393" customFormat="false" ht="14.25" hidden="false" customHeight="true" outlineLevel="0" collapsed="false">
      <c r="C393" s="11"/>
      <c r="D393" s="11"/>
      <c r="E393" s="11"/>
      <c r="F393" s="11"/>
      <c r="G393" s="11"/>
      <c r="H393" s="11"/>
      <c r="I393" s="11"/>
      <c r="J393" s="11"/>
      <c r="K393" s="11"/>
      <c r="L393" s="11"/>
      <c r="M393" s="11"/>
      <c r="N393" s="44" t="n">
        <v>13.82</v>
      </c>
      <c r="O393" s="11"/>
    </row>
    <row r="394" customFormat="false" ht="14.25" hidden="false" customHeight="true" outlineLevel="0" collapsed="false">
      <c r="C394" s="11"/>
      <c r="D394" s="11"/>
      <c r="E394" s="11"/>
      <c r="F394" s="11"/>
      <c r="G394" s="11"/>
      <c r="H394" s="11"/>
      <c r="I394" s="11"/>
      <c r="J394" s="11"/>
      <c r="K394" s="11"/>
      <c r="L394" s="11"/>
      <c r="M394" s="11"/>
      <c r="N394" s="44" t="n">
        <v>13.75</v>
      </c>
      <c r="O394" s="11"/>
    </row>
    <row r="395" customFormat="false" ht="14.25" hidden="false" customHeight="true" outlineLevel="0" collapsed="false">
      <c r="C395" s="11"/>
      <c r="D395" s="11"/>
      <c r="E395" s="11"/>
      <c r="F395" s="11"/>
      <c r="G395" s="11"/>
      <c r="H395" s="11"/>
      <c r="I395" s="11"/>
      <c r="J395" s="11"/>
      <c r="K395" s="11"/>
      <c r="L395" s="11"/>
      <c r="M395" s="11"/>
      <c r="N395" s="44" t="n">
        <v>14.16</v>
      </c>
      <c r="O395" s="11"/>
    </row>
    <row r="396" customFormat="false" ht="14.25" hidden="false" customHeight="true" outlineLevel="0" collapsed="false">
      <c r="C396" s="11"/>
      <c r="D396" s="11"/>
      <c r="E396" s="11"/>
      <c r="F396" s="11"/>
      <c r="G396" s="11"/>
      <c r="H396" s="11"/>
      <c r="I396" s="11"/>
      <c r="J396" s="11"/>
      <c r="K396" s="11"/>
      <c r="L396" s="11"/>
      <c r="M396" s="11"/>
      <c r="N396" s="44" t="n">
        <v>14.24</v>
      </c>
      <c r="O396" s="11"/>
    </row>
    <row r="397" customFormat="false" ht="14.25" hidden="false" customHeight="true" outlineLevel="0" collapsed="false">
      <c r="C397" s="11"/>
      <c r="D397" s="11"/>
      <c r="E397" s="11"/>
      <c r="F397" s="11"/>
      <c r="G397" s="11"/>
      <c r="H397" s="11"/>
      <c r="I397" s="11"/>
      <c r="J397" s="11"/>
      <c r="K397" s="11"/>
      <c r="L397" s="11"/>
      <c r="M397" s="11"/>
      <c r="N397" s="44" t="n">
        <v>14.75</v>
      </c>
      <c r="O397" s="11"/>
    </row>
    <row r="398" customFormat="false" ht="14.25" hidden="false" customHeight="true" outlineLevel="0" collapsed="false">
      <c r="C398" s="11"/>
      <c r="D398" s="11"/>
      <c r="E398" s="11"/>
      <c r="F398" s="11"/>
      <c r="G398" s="11"/>
      <c r="H398" s="11"/>
      <c r="I398" s="11"/>
      <c r="J398" s="11"/>
      <c r="K398" s="11"/>
      <c r="L398" s="11"/>
      <c r="M398" s="11"/>
      <c r="N398" s="44" t="n">
        <v>14.9</v>
      </c>
      <c r="O398" s="11"/>
    </row>
    <row r="399" customFormat="false" ht="14.25" hidden="false" customHeight="true" outlineLevel="0" collapsed="false">
      <c r="C399" s="11"/>
      <c r="D399" s="11"/>
      <c r="E399" s="11"/>
      <c r="F399" s="11"/>
      <c r="G399" s="11"/>
      <c r="H399" s="11"/>
      <c r="I399" s="11"/>
      <c r="J399" s="11"/>
      <c r="K399" s="11"/>
      <c r="L399" s="11"/>
      <c r="M399" s="11"/>
      <c r="N399" s="44" t="n">
        <v>14.7</v>
      </c>
      <c r="O399" s="11"/>
    </row>
    <row r="400" customFormat="false" ht="14.25" hidden="false" customHeight="true" outlineLevel="0" collapsed="false">
      <c r="C400" s="11"/>
      <c r="D400" s="11"/>
      <c r="E400" s="11"/>
      <c r="F400" s="11"/>
      <c r="G400" s="11"/>
      <c r="H400" s="11"/>
      <c r="I400" s="11"/>
      <c r="J400" s="11"/>
      <c r="K400" s="11"/>
      <c r="L400" s="11"/>
      <c r="M400" s="11"/>
      <c r="N400" s="44" t="n">
        <v>14.72</v>
      </c>
      <c r="O400" s="11"/>
    </row>
    <row r="401" customFormat="false" ht="14.25" hidden="false" customHeight="true" outlineLevel="0" collapsed="false">
      <c r="C401" s="11"/>
      <c r="D401" s="11"/>
      <c r="E401" s="11"/>
      <c r="F401" s="11"/>
      <c r="G401" s="11"/>
      <c r="H401" s="11"/>
      <c r="I401" s="11"/>
      <c r="J401" s="11"/>
      <c r="K401" s="11"/>
      <c r="L401" s="11"/>
      <c r="M401" s="11"/>
      <c r="N401" s="44" t="n">
        <v>14.76</v>
      </c>
      <c r="O401" s="11"/>
    </row>
    <row r="402" customFormat="false" ht="14.25" hidden="false" customHeight="true" outlineLevel="0" collapsed="false">
      <c r="C402" s="11"/>
      <c r="D402" s="11"/>
      <c r="E402" s="11"/>
      <c r="F402" s="11"/>
      <c r="G402" s="11"/>
      <c r="H402" s="11"/>
      <c r="I402" s="11"/>
      <c r="J402" s="11"/>
      <c r="K402" s="11"/>
      <c r="L402" s="11"/>
      <c r="M402" s="11"/>
      <c r="N402" s="44" t="n">
        <v>14.83</v>
      </c>
      <c r="O402" s="11"/>
    </row>
    <row r="403" customFormat="false" ht="14.25" hidden="false" customHeight="true" outlineLevel="0" collapsed="false">
      <c r="C403" s="11"/>
      <c r="D403" s="11"/>
      <c r="E403" s="11"/>
      <c r="F403" s="11"/>
      <c r="G403" s="11"/>
      <c r="H403" s="11"/>
      <c r="I403" s="11"/>
      <c r="J403" s="11"/>
      <c r="K403" s="11"/>
      <c r="L403" s="11"/>
      <c r="M403" s="11"/>
      <c r="N403" s="44" t="n">
        <v>14.54</v>
      </c>
      <c r="O403" s="11"/>
    </row>
    <row r="404" customFormat="false" ht="14.25" hidden="false" customHeight="true" outlineLevel="0" collapsed="false">
      <c r="C404" s="11"/>
      <c r="D404" s="11"/>
      <c r="E404" s="11"/>
      <c r="F404" s="11"/>
      <c r="G404" s="11"/>
      <c r="H404" s="11"/>
      <c r="I404" s="11"/>
      <c r="J404" s="11"/>
      <c r="K404" s="11"/>
      <c r="L404" s="11"/>
      <c r="M404" s="11"/>
      <c r="N404" s="44" t="n">
        <v>14.05</v>
      </c>
      <c r="O404" s="11"/>
    </row>
    <row r="405" customFormat="false" ht="14.25" hidden="false" customHeight="true" outlineLevel="0" collapsed="false">
      <c r="C405" s="11"/>
      <c r="D405" s="11"/>
      <c r="E405" s="11"/>
      <c r="F405" s="11"/>
      <c r="G405" s="11"/>
      <c r="H405" s="11"/>
      <c r="I405" s="11"/>
      <c r="J405" s="11"/>
      <c r="K405" s="11"/>
      <c r="L405" s="11"/>
      <c r="M405" s="11"/>
      <c r="N405" s="44" t="n">
        <v>14.14</v>
      </c>
      <c r="O405" s="11"/>
    </row>
    <row r="406" customFormat="false" ht="14.25" hidden="false" customHeight="true" outlineLevel="0" collapsed="false">
      <c r="C406" s="11"/>
      <c r="D406" s="11"/>
      <c r="E406" s="11"/>
      <c r="F406" s="11"/>
      <c r="G406" s="11"/>
      <c r="H406" s="11"/>
      <c r="I406" s="11"/>
      <c r="J406" s="11"/>
      <c r="K406" s="11"/>
      <c r="L406" s="11"/>
      <c r="M406" s="11"/>
      <c r="N406" s="44" t="n">
        <v>14.38</v>
      </c>
      <c r="O406" s="11"/>
    </row>
    <row r="407" customFormat="false" ht="14.25" hidden="false" customHeight="true" outlineLevel="0" collapsed="false">
      <c r="C407" s="11"/>
      <c r="D407" s="11"/>
      <c r="E407" s="11"/>
      <c r="F407" s="11"/>
      <c r="G407" s="11"/>
      <c r="H407" s="11"/>
      <c r="I407" s="11"/>
      <c r="J407" s="11"/>
      <c r="K407" s="11"/>
      <c r="L407" s="11"/>
      <c r="M407" s="11"/>
      <c r="N407" s="44" t="n">
        <v>14.55</v>
      </c>
      <c r="O407" s="11"/>
    </row>
    <row r="408" customFormat="false" ht="14.25" hidden="false" customHeight="true" outlineLevel="0" collapsed="false">
      <c r="C408" s="11"/>
      <c r="D408" s="11"/>
      <c r="E408" s="11"/>
      <c r="F408" s="11"/>
      <c r="G408" s="11"/>
      <c r="H408" s="11"/>
      <c r="I408" s="11"/>
      <c r="J408" s="11"/>
      <c r="K408" s="11"/>
      <c r="L408" s="11"/>
      <c r="M408" s="11"/>
      <c r="N408" s="44" t="n">
        <v>14.37</v>
      </c>
      <c r="O408" s="11"/>
    </row>
    <row r="409" customFormat="false" ht="14.25" hidden="false" customHeight="true" outlineLevel="0" collapsed="false">
      <c r="C409" s="11"/>
      <c r="D409" s="11"/>
      <c r="E409" s="11"/>
      <c r="F409" s="11"/>
      <c r="G409" s="11"/>
      <c r="H409" s="11"/>
      <c r="I409" s="11"/>
      <c r="J409" s="11"/>
      <c r="K409" s="11"/>
      <c r="L409" s="11"/>
      <c r="M409" s="11"/>
      <c r="N409" s="44" t="n">
        <v>14.61</v>
      </c>
      <c r="O409" s="11"/>
    </row>
    <row r="410" customFormat="false" ht="14.25" hidden="false" customHeight="true" outlineLevel="0" collapsed="false">
      <c r="C410" s="11"/>
      <c r="D410" s="11"/>
      <c r="E410" s="11"/>
      <c r="F410" s="11"/>
      <c r="G410" s="11"/>
      <c r="H410" s="11"/>
      <c r="I410" s="11"/>
      <c r="J410" s="11"/>
      <c r="K410" s="11"/>
      <c r="L410" s="11"/>
      <c r="M410" s="11"/>
      <c r="N410" s="44" t="n">
        <v>14.62</v>
      </c>
      <c r="O410" s="11"/>
    </row>
    <row r="411" customFormat="false" ht="14.25" hidden="false" customHeight="true" outlineLevel="0" collapsed="false">
      <c r="C411" s="11"/>
      <c r="D411" s="11"/>
      <c r="E411" s="11"/>
      <c r="F411" s="11"/>
      <c r="G411" s="11"/>
      <c r="H411" s="11"/>
      <c r="I411" s="11"/>
      <c r="J411" s="11"/>
      <c r="K411" s="11"/>
      <c r="L411" s="11"/>
      <c r="M411" s="11"/>
      <c r="N411" s="44" t="n">
        <v>14.69</v>
      </c>
      <c r="O411" s="11"/>
    </row>
    <row r="412" customFormat="false" ht="14.25" hidden="false" customHeight="true" outlineLevel="0" collapsed="false">
      <c r="C412" s="11"/>
      <c r="D412" s="11"/>
      <c r="E412" s="11"/>
      <c r="F412" s="11"/>
      <c r="G412" s="11"/>
      <c r="H412" s="11"/>
      <c r="I412" s="11"/>
      <c r="J412" s="11"/>
      <c r="K412" s="11"/>
      <c r="L412" s="11"/>
      <c r="M412" s="11"/>
      <c r="N412" s="44" t="n">
        <v>14.91</v>
      </c>
      <c r="O412" s="11"/>
    </row>
    <row r="413" customFormat="false" ht="14.25" hidden="false" customHeight="true" outlineLevel="0" collapsed="false">
      <c r="C413" s="11"/>
      <c r="D413" s="11"/>
      <c r="E413" s="11"/>
      <c r="F413" s="11"/>
      <c r="G413" s="11"/>
      <c r="H413" s="11"/>
      <c r="I413" s="11"/>
      <c r="J413" s="11"/>
      <c r="K413" s="11"/>
      <c r="L413" s="11"/>
      <c r="M413" s="11"/>
      <c r="N413" s="44" t="n">
        <v>14.92</v>
      </c>
      <c r="O413" s="11"/>
    </row>
    <row r="414" customFormat="false" ht="14.25" hidden="false" customHeight="true" outlineLevel="0" collapsed="false">
      <c r="C414" s="11"/>
      <c r="D414" s="11"/>
      <c r="E414" s="11"/>
      <c r="F414" s="11"/>
      <c r="G414" s="11"/>
      <c r="H414" s="11"/>
      <c r="I414" s="11"/>
      <c r="J414" s="11"/>
      <c r="K414" s="11"/>
      <c r="L414" s="11"/>
      <c r="M414" s="11"/>
      <c r="N414" s="44" t="n">
        <v>14.61</v>
      </c>
      <c r="O414" s="11"/>
    </row>
    <row r="415" customFormat="false" ht="14.25" hidden="false" customHeight="true" outlineLevel="0" collapsed="false">
      <c r="C415" s="11"/>
      <c r="D415" s="11"/>
      <c r="E415" s="11"/>
      <c r="F415" s="11"/>
      <c r="G415" s="11"/>
      <c r="H415" s="11"/>
      <c r="I415" s="11"/>
      <c r="J415" s="11"/>
      <c r="K415" s="11"/>
      <c r="L415" s="11"/>
      <c r="M415" s="11"/>
      <c r="N415" s="44" t="n">
        <v>14.37</v>
      </c>
      <c r="O415" s="11"/>
    </row>
    <row r="416" customFormat="false" ht="14.25" hidden="false" customHeight="true" outlineLevel="0" collapsed="false">
      <c r="C416" s="11"/>
      <c r="D416" s="11"/>
      <c r="E416" s="11"/>
      <c r="F416" s="11"/>
      <c r="G416" s="11"/>
      <c r="H416" s="11"/>
      <c r="I416" s="11"/>
      <c r="J416" s="11"/>
      <c r="K416" s="11"/>
      <c r="L416" s="11"/>
      <c r="M416" s="11"/>
      <c r="N416" s="44" t="n">
        <v>14.52</v>
      </c>
      <c r="O416" s="11"/>
    </row>
    <row r="417" customFormat="false" ht="14.25" hidden="false" customHeight="true" outlineLevel="0" collapsed="false">
      <c r="C417" s="11"/>
      <c r="D417" s="11"/>
      <c r="E417" s="11"/>
      <c r="F417" s="11"/>
      <c r="G417" s="11"/>
      <c r="H417" s="11"/>
      <c r="I417" s="11"/>
      <c r="J417" s="11"/>
      <c r="K417" s="11"/>
      <c r="L417" s="11"/>
      <c r="M417" s="11"/>
      <c r="N417" s="44" t="n">
        <v>14.39</v>
      </c>
      <c r="O417" s="11"/>
    </row>
    <row r="418" customFormat="false" ht="14.25" hidden="false" customHeight="true" outlineLevel="0" collapsed="false">
      <c r="C418" s="11"/>
      <c r="D418" s="11"/>
      <c r="E418" s="11"/>
      <c r="F418" s="11"/>
      <c r="G418" s="11"/>
      <c r="H418" s="11"/>
      <c r="I418" s="11"/>
      <c r="J418" s="11"/>
      <c r="K418" s="11"/>
      <c r="L418" s="11"/>
      <c r="M418" s="11"/>
      <c r="N418" s="44" t="n">
        <v>14.31</v>
      </c>
      <c r="O418" s="11"/>
    </row>
    <row r="419" customFormat="false" ht="14.25" hidden="false" customHeight="true" outlineLevel="0" collapsed="false">
      <c r="C419" s="11"/>
      <c r="D419" s="11"/>
      <c r="E419" s="11"/>
      <c r="F419" s="11"/>
      <c r="G419" s="11"/>
      <c r="H419" s="11"/>
      <c r="I419" s="11"/>
      <c r="J419" s="11"/>
      <c r="K419" s="11"/>
      <c r="L419" s="11"/>
      <c r="M419" s="11"/>
      <c r="N419" s="44" t="n">
        <v>14.23</v>
      </c>
      <c r="O419" s="11"/>
    </row>
    <row r="420" customFormat="false" ht="14.25" hidden="false" customHeight="true" outlineLevel="0" collapsed="false">
      <c r="C420" s="11"/>
      <c r="D420" s="11"/>
      <c r="E420" s="11"/>
      <c r="F420" s="11"/>
      <c r="G420" s="11"/>
      <c r="H420" s="11"/>
      <c r="I420" s="11"/>
      <c r="J420" s="11"/>
      <c r="K420" s="11"/>
      <c r="L420" s="11"/>
      <c r="M420" s="11"/>
      <c r="N420" s="44" t="n">
        <v>14.15</v>
      </c>
      <c r="O420" s="11"/>
    </row>
    <row r="421" customFormat="false" ht="14.25" hidden="false" customHeight="true" outlineLevel="0" collapsed="false">
      <c r="C421" s="11"/>
      <c r="D421" s="11"/>
      <c r="E421" s="11"/>
      <c r="F421" s="11"/>
      <c r="G421" s="11"/>
      <c r="H421" s="11"/>
      <c r="I421" s="11"/>
      <c r="J421" s="11"/>
      <c r="K421" s="11"/>
      <c r="L421" s="11"/>
      <c r="M421" s="11"/>
      <c r="N421" s="44" t="n">
        <v>14.18</v>
      </c>
      <c r="O421" s="11"/>
    </row>
    <row r="422" customFormat="false" ht="14.25" hidden="false" customHeight="true" outlineLevel="0" collapsed="false">
      <c r="C422" s="11"/>
      <c r="D422" s="11"/>
      <c r="E422" s="11"/>
      <c r="F422" s="11"/>
      <c r="G422" s="11"/>
      <c r="H422" s="11"/>
      <c r="I422" s="11"/>
      <c r="J422" s="11"/>
      <c r="K422" s="11"/>
      <c r="L422" s="11"/>
      <c r="M422" s="11"/>
      <c r="N422" s="44" t="n">
        <v>14.48</v>
      </c>
      <c r="O422" s="11"/>
    </row>
    <row r="423" customFormat="false" ht="14.25" hidden="false" customHeight="true" outlineLevel="0" collapsed="false">
      <c r="C423" s="11"/>
      <c r="D423" s="11"/>
      <c r="E423" s="11"/>
      <c r="F423" s="11"/>
      <c r="G423" s="11"/>
      <c r="H423" s="11"/>
      <c r="I423" s="11"/>
      <c r="J423" s="11"/>
      <c r="K423" s="11"/>
      <c r="L423" s="11"/>
      <c r="M423" s="11"/>
      <c r="N423" s="44" t="n">
        <v>14.3</v>
      </c>
      <c r="O423" s="11"/>
    </row>
    <row r="424" customFormat="false" ht="14.25" hidden="false" customHeight="true" outlineLevel="0" collapsed="false">
      <c r="C424" s="11"/>
      <c r="D424" s="11"/>
      <c r="E424" s="11"/>
      <c r="F424" s="11"/>
      <c r="G424" s="11"/>
      <c r="H424" s="11"/>
      <c r="I424" s="11"/>
      <c r="J424" s="11"/>
      <c r="K424" s="11"/>
      <c r="L424" s="11"/>
      <c r="M424" s="11"/>
      <c r="N424" s="44" t="n">
        <v>14.51</v>
      </c>
      <c r="O424" s="11"/>
    </row>
    <row r="425" customFormat="false" ht="14.25" hidden="false" customHeight="true" outlineLevel="0" collapsed="false">
      <c r="C425" s="11"/>
      <c r="D425" s="11"/>
      <c r="E425" s="11"/>
      <c r="F425" s="11"/>
      <c r="G425" s="11"/>
      <c r="H425" s="11"/>
      <c r="I425" s="11"/>
      <c r="J425" s="11"/>
      <c r="K425" s="11"/>
      <c r="L425" s="11"/>
      <c r="M425" s="11"/>
      <c r="N425" s="44" t="n">
        <v>14.38</v>
      </c>
      <c r="O425" s="11"/>
    </row>
    <row r="426" customFormat="false" ht="14.25" hidden="false" customHeight="true" outlineLevel="0" collapsed="false">
      <c r="C426" s="11"/>
      <c r="D426" s="11"/>
      <c r="E426" s="11"/>
      <c r="F426" s="11"/>
      <c r="G426" s="11"/>
      <c r="H426" s="11"/>
      <c r="I426" s="11"/>
      <c r="J426" s="11"/>
      <c r="K426" s="11"/>
      <c r="L426" s="11"/>
      <c r="M426" s="11"/>
      <c r="N426" s="44" t="n">
        <v>14.15</v>
      </c>
      <c r="O426" s="11"/>
    </row>
    <row r="427" customFormat="false" ht="14.25" hidden="false" customHeight="true" outlineLevel="0" collapsed="false">
      <c r="C427" s="11"/>
      <c r="D427" s="11"/>
      <c r="E427" s="11"/>
      <c r="F427" s="11"/>
      <c r="G427" s="11"/>
      <c r="H427" s="11"/>
      <c r="I427" s="11"/>
      <c r="J427" s="11"/>
      <c r="K427" s="11"/>
      <c r="L427" s="11"/>
      <c r="M427" s="11"/>
      <c r="N427" s="44" t="n">
        <v>14.32</v>
      </c>
      <c r="O427" s="11"/>
    </row>
    <row r="428" customFormat="false" ht="14.25" hidden="false" customHeight="true" outlineLevel="0" collapsed="false">
      <c r="C428" s="11"/>
      <c r="D428" s="11"/>
      <c r="E428" s="11"/>
      <c r="F428" s="11"/>
      <c r="G428" s="11"/>
      <c r="H428" s="11"/>
      <c r="I428" s="11"/>
      <c r="J428" s="11"/>
      <c r="K428" s="11"/>
      <c r="L428" s="11"/>
      <c r="M428" s="11"/>
      <c r="N428" s="44" t="n">
        <v>14.41</v>
      </c>
      <c r="O428" s="11"/>
    </row>
    <row r="429" customFormat="false" ht="14.25" hidden="false" customHeight="true" outlineLevel="0" collapsed="false">
      <c r="C429" s="11"/>
      <c r="D429" s="11"/>
      <c r="E429" s="11"/>
      <c r="F429" s="11"/>
      <c r="G429" s="11"/>
      <c r="H429" s="11"/>
      <c r="I429" s="11"/>
      <c r="J429" s="11"/>
      <c r="K429" s="11"/>
      <c r="L429" s="11"/>
      <c r="M429" s="11"/>
      <c r="N429" s="44" t="n">
        <v>14.01</v>
      </c>
      <c r="O429" s="11"/>
    </row>
    <row r="430" customFormat="false" ht="14.25" hidden="false" customHeight="true" outlineLevel="0" collapsed="false">
      <c r="C430" s="11"/>
      <c r="D430" s="11"/>
      <c r="E430" s="11"/>
      <c r="F430" s="11"/>
      <c r="G430" s="11"/>
      <c r="H430" s="11"/>
      <c r="I430" s="11"/>
      <c r="J430" s="11"/>
      <c r="K430" s="11"/>
      <c r="L430" s="11"/>
      <c r="M430" s="11"/>
      <c r="N430" s="44" t="n">
        <v>14.05</v>
      </c>
      <c r="O430" s="11"/>
    </row>
    <row r="431" customFormat="false" ht="14.25" hidden="false" customHeight="true" outlineLevel="0" collapsed="false">
      <c r="C431" s="11"/>
      <c r="D431" s="11"/>
      <c r="E431" s="11"/>
      <c r="F431" s="11"/>
      <c r="G431" s="11"/>
      <c r="H431" s="11"/>
      <c r="I431" s="11"/>
      <c r="J431" s="11"/>
      <c r="K431" s="11"/>
      <c r="L431" s="11"/>
      <c r="M431" s="11"/>
      <c r="N431" s="44" t="n">
        <v>14.14</v>
      </c>
      <c r="O431" s="11"/>
    </row>
    <row r="432" customFormat="false" ht="14.25" hidden="false" customHeight="true" outlineLevel="0" collapsed="false">
      <c r="C432" s="11"/>
      <c r="D432" s="11"/>
      <c r="E432" s="11"/>
      <c r="F432" s="11"/>
      <c r="G432" s="11"/>
      <c r="H432" s="11"/>
      <c r="I432" s="11"/>
      <c r="J432" s="11"/>
      <c r="K432" s="11"/>
      <c r="L432" s="11"/>
      <c r="M432" s="11"/>
      <c r="N432" s="44" t="n">
        <v>14.18</v>
      </c>
      <c r="O432" s="11"/>
    </row>
    <row r="433" customFormat="false" ht="14.25" hidden="false" customHeight="true" outlineLevel="0" collapsed="false">
      <c r="C433" s="11"/>
      <c r="D433" s="11"/>
      <c r="E433" s="11"/>
      <c r="F433" s="11"/>
      <c r="G433" s="11"/>
      <c r="H433" s="11"/>
      <c r="I433" s="11"/>
      <c r="J433" s="11"/>
      <c r="K433" s="11"/>
      <c r="L433" s="11"/>
      <c r="M433" s="11"/>
      <c r="N433" s="44" t="n">
        <v>14.22</v>
      </c>
      <c r="O433" s="11"/>
    </row>
    <row r="434" customFormat="false" ht="14.25" hidden="false" customHeight="true" outlineLevel="0" collapsed="false">
      <c r="C434" s="11"/>
      <c r="D434" s="11"/>
      <c r="E434" s="11"/>
      <c r="F434" s="11"/>
      <c r="G434" s="11"/>
      <c r="H434" s="11"/>
      <c r="I434" s="11"/>
      <c r="J434" s="11"/>
      <c r="K434" s="11"/>
      <c r="L434" s="11"/>
      <c r="M434" s="11"/>
      <c r="N434" s="44" t="n">
        <v>14.24</v>
      </c>
      <c r="O434" s="11"/>
    </row>
    <row r="435" customFormat="false" ht="14.25" hidden="false" customHeight="true" outlineLevel="0" collapsed="false">
      <c r="C435" s="11"/>
      <c r="D435" s="11"/>
      <c r="E435" s="11"/>
      <c r="F435" s="11"/>
      <c r="G435" s="11"/>
      <c r="H435" s="11"/>
      <c r="I435" s="11"/>
      <c r="J435" s="11"/>
      <c r="K435" s="11"/>
      <c r="L435" s="11"/>
      <c r="M435" s="11"/>
      <c r="N435" s="44" t="n">
        <v>14.15</v>
      </c>
      <c r="O435" s="11"/>
    </row>
    <row r="436" customFormat="false" ht="14.25" hidden="false" customHeight="true" outlineLevel="0" collapsed="false">
      <c r="C436" s="11"/>
      <c r="D436" s="11"/>
      <c r="E436" s="11"/>
      <c r="F436" s="11"/>
      <c r="G436" s="11"/>
      <c r="H436" s="11"/>
      <c r="I436" s="11"/>
      <c r="J436" s="11"/>
      <c r="K436" s="11"/>
      <c r="L436" s="11"/>
      <c r="M436" s="11"/>
      <c r="N436" s="44" t="n">
        <v>14.42</v>
      </c>
      <c r="O436" s="11"/>
    </row>
    <row r="437" customFormat="false" ht="14.25" hidden="false" customHeight="true" outlineLevel="0" collapsed="false">
      <c r="C437" s="11"/>
      <c r="D437" s="11"/>
      <c r="E437" s="11"/>
      <c r="F437" s="11"/>
      <c r="G437" s="11"/>
      <c r="H437" s="11"/>
      <c r="I437" s="11"/>
      <c r="J437" s="11"/>
      <c r="K437" s="11"/>
      <c r="L437" s="11"/>
      <c r="M437" s="11"/>
      <c r="N437" s="44" t="n">
        <v>14.62</v>
      </c>
      <c r="O437" s="11"/>
    </row>
    <row r="438" customFormat="false" ht="14.25" hidden="false" customHeight="true" outlineLevel="0" collapsed="false">
      <c r="C438" s="11"/>
      <c r="D438" s="11"/>
      <c r="E438" s="11"/>
      <c r="F438" s="11"/>
      <c r="G438" s="11"/>
      <c r="H438" s="11"/>
      <c r="I438" s="11"/>
      <c r="J438" s="11"/>
      <c r="K438" s="11"/>
      <c r="L438" s="11"/>
      <c r="M438" s="11"/>
      <c r="N438" s="44" t="n">
        <v>14.75</v>
      </c>
      <c r="O438" s="11"/>
    </row>
    <row r="439" customFormat="false" ht="14.25" hidden="false" customHeight="true" outlineLevel="0" collapsed="false">
      <c r="C439" s="11"/>
      <c r="D439" s="11"/>
      <c r="E439" s="11"/>
      <c r="F439" s="11"/>
      <c r="G439" s="11"/>
      <c r="H439" s="11"/>
      <c r="I439" s="11"/>
      <c r="J439" s="11"/>
      <c r="K439" s="11"/>
      <c r="L439" s="11"/>
      <c r="M439" s="11"/>
      <c r="N439" s="44" t="n">
        <v>14.42</v>
      </c>
      <c r="O439" s="11"/>
    </row>
    <row r="440" customFormat="false" ht="14.25" hidden="false" customHeight="true" outlineLevel="0" collapsed="false">
      <c r="C440" s="11"/>
      <c r="D440" s="11"/>
      <c r="E440" s="11"/>
      <c r="F440" s="11"/>
      <c r="G440" s="11"/>
      <c r="H440" s="11"/>
      <c r="I440" s="11"/>
      <c r="J440" s="11"/>
      <c r="K440" s="11"/>
      <c r="L440" s="11"/>
      <c r="M440" s="11"/>
      <c r="N440" s="44" t="n">
        <v>14.22</v>
      </c>
      <c r="O440" s="11"/>
    </row>
    <row r="441" customFormat="false" ht="14.25" hidden="false" customHeight="true" outlineLevel="0" collapsed="false">
      <c r="C441" s="11"/>
      <c r="D441" s="11"/>
      <c r="E441" s="11"/>
      <c r="F441" s="11"/>
      <c r="G441" s="11"/>
      <c r="H441" s="11"/>
      <c r="I441" s="11"/>
      <c r="J441" s="11"/>
      <c r="K441" s="11"/>
      <c r="L441" s="11"/>
      <c r="M441" s="11"/>
      <c r="N441" s="44" t="n">
        <v>14.27</v>
      </c>
      <c r="O441" s="11"/>
    </row>
    <row r="442" customFormat="false" ht="14.25" hidden="false" customHeight="true" outlineLevel="0" collapsed="false">
      <c r="C442" s="11"/>
      <c r="D442" s="11"/>
      <c r="E442" s="11"/>
      <c r="F442" s="11"/>
      <c r="G442" s="11"/>
      <c r="H442" s="11"/>
      <c r="I442" s="11"/>
      <c r="J442" s="11"/>
      <c r="K442" s="11"/>
      <c r="L442" s="11"/>
      <c r="M442" s="11"/>
      <c r="N442" s="44" t="n">
        <v>14.54</v>
      </c>
      <c r="O442" s="11"/>
    </row>
    <row r="443" customFormat="false" ht="14.25" hidden="false" customHeight="true" outlineLevel="0" collapsed="false">
      <c r="C443" s="11"/>
      <c r="D443" s="11"/>
      <c r="E443" s="11"/>
      <c r="F443" s="11"/>
      <c r="G443" s="11"/>
      <c r="H443" s="11"/>
      <c r="I443" s="11"/>
      <c r="J443" s="11"/>
      <c r="K443" s="11"/>
      <c r="L443" s="11"/>
      <c r="M443" s="11"/>
      <c r="N443" s="44" t="n">
        <v>14.39</v>
      </c>
      <c r="O443" s="11"/>
    </row>
    <row r="444" customFormat="false" ht="14.25" hidden="false" customHeight="true" outlineLevel="0" collapsed="false">
      <c r="C444" s="11"/>
      <c r="D444" s="11"/>
      <c r="E444" s="11"/>
      <c r="F444" s="11"/>
      <c r="G444" s="11"/>
      <c r="H444" s="11"/>
      <c r="I444" s="11"/>
      <c r="J444" s="11"/>
      <c r="K444" s="11"/>
      <c r="L444" s="11"/>
      <c r="M444" s="11"/>
      <c r="N444" s="44" t="n">
        <v>14.31</v>
      </c>
      <c r="O444" s="11"/>
    </row>
    <row r="445" customFormat="false" ht="14.25" hidden="false" customHeight="true" outlineLevel="0" collapsed="false">
      <c r="C445" s="11"/>
      <c r="D445" s="11"/>
      <c r="E445" s="11"/>
      <c r="F445" s="11"/>
      <c r="G445" s="11"/>
      <c r="H445" s="11"/>
      <c r="I445" s="11"/>
      <c r="J445" s="11"/>
      <c r="K445" s="11"/>
      <c r="L445" s="11"/>
      <c r="M445" s="11"/>
      <c r="N445" s="44" t="n">
        <v>13.95</v>
      </c>
      <c r="O445" s="11"/>
    </row>
    <row r="446" customFormat="false" ht="14.25" hidden="false" customHeight="true" outlineLevel="0" collapsed="false">
      <c r="C446" s="11"/>
      <c r="D446" s="11"/>
      <c r="E446" s="11"/>
      <c r="F446" s="11"/>
      <c r="G446" s="11"/>
      <c r="H446" s="11"/>
      <c r="I446" s="11"/>
      <c r="J446" s="11"/>
      <c r="K446" s="11"/>
      <c r="L446" s="11"/>
      <c r="M446" s="11"/>
      <c r="N446" s="44" t="n">
        <v>13.95</v>
      </c>
      <c r="O446" s="11"/>
    </row>
    <row r="447" customFormat="false" ht="14.25" hidden="false" customHeight="true" outlineLevel="0" collapsed="false">
      <c r="C447" s="11"/>
      <c r="D447" s="11"/>
      <c r="E447" s="11"/>
      <c r="F447" s="11"/>
      <c r="G447" s="11"/>
      <c r="H447" s="11"/>
      <c r="I447" s="11"/>
      <c r="J447" s="11"/>
      <c r="K447" s="11"/>
      <c r="L447" s="11"/>
      <c r="M447" s="11"/>
      <c r="N447" s="44" t="n">
        <v>13.88</v>
      </c>
      <c r="O447" s="11"/>
    </row>
    <row r="448" customFormat="false" ht="14.25" hidden="false" customHeight="true" outlineLevel="0" collapsed="false">
      <c r="C448" s="11"/>
      <c r="D448" s="11"/>
      <c r="E448" s="11"/>
      <c r="F448" s="11"/>
      <c r="G448" s="11"/>
      <c r="H448" s="11"/>
      <c r="I448" s="11"/>
      <c r="J448" s="11"/>
      <c r="K448" s="11"/>
      <c r="L448" s="11"/>
      <c r="M448" s="11"/>
      <c r="N448" s="44" t="n">
        <v>14.18</v>
      </c>
      <c r="O448" s="11"/>
    </row>
    <row r="449" customFormat="false" ht="14.25" hidden="false" customHeight="true" outlineLevel="0" collapsed="false">
      <c r="C449" s="11"/>
      <c r="D449" s="11"/>
      <c r="E449" s="11"/>
      <c r="F449" s="11"/>
      <c r="G449" s="11"/>
      <c r="H449" s="11"/>
      <c r="I449" s="11"/>
      <c r="J449" s="11"/>
      <c r="K449" s="11"/>
      <c r="L449" s="11"/>
      <c r="M449" s="11"/>
      <c r="N449" s="44" t="n">
        <v>14.14</v>
      </c>
      <c r="O449" s="11"/>
    </row>
    <row r="450" customFormat="false" ht="14.25" hidden="false" customHeight="true" outlineLevel="0" collapsed="false">
      <c r="C450" s="11"/>
      <c r="D450" s="11"/>
      <c r="E450" s="11"/>
      <c r="F450" s="11"/>
      <c r="G450" s="11"/>
      <c r="H450" s="11"/>
      <c r="I450" s="11"/>
      <c r="J450" s="11"/>
      <c r="K450" s="11"/>
      <c r="L450" s="11"/>
      <c r="M450" s="11"/>
      <c r="N450" s="44" t="n">
        <v>13.92</v>
      </c>
      <c r="O450" s="11"/>
    </row>
    <row r="451" customFormat="false" ht="14.25" hidden="false" customHeight="true" outlineLevel="0" collapsed="false">
      <c r="C451" s="11"/>
      <c r="D451" s="11"/>
      <c r="E451" s="11"/>
      <c r="F451" s="11"/>
      <c r="G451" s="11"/>
      <c r="H451" s="11"/>
      <c r="I451" s="11"/>
      <c r="J451" s="11"/>
      <c r="K451" s="11"/>
      <c r="L451" s="11"/>
      <c r="M451" s="11"/>
      <c r="N451" s="44" t="n">
        <v>14.11</v>
      </c>
      <c r="O451" s="11"/>
    </row>
    <row r="452" customFormat="false" ht="14.25" hidden="false" customHeight="true" outlineLevel="0" collapsed="false">
      <c r="C452" s="11"/>
      <c r="D452" s="11"/>
      <c r="E452" s="11"/>
      <c r="F452" s="11"/>
      <c r="G452" s="11"/>
      <c r="H452" s="11"/>
      <c r="I452" s="11"/>
      <c r="J452" s="11"/>
      <c r="K452" s="11"/>
      <c r="L452" s="11"/>
      <c r="M452" s="11"/>
      <c r="N452" s="44" t="n">
        <v>13.98</v>
      </c>
      <c r="O452" s="11"/>
    </row>
    <row r="453" customFormat="false" ht="14.25" hidden="false" customHeight="true" outlineLevel="0" collapsed="false">
      <c r="C453" s="11"/>
      <c r="D453" s="11"/>
      <c r="E453" s="11"/>
      <c r="F453" s="11"/>
      <c r="G453" s="11"/>
      <c r="H453" s="11"/>
      <c r="I453" s="11"/>
      <c r="J453" s="11"/>
      <c r="K453" s="11"/>
      <c r="L453" s="11"/>
      <c r="M453" s="11"/>
      <c r="N453" s="44" t="n">
        <v>14.03</v>
      </c>
      <c r="O453" s="11"/>
    </row>
    <row r="454" customFormat="false" ht="14.25" hidden="false" customHeight="true" outlineLevel="0" collapsed="false">
      <c r="C454" s="11"/>
      <c r="D454" s="11"/>
      <c r="E454" s="11"/>
      <c r="F454" s="11"/>
      <c r="G454" s="11"/>
      <c r="H454" s="11"/>
      <c r="I454" s="11"/>
      <c r="J454" s="11"/>
      <c r="K454" s="11"/>
      <c r="L454" s="11"/>
      <c r="M454" s="11"/>
      <c r="N454" s="44" t="n">
        <v>14</v>
      </c>
      <c r="O454" s="11"/>
    </row>
    <row r="455" customFormat="false" ht="14.25" hidden="false" customHeight="true" outlineLevel="0" collapsed="false">
      <c r="C455" s="11"/>
      <c r="D455" s="11"/>
      <c r="E455" s="11"/>
      <c r="F455" s="11"/>
      <c r="G455" s="11"/>
      <c r="H455" s="11"/>
      <c r="I455" s="11"/>
      <c r="J455" s="11"/>
      <c r="K455" s="11"/>
      <c r="L455" s="11"/>
      <c r="M455" s="11"/>
      <c r="N455" s="44" t="n">
        <v>14.02</v>
      </c>
      <c r="O455" s="11"/>
    </row>
    <row r="456" customFormat="false" ht="14.25" hidden="false" customHeight="true" outlineLevel="0" collapsed="false">
      <c r="C456" s="11"/>
      <c r="D456" s="11"/>
      <c r="E456" s="11"/>
      <c r="F456" s="11"/>
      <c r="G456" s="11"/>
      <c r="H456" s="11"/>
      <c r="I456" s="11"/>
      <c r="J456" s="11"/>
      <c r="K456" s="11"/>
      <c r="L456" s="11"/>
      <c r="M456" s="11"/>
      <c r="N456" s="44" t="n">
        <v>14.37</v>
      </c>
      <c r="O456" s="11"/>
    </row>
    <row r="457" customFormat="false" ht="14.25" hidden="false" customHeight="true" outlineLevel="0" collapsed="false">
      <c r="C457" s="11"/>
      <c r="D457" s="11"/>
      <c r="E457" s="11"/>
      <c r="F457" s="11"/>
      <c r="G457" s="11"/>
      <c r="H457" s="11"/>
      <c r="I457" s="11"/>
      <c r="J457" s="11"/>
      <c r="K457" s="11"/>
      <c r="L457" s="11"/>
      <c r="M457" s="11"/>
      <c r="N457" s="44" t="n">
        <v>14.39</v>
      </c>
      <c r="O457" s="11"/>
    </row>
    <row r="458" customFormat="false" ht="14.25" hidden="false" customHeight="true" outlineLevel="0" collapsed="false">
      <c r="C458" s="11"/>
      <c r="D458" s="11"/>
      <c r="E458" s="11"/>
      <c r="F458" s="11"/>
      <c r="G458" s="11"/>
      <c r="H458" s="11"/>
      <c r="I458" s="11"/>
      <c r="J458" s="11"/>
      <c r="K458" s="11"/>
      <c r="L458" s="11"/>
      <c r="M458" s="11"/>
      <c r="N458" s="44" t="n">
        <v>14.2</v>
      </c>
      <c r="O458" s="11"/>
    </row>
    <row r="459" customFormat="false" ht="14.25" hidden="false" customHeight="true" outlineLevel="0" collapsed="false">
      <c r="C459" s="11"/>
      <c r="D459" s="11"/>
      <c r="E459" s="11"/>
      <c r="F459" s="11"/>
      <c r="G459" s="11"/>
      <c r="H459" s="11"/>
      <c r="I459" s="11"/>
      <c r="J459" s="11"/>
      <c r="K459" s="11"/>
      <c r="L459" s="11"/>
      <c r="M459" s="11"/>
      <c r="N459" s="44" t="n">
        <v>14.01</v>
      </c>
      <c r="O459" s="11"/>
    </row>
    <row r="460" customFormat="false" ht="14.25" hidden="false" customHeight="true" outlineLevel="0" collapsed="false">
      <c r="C460" s="11"/>
      <c r="D460" s="11"/>
      <c r="E460" s="11"/>
      <c r="F460" s="11"/>
      <c r="G460" s="11"/>
      <c r="H460" s="11"/>
      <c r="I460" s="11"/>
      <c r="J460" s="11"/>
      <c r="K460" s="11"/>
      <c r="L460" s="11"/>
      <c r="M460" s="11"/>
      <c r="N460" s="44" t="n">
        <v>13.69</v>
      </c>
      <c r="O460" s="11"/>
    </row>
    <row r="461" customFormat="false" ht="14.25" hidden="false" customHeight="true" outlineLevel="0" collapsed="false">
      <c r="C461" s="11"/>
      <c r="D461" s="11"/>
      <c r="E461" s="11"/>
      <c r="F461" s="11"/>
      <c r="G461" s="11"/>
      <c r="H461" s="11"/>
      <c r="I461" s="11"/>
      <c r="J461" s="11"/>
      <c r="K461" s="11"/>
      <c r="L461" s="11"/>
      <c r="M461" s="11"/>
      <c r="N461" s="44" t="n">
        <v>13.54</v>
      </c>
      <c r="O461" s="11"/>
    </row>
    <row r="462" customFormat="false" ht="14.25" hidden="false" customHeight="true" outlineLevel="0" collapsed="false">
      <c r="C462" s="11"/>
      <c r="D462" s="11"/>
      <c r="E462" s="11"/>
      <c r="F462" s="11"/>
      <c r="G462" s="11"/>
      <c r="H462" s="11"/>
      <c r="I462" s="11"/>
      <c r="J462" s="11"/>
      <c r="K462" s="11"/>
      <c r="L462" s="11"/>
      <c r="M462" s="11"/>
      <c r="N462" s="44" t="n">
        <v>13.58</v>
      </c>
      <c r="O462" s="11"/>
    </row>
    <row r="463" customFormat="false" ht="14.25" hidden="false" customHeight="true" outlineLevel="0" collapsed="false">
      <c r="C463" s="11"/>
      <c r="D463" s="11"/>
      <c r="E463" s="11"/>
      <c r="F463" s="11"/>
      <c r="G463" s="11"/>
      <c r="H463" s="11"/>
      <c r="I463" s="11"/>
      <c r="J463" s="11"/>
      <c r="K463" s="11"/>
      <c r="L463" s="11"/>
      <c r="M463" s="11"/>
      <c r="N463" s="44" t="n">
        <v>13.7</v>
      </c>
      <c r="O463" s="11"/>
    </row>
    <row r="464" customFormat="false" ht="14.25" hidden="false" customHeight="true" outlineLevel="0" collapsed="false">
      <c r="C464" s="11"/>
      <c r="D464" s="11"/>
      <c r="E464" s="11"/>
      <c r="F464" s="11"/>
      <c r="G464" s="11"/>
      <c r="H464" s="11"/>
      <c r="I464" s="11"/>
      <c r="J464" s="11"/>
      <c r="K464" s="11"/>
      <c r="L464" s="11"/>
      <c r="M464" s="11"/>
      <c r="N464" s="44" t="n">
        <v>13.63</v>
      </c>
      <c r="O464" s="11"/>
    </row>
    <row r="465" customFormat="false" ht="14.25" hidden="false" customHeight="true" outlineLevel="0" collapsed="false">
      <c r="C465" s="11"/>
      <c r="D465" s="11"/>
      <c r="E465" s="11"/>
      <c r="F465" s="11"/>
      <c r="G465" s="11"/>
      <c r="H465" s="11"/>
      <c r="I465" s="11"/>
      <c r="J465" s="11"/>
      <c r="K465" s="11"/>
      <c r="L465" s="11"/>
      <c r="M465" s="11"/>
      <c r="N465" s="44" t="n">
        <v>13.71</v>
      </c>
      <c r="O465" s="11"/>
    </row>
    <row r="466" customFormat="false" ht="14.25" hidden="false" customHeight="true" outlineLevel="0" collapsed="false">
      <c r="C466" s="11"/>
      <c r="D466" s="11"/>
      <c r="E466" s="11"/>
      <c r="F466" s="11"/>
      <c r="G466" s="11"/>
      <c r="H466" s="11"/>
      <c r="I466" s="11"/>
      <c r="J466" s="11"/>
      <c r="K466" s="11"/>
      <c r="L466" s="11"/>
      <c r="M466" s="11"/>
      <c r="N466" s="44" t="n">
        <v>13.67</v>
      </c>
      <c r="O466" s="11"/>
    </row>
    <row r="467" customFormat="false" ht="14.25" hidden="false" customHeight="true" outlineLevel="0" collapsed="false">
      <c r="C467" s="11"/>
      <c r="D467" s="11"/>
      <c r="E467" s="11"/>
      <c r="F467" s="11"/>
      <c r="G467" s="11"/>
      <c r="H467" s="11"/>
      <c r="I467" s="11"/>
      <c r="J467" s="11"/>
      <c r="K467" s="11"/>
      <c r="L467" s="11"/>
      <c r="M467" s="11"/>
      <c r="N467" s="44" t="n">
        <v>13.76</v>
      </c>
      <c r="O467" s="11"/>
    </row>
    <row r="468" customFormat="false" ht="14.25" hidden="false" customHeight="true" outlineLevel="0" collapsed="false">
      <c r="C468" s="11"/>
      <c r="D468" s="11"/>
      <c r="E468" s="11"/>
      <c r="F468" s="11"/>
      <c r="G468" s="11"/>
      <c r="H468" s="11"/>
      <c r="I468" s="11"/>
      <c r="J468" s="11"/>
      <c r="K468" s="11"/>
      <c r="L468" s="11"/>
      <c r="M468" s="11"/>
      <c r="N468" s="44" t="n">
        <v>13.87</v>
      </c>
      <c r="O468" s="11"/>
    </row>
    <row r="469" customFormat="false" ht="14.25" hidden="false" customHeight="true" outlineLevel="0" collapsed="false">
      <c r="C469" s="11"/>
      <c r="D469" s="11"/>
      <c r="E469" s="11"/>
      <c r="F469" s="11"/>
      <c r="G469" s="11"/>
      <c r="H469" s="11"/>
      <c r="I469" s="11"/>
      <c r="J469" s="11"/>
      <c r="K469" s="11"/>
      <c r="L469" s="11"/>
      <c r="M469" s="11"/>
      <c r="N469" s="44" t="n">
        <v>14.33</v>
      </c>
      <c r="O469" s="11"/>
    </row>
    <row r="470" customFormat="false" ht="14.25" hidden="false" customHeight="true" outlineLevel="0" collapsed="false">
      <c r="C470" s="11"/>
      <c r="D470" s="11"/>
      <c r="E470" s="11"/>
      <c r="F470" s="11"/>
      <c r="G470" s="11"/>
      <c r="H470" s="11"/>
      <c r="I470" s="11"/>
      <c r="J470" s="11"/>
      <c r="K470" s="11"/>
      <c r="L470" s="11"/>
      <c r="M470" s="11"/>
      <c r="N470" s="44" t="n">
        <v>14.33</v>
      </c>
      <c r="O470" s="11"/>
    </row>
    <row r="471" customFormat="false" ht="14.25" hidden="false" customHeight="true" outlineLevel="0" collapsed="false">
      <c r="C471" s="11"/>
      <c r="D471" s="11"/>
      <c r="E471" s="11"/>
      <c r="F471" s="11"/>
      <c r="G471" s="11"/>
      <c r="H471" s="11"/>
      <c r="I471" s="11"/>
      <c r="J471" s="11"/>
      <c r="K471" s="11"/>
      <c r="L471" s="11"/>
      <c r="M471" s="11"/>
      <c r="N471" s="44" t="n">
        <v>14.33</v>
      </c>
      <c r="O471" s="11"/>
    </row>
    <row r="472" customFormat="false" ht="14.25" hidden="false" customHeight="true" outlineLevel="0" collapsed="false">
      <c r="C472" s="11"/>
      <c r="D472" s="11"/>
      <c r="E472" s="11"/>
      <c r="F472" s="11"/>
      <c r="G472" s="11"/>
      <c r="H472" s="11"/>
      <c r="I472" s="11"/>
      <c r="J472" s="11"/>
      <c r="K472" s="11"/>
      <c r="L472" s="11"/>
      <c r="M472" s="11"/>
      <c r="N472" s="44" t="n">
        <v>14.43</v>
      </c>
      <c r="O472" s="11"/>
    </row>
    <row r="473" customFormat="false" ht="14.25" hidden="false" customHeight="true" outlineLevel="0" collapsed="false">
      <c r="C473" s="11"/>
      <c r="D473" s="11"/>
      <c r="E473" s="11"/>
      <c r="F473" s="11"/>
      <c r="G473" s="11"/>
      <c r="H473" s="11"/>
      <c r="I473" s="11"/>
      <c r="J473" s="11"/>
      <c r="K473" s="11"/>
      <c r="L473" s="11"/>
      <c r="M473" s="11"/>
      <c r="N473" s="44" t="n">
        <v>14.52</v>
      </c>
      <c r="O473" s="11"/>
    </row>
    <row r="474" customFormat="false" ht="14.25" hidden="false" customHeight="true" outlineLevel="0" collapsed="false">
      <c r="C474" s="11"/>
      <c r="D474" s="11"/>
      <c r="E474" s="11"/>
      <c r="F474" s="11"/>
      <c r="G474" s="11"/>
      <c r="H474" s="11"/>
      <c r="I474" s="11"/>
      <c r="J474" s="11"/>
      <c r="K474" s="11"/>
      <c r="L474" s="11"/>
      <c r="M474" s="11"/>
      <c r="N474" s="44" t="n">
        <v>14.6</v>
      </c>
      <c r="O474" s="11"/>
    </row>
    <row r="475" customFormat="false" ht="14.25" hidden="false" customHeight="true" outlineLevel="0" collapsed="false">
      <c r="C475" s="11"/>
      <c r="D475" s="11"/>
      <c r="E475" s="11"/>
      <c r="F475" s="11"/>
      <c r="G475" s="11"/>
      <c r="H475" s="11"/>
      <c r="I475" s="11"/>
      <c r="J475" s="11"/>
      <c r="K475" s="11"/>
      <c r="L475" s="11"/>
      <c r="M475" s="11"/>
      <c r="N475" s="44" t="n">
        <v>14.69</v>
      </c>
      <c r="O475" s="11"/>
    </row>
    <row r="476" customFormat="false" ht="14.25" hidden="false" customHeight="true" outlineLevel="0" collapsed="false">
      <c r="C476" s="11"/>
      <c r="D476" s="11"/>
      <c r="E476" s="11"/>
      <c r="F476" s="11"/>
      <c r="G476" s="11"/>
      <c r="H476" s="11"/>
      <c r="I476" s="11"/>
      <c r="J476" s="11"/>
      <c r="K476" s="11"/>
      <c r="L476" s="11"/>
      <c r="M476" s="11"/>
      <c r="N476" s="44" t="n">
        <v>14.36</v>
      </c>
      <c r="O476" s="11"/>
    </row>
    <row r="477" customFormat="false" ht="14.25" hidden="false" customHeight="true" outlineLevel="0" collapsed="false">
      <c r="C477" s="11"/>
      <c r="D477" s="11"/>
      <c r="E477" s="11"/>
      <c r="F477" s="11"/>
      <c r="G477" s="11"/>
      <c r="H477" s="11"/>
      <c r="I477" s="11"/>
      <c r="J477" s="11"/>
      <c r="K477" s="11"/>
      <c r="L477" s="11"/>
      <c r="M477" s="11"/>
      <c r="N477" s="44" t="n">
        <v>14.54</v>
      </c>
      <c r="O477" s="11"/>
    </row>
    <row r="478" customFormat="false" ht="14.25" hidden="false" customHeight="true" outlineLevel="0" collapsed="false">
      <c r="C478" s="11"/>
      <c r="D478" s="11"/>
      <c r="E478" s="11"/>
      <c r="F478" s="11"/>
      <c r="G478" s="11"/>
      <c r="H478" s="11"/>
      <c r="I478" s="11"/>
      <c r="J478" s="11"/>
      <c r="K478" s="11"/>
      <c r="L478" s="11"/>
      <c r="M478" s="11"/>
      <c r="N478" s="44" t="n">
        <v>14.62</v>
      </c>
      <c r="O478" s="11"/>
    </row>
    <row r="479" customFormat="false" ht="14.25" hidden="false" customHeight="true" outlineLevel="0" collapsed="false">
      <c r="C479" s="11"/>
      <c r="D479" s="11"/>
      <c r="E479" s="11"/>
      <c r="F479" s="11"/>
      <c r="G479" s="11"/>
      <c r="H479" s="11"/>
      <c r="I479" s="11"/>
      <c r="J479" s="11"/>
      <c r="K479" s="11"/>
      <c r="L479" s="11"/>
      <c r="M479" s="11"/>
      <c r="N479" s="44" t="n">
        <v>14.4</v>
      </c>
      <c r="O479" s="11"/>
    </row>
    <row r="480" customFormat="false" ht="14.25" hidden="false" customHeight="true" outlineLevel="0" collapsed="false">
      <c r="C480" s="11"/>
      <c r="D480" s="11"/>
      <c r="E480" s="11"/>
      <c r="F480" s="11"/>
      <c r="G480" s="11"/>
      <c r="H480" s="11"/>
      <c r="I480" s="11"/>
      <c r="J480" s="11"/>
      <c r="K480" s="11"/>
      <c r="L480" s="11"/>
      <c r="M480" s="11"/>
      <c r="N480" s="44" t="n">
        <v>14.6</v>
      </c>
      <c r="O480" s="11"/>
    </row>
    <row r="481" customFormat="false" ht="14.25" hidden="false" customHeight="true" outlineLevel="0" collapsed="false">
      <c r="C481" s="11"/>
      <c r="D481" s="11"/>
      <c r="E481" s="11"/>
      <c r="F481" s="11"/>
      <c r="G481" s="11"/>
      <c r="H481" s="11"/>
      <c r="I481" s="11"/>
      <c r="J481" s="11"/>
      <c r="K481" s="11"/>
      <c r="L481" s="11"/>
      <c r="M481" s="11"/>
      <c r="N481" s="44" t="n">
        <v>14.74</v>
      </c>
      <c r="O481" s="11"/>
    </row>
    <row r="482" customFormat="false" ht="14.25" hidden="false" customHeight="true" outlineLevel="0" collapsed="false">
      <c r="C482" s="11"/>
      <c r="D482" s="11"/>
      <c r="E482" s="11"/>
      <c r="F482" s="11"/>
      <c r="G482" s="11"/>
      <c r="H482" s="11"/>
      <c r="I482" s="11"/>
      <c r="J482" s="11"/>
      <c r="K482" s="11"/>
      <c r="L482" s="11"/>
      <c r="M482" s="11"/>
      <c r="N482" s="44" t="n">
        <v>14.66</v>
      </c>
      <c r="O482" s="11"/>
    </row>
    <row r="483" customFormat="false" ht="14.25" hidden="false" customHeight="true" outlineLevel="0" collapsed="false">
      <c r="C483" s="11"/>
      <c r="D483" s="11"/>
      <c r="E483" s="11"/>
      <c r="F483" s="11"/>
      <c r="G483" s="11"/>
      <c r="H483" s="11"/>
      <c r="I483" s="11"/>
      <c r="J483" s="11"/>
      <c r="K483" s="11"/>
      <c r="L483" s="11"/>
      <c r="M483" s="11"/>
      <c r="N483" s="44" t="n">
        <v>14.62</v>
      </c>
      <c r="O483" s="11"/>
    </row>
    <row r="484" customFormat="false" ht="14.25" hidden="false" customHeight="true" outlineLevel="0" collapsed="false">
      <c r="C484" s="11"/>
      <c r="D484" s="11"/>
      <c r="E484" s="11"/>
      <c r="F484" s="11"/>
      <c r="G484" s="11"/>
      <c r="H484" s="11"/>
      <c r="I484" s="11"/>
      <c r="J484" s="11"/>
      <c r="K484" s="11"/>
      <c r="L484" s="11"/>
      <c r="M484" s="11"/>
      <c r="N484" s="44" t="n">
        <v>14.67</v>
      </c>
      <c r="O484" s="11"/>
    </row>
    <row r="485" customFormat="false" ht="14.25" hidden="false" customHeight="true" outlineLevel="0" collapsed="false">
      <c r="C485" s="11"/>
      <c r="D485" s="11"/>
      <c r="E485" s="11"/>
      <c r="F485" s="11"/>
      <c r="G485" s="11"/>
      <c r="H485" s="11"/>
      <c r="I485" s="11"/>
      <c r="J485" s="11"/>
      <c r="K485" s="11"/>
      <c r="L485" s="11"/>
      <c r="M485" s="11"/>
      <c r="N485" s="44" t="n">
        <v>14.74</v>
      </c>
      <c r="O485" s="11"/>
    </row>
    <row r="486" customFormat="false" ht="14.25" hidden="false" customHeight="true" outlineLevel="0" collapsed="false">
      <c r="C486" s="11"/>
      <c r="D486" s="11"/>
      <c r="E486" s="11"/>
      <c r="F486" s="11"/>
      <c r="G486" s="11"/>
      <c r="H486" s="11"/>
      <c r="I486" s="11"/>
      <c r="J486" s="11"/>
      <c r="K486" s="11"/>
      <c r="L486" s="11"/>
      <c r="M486" s="11"/>
      <c r="N486" s="44" t="n">
        <v>14.84</v>
      </c>
      <c r="O486" s="11"/>
    </row>
    <row r="487" customFormat="false" ht="14.25" hidden="false" customHeight="true" outlineLevel="0" collapsed="false">
      <c r="C487" s="11"/>
      <c r="D487" s="11"/>
      <c r="E487" s="11"/>
      <c r="F487" s="11"/>
      <c r="G487" s="11"/>
      <c r="H487" s="11"/>
      <c r="I487" s="11"/>
      <c r="J487" s="11"/>
      <c r="K487" s="11"/>
      <c r="L487" s="11"/>
      <c r="M487" s="11"/>
      <c r="N487" s="44" t="n">
        <v>14.99</v>
      </c>
      <c r="O487" s="11"/>
    </row>
    <row r="488" customFormat="false" ht="14.25" hidden="false" customHeight="true" outlineLevel="0" collapsed="false">
      <c r="C488" s="11"/>
      <c r="D488" s="11"/>
      <c r="E488" s="11"/>
      <c r="F488" s="11"/>
      <c r="G488" s="11"/>
      <c r="H488" s="11"/>
      <c r="I488" s="11"/>
      <c r="J488" s="11"/>
      <c r="K488" s="11"/>
      <c r="L488" s="11"/>
      <c r="M488" s="11"/>
      <c r="N488" s="44" t="n">
        <v>15</v>
      </c>
      <c r="O488" s="11"/>
    </row>
    <row r="489" customFormat="false" ht="14.25" hidden="false" customHeight="true" outlineLevel="0" collapsed="false">
      <c r="C489" s="11"/>
      <c r="D489" s="11"/>
      <c r="E489" s="11"/>
      <c r="F489" s="11"/>
      <c r="G489" s="11"/>
      <c r="H489" s="11"/>
      <c r="I489" s="11"/>
      <c r="J489" s="11"/>
      <c r="K489" s="11"/>
      <c r="L489" s="11"/>
      <c r="M489" s="11"/>
      <c r="N489" s="44" t="n">
        <v>15.08</v>
      </c>
      <c r="O489" s="11"/>
    </row>
    <row r="490" customFormat="false" ht="14.25" hidden="false" customHeight="true" outlineLevel="0" collapsed="false">
      <c r="C490" s="11"/>
      <c r="D490" s="11"/>
      <c r="E490" s="11"/>
      <c r="F490" s="11"/>
      <c r="G490" s="11"/>
      <c r="H490" s="11"/>
      <c r="I490" s="11"/>
      <c r="J490" s="11"/>
      <c r="K490" s="11"/>
      <c r="L490" s="11"/>
      <c r="M490" s="11"/>
      <c r="N490" s="44" t="n">
        <v>14.3</v>
      </c>
      <c r="O490" s="11"/>
    </row>
    <row r="491" customFormat="false" ht="14.25" hidden="false" customHeight="true" outlineLevel="0" collapsed="false">
      <c r="C491" s="11"/>
      <c r="D491" s="11"/>
      <c r="E491" s="11"/>
      <c r="F491" s="11"/>
      <c r="G491" s="11"/>
      <c r="H491" s="11"/>
      <c r="I491" s="11"/>
      <c r="J491" s="11"/>
      <c r="K491" s="11"/>
      <c r="L491" s="11"/>
      <c r="M491" s="11"/>
      <c r="N491" s="44" t="n">
        <v>14.25</v>
      </c>
      <c r="O491" s="11"/>
    </row>
    <row r="492" customFormat="false" ht="14.25" hidden="false" customHeight="true" outlineLevel="0" collapsed="false">
      <c r="C492" s="11"/>
      <c r="D492" s="11"/>
      <c r="E492" s="11"/>
      <c r="F492" s="11"/>
      <c r="G492" s="11"/>
      <c r="H492" s="11"/>
      <c r="I492" s="11"/>
      <c r="J492" s="11"/>
      <c r="K492" s="11"/>
      <c r="L492" s="11"/>
      <c r="M492" s="11"/>
      <c r="N492" s="44" t="n">
        <v>14.04</v>
      </c>
      <c r="O492" s="11"/>
    </row>
    <row r="493" customFormat="false" ht="14.25" hidden="false" customHeight="true" outlineLevel="0" collapsed="false">
      <c r="C493" s="11"/>
      <c r="D493" s="11"/>
      <c r="E493" s="11"/>
      <c r="F493" s="11"/>
      <c r="G493" s="11"/>
      <c r="H493" s="11"/>
      <c r="I493" s="11"/>
      <c r="J493" s="11"/>
      <c r="K493" s="11"/>
      <c r="L493" s="11"/>
      <c r="M493" s="11"/>
      <c r="N493" s="44" t="n">
        <v>14.02</v>
      </c>
      <c r="O493" s="11"/>
    </row>
    <row r="494" customFormat="false" ht="14.25" hidden="false" customHeight="true" outlineLevel="0" collapsed="false">
      <c r="C494" s="11"/>
      <c r="D494" s="11"/>
      <c r="E494" s="11"/>
      <c r="F494" s="11"/>
      <c r="G494" s="11"/>
      <c r="H494" s="11"/>
      <c r="I494" s="11"/>
      <c r="J494" s="11"/>
      <c r="K494" s="11"/>
      <c r="L494" s="11"/>
      <c r="M494" s="11"/>
      <c r="N494" s="44" t="n">
        <v>14.01</v>
      </c>
      <c r="O494" s="11"/>
    </row>
    <row r="495" customFormat="false" ht="14.25" hidden="false" customHeight="true" outlineLevel="0" collapsed="false">
      <c r="C495" s="11"/>
      <c r="D495" s="11"/>
      <c r="E495" s="11"/>
      <c r="F495" s="11"/>
      <c r="G495" s="11"/>
      <c r="H495" s="11"/>
      <c r="I495" s="11"/>
      <c r="J495" s="11"/>
      <c r="K495" s="11"/>
      <c r="L495" s="11"/>
      <c r="M495" s="11"/>
      <c r="N495" s="44" t="n">
        <v>14.02</v>
      </c>
      <c r="O495" s="11"/>
    </row>
    <row r="496" customFormat="false" ht="14.25" hidden="false" customHeight="true" outlineLevel="0" collapsed="false">
      <c r="C496" s="11"/>
      <c r="D496" s="11"/>
      <c r="E496" s="11"/>
      <c r="F496" s="11"/>
      <c r="G496" s="11"/>
      <c r="H496" s="11"/>
      <c r="I496" s="11"/>
      <c r="J496" s="11"/>
      <c r="K496" s="11"/>
      <c r="L496" s="11"/>
      <c r="M496" s="11"/>
      <c r="N496" s="44" t="n">
        <v>14.17</v>
      </c>
      <c r="O496" s="11"/>
    </row>
    <row r="497" customFormat="false" ht="14.25" hidden="false" customHeight="true" outlineLevel="0" collapsed="false">
      <c r="C497" s="11"/>
      <c r="D497" s="11"/>
      <c r="E497" s="11"/>
      <c r="F497" s="11"/>
      <c r="G497" s="11"/>
      <c r="H497" s="11"/>
      <c r="I497" s="11"/>
      <c r="J497" s="11"/>
      <c r="K497" s="11"/>
      <c r="L497" s="11"/>
      <c r="M497" s="11"/>
      <c r="N497" s="44" t="n">
        <v>13.95</v>
      </c>
      <c r="O497" s="11"/>
    </row>
    <row r="498" customFormat="false" ht="14.25" hidden="false" customHeight="true" outlineLevel="0" collapsed="false">
      <c r="C498" s="11"/>
      <c r="D498" s="11"/>
      <c r="E498" s="11"/>
      <c r="F498" s="11"/>
      <c r="G498" s="11"/>
      <c r="H498" s="11"/>
      <c r="I498" s="11"/>
      <c r="J498" s="11"/>
      <c r="K498" s="11"/>
      <c r="L498" s="11"/>
      <c r="M498" s="11"/>
      <c r="N498" s="44" t="n">
        <v>13.91</v>
      </c>
      <c r="O498" s="11"/>
    </row>
    <row r="499" customFormat="false" ht="14.25" hidden="false" customHeight="true" outlineLevel="0" collapsed="false">
      <c r="C499" s="11"/>
      <c r="D499" s="11"/>
      <c r="E499" s="11"/>
      <c r="F499" s="11"/>
      <c r="G499" s="11"/>
      <c r="H499" s="11"/>
      <c r="I499" s="11"/>
      <c r="J499" s="11"/>
      <c r="K499" s="11"/>
      <c r="L499" s="11"/>
      <c r="M499" s="11"/>
      <c r="N499" s="44" t="n">
        <v>13.88</v>
      </c>
      <c r="O499" s="11"/>
    </row>
    <row r="500" customFormat="false" ht="14.25" hidden="false" customHeight="true" outlineLevel="0" collapsed="false">
      <c r="C500" s="11"/>
      <c r="D500" s="11"/>
      <c r="E500" s="11"/>
      <c r="F500" s="11"/>
      <c r="G500" s="11"/>
      <c r="H500" s="11"/>
      <c r="I500" s="11"/>
      <c r="J500" s="11"/>
      <c r="K500" s="11"/>
      <c r="L500" s="11"/>
      <c r="M500" s="11"/>
      <c r="N500" s="44" t="n">
        <v>13.89</v>
      </c>
      <c r="O500" s="11"/>
    </row>
    <row r="501" customFormat="false" ht="14.25" hidden="false" customHeight="true" outlineLevel="0" collapsed="false">
      <c r="C501" s="11"/>
      <c r="D501" s="11"/>
      <c r="E501" s="11"/>
      <c r="F501" s="11"/>
      <c r="G501" s="11"/>
      <c r="H501" s="11"/>
      <c r="I501" s="11"/>
      <c r="J501" s="11"/>
      <c r="K501" s="11"/>
      <c r="L501" s="11"/>
      <c r="M501" s="11"/>
      <c r="N501" s="44" t="n">
        <v>13.76</v>
      </c>
      <c r="O501" s="11"/>
    </row>
    <row r="502" customFormat="false" ht="14.25" hidden="false" customHeight="true" outlineLevel="0" collapsed="false">
      <c r="C502" s="11"/>
      <c r="D502" s="11"/>
      <c r="E502" s="11"/>
      <c r="F502" s="11"/>
      <c r="G502" s="11"/>
      <c r="H502" s="11"/>
      <c r="I502" s="11"/>
      <c r="J502" s="11"/>
      <c r="K502" s="11"/>
      <c r="L502" s="11"/>
      <c r="M502" s="11"/>
      <c r="N502" s="44" t="n">
        <v>13.71</v>
      </c>
      <c r="O502" s="11"/>
    </row>
    <row r="503" customFormat="false" ht="14.25" hidden="false" customHeight="true" outlineLevel="0" collapsed="false">
      <c r="C503" s="11"/>
      <c r="D503" s="11"/>
      <c r="E503" s="11"/>
      <c r="F503" s="11"/>
      <c r="G503" s="11"/>
      <c r="H503" s="11"/>
      <c r="I503" s="11"/>
      <c r="J503" s="11"/>
      <c r="K503" s="11"/>
      <c r="L503" s="11"/>
      <c r="M503" s="11"/>
      <c r="N503" s="44" t="n">
        <v>13.57</v>
      </c>
      <c r="O503" s="11"/>
    </row>
    <row r="504" customFormat="false" ht="14.25" hidden="false" customHeight="true" outlineLevel="0" collapsed="false">
      <c r="C504" s="11"/>
      <c r="D504" s="11"/>
      <c r="E504" s="11"/>
      <c r="F504" s="11"/>
      <c r="G504" s="11"/>
      <c r="H504" s="11"/>
      <c r="I504" s="11"/>
      <c r="J504" s="11"/>
      <c r="K504" s="11"/>
      <c r="L504" s="11"/>
      <c r="M504" s="11"/>
      <c r="N504" s="44" t="n">
        <v>13.73</v>
      </c>
      <c r="O504" s="11"/>
    </row>
    <row r="505" customFormat="false" ht="14.25" hidden="false" customHeight="true" outlineLevel="0" collapsed="false">
      <c r="C505" s="11"/>
      <c r="D505" s="11"/>
      <c r="E505" s="11"/>
      <c r="F505" s="11"/>
      <c r="G505" s="11"/>
      <c r="H505" s="11"/>
      <c r="I505" s="11"/>
      <c r="J505" s="11"/>
      <c r="K505" s="11"/>
      <c r="L505" s="11"/>
      <c r="M505" s="11"/>
      <c r="N505" s="44" t="n">
        <v>13.7</v>
      </c>
      <c r="O505" s="11"/>
    </row>
    <row r="506" customFormat="false" ht="14.25" hidden="false" customHeight="true" outlineLevel="0" collapsed="false">
      <c r="C506" s="11"/>
      <c r="D506" s="11"/>
      <c r="E506" s="11"/>
      <c r="F506" s="11"/>
      <c r="G506" s="11"/>
      <c r="H506" s="11"/>
      <c r="I506" s="11"/>
      <c r="J506" s="11"/>
      <c r="K506" s="11"/>
      <c r="L506" s="11"/>
      <c r="M506" s="11"/>
      <c r="N506" s="44" t="n">
        <v>13.84</v>
      </c>
      <c r="O506" s="11"/>
    </row>
    <row r="507" customFormat="false" ht="14.25" hidden="false" customHeight="true" outlineLevel="0" collapsed="false">
      <c r="C507" s="11"/>
      <c r="D507" s="11"/>
      <c r="E507" s="11"/>
      <c r="F507" s="11"/>
      <c r="G507" s="11"/>
      <c r="H507" s="11"/>
      <c r="I507" s="11"/>
      <c r="J507" s="11"/>
      <c r="K507" s="11"/>
      <c r="L507" s="11"/>
      <c r="M507" s="11"/>
      <c r="N507" s="44" t="n">
        <v>13.75</v>
      </c>
      <c r="O507" s="11"/>
    </row>
    <row r="508" customFormat="false" ht="14.25" hidden="false" customHeight="true" outlineLevel="0" collapsed="false">
      <c r="C508" s="11"/>
      <c r="D508" s="11"/>
      <c r="E508" s="11"/>
      <c r="F508" s="11"/>
      <c r="G508" s="11"/>
      <c r="H508" s="11"/>
      <c r="I508" s="11"/>
      <c r="J508" s="11"/>
      <c r="K508" s="11"/>
      <c r="L508" s="11"/>
      <c r="M508" s="11"/>
      <c r="N508" s="44" t="n">
        <v>13.55</v>
      </c>
      <c r="O508" s="11"/>
    </row>
    <row r="509" customFormat="false" ht="14.25" hidden="false" customHeight="true" outlineLevel="0" collapsed="false">
      <c r="C509" s="11"/>
      <c r="D509" s="11"/>
      <c r="E509" s="11"/>
      <c r="F509" s="11"/>
      <c r="G509" s="11"/>
      <c r="H509" s="11"/>
      <c r="I509" s="11"/>
      <c r="J509" s="11"/>
      <c r="K509" s="11"/>
      <c r="L509" s="11"/>
      <c r="M509" s="11"/>
      <c r="N509" s="44" t="n">
        <v>13.3</v>
      </c>
      <c r="O509" s="11"/>
    </row>
    <row r="510" customFormat="false" ht="14.25" hidden="false" customHeight="true" outlineLevel="0" collapsed="false">
      <c r="C510" s="11"/>
      <c r="D510" s="11"/>
      <c r="E510" s="11"/>
      <c r="F510" s="11"/>
      <c r="G510" s="11"/>
      <c r="H510" s="11"/>
      <c r="I510" s="11"/>
      <c r="J510" s="11"/>
      <c r="K510" s="11"/>
      <c r="L510" s="11"/>
      <c r="M510" s="11"/>
      <c r="N510" s="44" t="n">
        <v>13.44</v>
      </c>
      <c r="O510" s="11"/>
    </row>
    <row r="511" customFormat="false" ht="14.25" hidden="false" customHeight="true" outlineLevel="0" collapsed="false">
      <c r="C511" s="11"/>
      <c r="D511" s="11"/>
      <c r="E511" s="11"/>
      <c r="F511" s="11"/>
      <c r="G511" s="11"/>
      <c r="H511" s="11"/>
      <c r="I511" s="11"/>
      <c r="J511" s="11"/>
      <c r="K511" s="11"/>
      <c r="L511" s="11"/>
      <c r="M511" s="11"/>
      <c r="N511" s="44" t="n">
        <v>13.56</v>
      </c>
      <c r="O511" s="11"/>
    </row>
    <row r="512" customFormat="false" ht="14.25" hidden="false" customHeight="true" outlineLevel="0" collapsed="false">
      <c r="C512" s="11"/>
      <c r="D512" s="11"/>
      <c r="E512" s="11"/>
      <c r="F512" s="11"/>
      <c r="G512" s="11"/>
      <c r="H512" s="11"/>
      <c r="I512" s="11"/>
      <c r="J512" s="11"/>
      <c r="K512" s="11"/>
      <c r="L512" s="11"/>
      <c r="M512" s="11"/>
      <c r="N512" s="44" t="n">
        <v>13.65</v>
      </c>
      <c r="O512" s="11"/>
    </row>
    <row r="513" customFormat="false" ht="14.25" hidden="false" customHeight="true" outlineLevel="0" collapsed="false">
      <c r="C513" s="11"/>
      <c r="D513" s="11"/>
      <c r="E513" s="11"/>
      <c r="F513" s="11"/>
      <c r="G513" s="11"/>
      <c r="H513" s="11"/>
      <c r="I513" s="11"/>
      <c r="J513" s="11"/>
      <c r="K513" s="11"/>
      <c r="L513" s="11"/>
      <c r="M513" s="11"/>
      <c r="N513" s="44" t="n">
        <v>13.73</v>
      </c>
      <c r="O513" s="11"/>
    </row>
    <row r="514" customFormat="false" ht="14.25" hidden="false" customHeight="true" outlineLevel="0" collapsed="false">
      <c r="C514" s="11"/>
      <c r="D514" s="11"/>
      <c r="E514" s="11"/>
      <c r="F514" s="11"/>
      <c r="G514" s="11"/>
      <c r="H514" s="11"/>
      <c r="I514" s="11"/>
      <c r="J514" s="11"/>
      <c r="K514" s="11"/>
      <c r="L514" s="11"/>
      <c r="M514" s="11"/>
      <c r="N514" s="44" t="n">
        <v>13.93</v>
      </c>
      <c r="O514" s="11"/>
    </row>
    <row r="515" customFormat="false" ht="14.25" hidden="false" customHeight="true" outlineLevel="0" collapsed="false">
      <c r="C515" s="11"/>
      <c r="D515" s="11"/>
      <c r="E515" s="11"/>
      <c r="F515" s="11"/>
      <c r="G515" s="11"/>
      <c r="H515" s="11"/>
      <c r="I515" s="11"/>
      <c r="J515" s="11"/>
      <c r="K515" s="11"/>
      <c r="L515" s="11"/>
      <c r="M515" s="11"/>
      <c r="N515" s="44" t="n">
        <v>13.93</v>
      </c>
      <c r="O515" s="11"/>
    </row>
    <row r="516" customFormat="false" ht="14.25" hidden="false" customHeight="true" outlineLevel="0" collapsed="false">
      <c r="C516" s="11"/>
      <c r="D516" s="11"/>
      <c r="E516" s="11"/>
      <c r="F516" s="11"/>
      <c r="G516" s="11"/>
      <c r="H516" s="11"/>
      <c r="I516" s="11"/>
      <c r="J516" s="11"/>
      <c r="K516" s="11"/>
      <c r="L516" s="11"/>
      <c r="M516" s="11"/>
      <c r="N516" s="44" t="n">
        <v>13.9</v>
      </c>
      <c r="O516" s="11"/>
    </row>
    <row r="517" customFormat="false" ht="14.25" hidden="false" customHeight="true" outlineLevel="0" collapsed="false">
      <c r="C517" s="11"/>
      <c r="D517" s="11"/>
      <c r="E517" s="11"/>
      <c r="F517" s="11"/>
      <c r="G517" s="11"/>
      <c r="H517" s="11"/>
      <c r="I517" s="11"/>
      <c r="J517" s="11"/>
      <c r="K517" s="11"/>
      <c r="L517" s="11"/>
      <c r="M517" s="11"/>
      <c r="N517" s="44" t="n">
        <v>13.99</v>
      </c>
      <c r="O517" s="11"/>
    </row>
    <row r="518" customFormat="false" ht="14.25" hidden="false" customHeight="true" outlineLevel="0" collapsed="false">
      <c r="C518" s="11"/>
      <c r="D518" s="11"/>
      <c r="E518" s="11"/>
      <c r="F518" s="11"/>
      <c r="G518" s="11"/>
      <c r="H518" s="11"/>
      <c r="I518" s="11"/>
      <c r="J518" s="11"/>
      <c r="K518" s="11"/>
      <c r="L518" s="11"/>
      <c r="M518" s="11"/>
      <c r="N518" s="44" t="n">
        <v>14.39</v>
      </c>
      <c r="O518" s="11"/>
    </row>
    <row r="519" customFormat="false" ht="14.25" hidden="false" customHeight="true" outlineLevel="0" collapsed="false">
      <c r="C519" s="11"/>
      <c r="D519" s="11"/>
      <c r="E519" s="11"/>
      <c r="F519" s="11"/>
      <c r="G519" s="11"/>
      <c r="H519" s="11"/>
      <c r="I519" s="11"/>
      <c r="J519" s="11"/>
      <c r="K519" s="11"/>
      <c r="L519" s="11"/>
      <c r="M519" s="11"/>
      <c r="N519" s="44" t="n">
        <v>14.53</v>
      </c>
      <c r="O519" s="11"/>
    </row>
    <row r="520" customFormat="false" ht="14.25" hidden="false" customHeight="true" outlineLevel="0" collapsed="false">
      <c r="C520" s="11"/>
      <c r="D520" s="11"/>
      <c r="E520" s="11"/>
      <c r="F520" s="11"/>
      <c r="G520" s="11"/>
      <c r="H520" s="11"/>
      <c r="I520" s="11"/>
      <c r="J520" s="11"/>
      <c r="K520" s="11"/>
      <c r="L520" s="11"/>
      <c r="M520" s="11"/>
      <c r="N520" s="44" t="n">
        <v>14.94</v>
      </c>
      <c r="O520" s="11"/>
    </row>
    <row r="521" customFormat="false" ht="14.25" hidden="false" customHeight="true" outlineLevel="0" collapsed="false">
      <c r="C521" s="11"/>
      <c r="D521" s="11"/>
      <c r="E521" s="11"/>
      <c r="F521" s="11"/>
      <c r="G521" s="11"/>
      <c r="H521" s="11"/>
      <c r="I521" s="11"/>
      <c r="J521" s="11"/>
      <c r="K521" s="11"/>
      <c r="L521" s="11"/>
      <c r="M521" s="11"/>
      <c r="N521" s="44" t="n">
        <v>14.56</v>
      </c>
      <c r="O521" s="11"/>
    </row>
    <row r="522" customFormat="false" ht="14.25" hidden="false" customHeight="true" outlineLevel="0" collapsed="false">
      <c r="C522" s="11"/>
      <c r="D522" s="11"/>
      <c r="E522" s="11"/>
      <c r="F522" s="11"/>
      <c r="G522" s="11"/>
      <c r="H522" s="11"/>
      <c r="I522" s="11"/>
      <c r="J522" s="11"/>
      <c r="K522" s="11"/>
      <c r="L522" s="11"/>
      <c r="M522" s="11"/>
      <c r="N522" s="44" t="n">
        <v>15</v>
      </c>
      <c r="O522" s="11"/>
    </row>
    <row r="523" customFormat="false" ht="14.25" hidden="false" customHeight="true" outlineLevel="0" collapsed="false">
      <c r="C523" s="11"/>
      <c r="D523" s="11"/>
      <c r="E523" s="11"/>
      <c r="F523" s="11"/>
      <c r="G523" s="11"/>
      <c r="H523" s="11"/>
      <c r="I523" s="11"/>
      <c r="J523" s="11"/>
      <c r="K523" s="11"/>
      <c r="L523" s="11"/>
      <c r="M523" s="11"/>
      <c r="N523" s="44" t="n">
        <v>14.81</v>
      </c>
      <c r="O523" s="11"/>
    </row>
    <row r="524" customFormat="false" ht="14.25" hidden="false" customHeight="true" outlineLevel="0" collapsed="false">
      <c r="C524" s="11"/>
      <c r="D524" s="11"/>
      <c r="E524" s="11"/>
      <c r="F524" s="11"/>
      <c r="G524" s="11"/>
      <c r="H524" s="11"/>
      <c r="I524" s="11"/>
      <c r="J524" s="11"/>
      <c r="K524" s="11"/>
      <c r="L524" s="11"/>
      <c r="M524" s="11"/>
      <c r="N524" s="44" t="n">
        <v>14.52</v>
      </c>
      <c r="O524" s="11"/>
    </row>
    <row r="525" customFormat="false" ht="14.25" hidden="false" customHeight="true" outlineLevel="0" collapsed="false">
      <c r="C525" s="11"/>
      <c r="D525" s="11"/>
      <c r="E525" s="11"/>
      <c r="F525" s="11"/>
      <c r="G525" s="11"/>
      <c r="H525" s="11"/>
      <c r="I525" s="11"/>
      <c r="J525" s="11"/>
      <c r="K525" s="11"/>
      <c r="L525" s="11"/>
      <c r="M525" s="11"/>
      <c r="N525" s="44" t="n">
        <v>14.73</v>
      </c>
      <c r="O525" s="11"/>
    </row>
    <row r="526" customFormat="false" ht="14.25" hidden="false" customHeight="true" outlineLevel="0" collapsed="false">
      <c r="C526" s="11"/>
      <c r="D526" s="11"/>
      <c r="E526" s="11"/>
      <c r="F526" s="11"/>
      <c r="G526" s="11"/>
      <c r="H526" s="11"/>
      <c r="I526" s="11"/>
      <c r="J526" s="11"/>
      <c r="K526" s="11"/>
      <c r="L526" s="11"/>
      <c r="M526" s="11"/>
      <c r="N526" s="44" t="n">
        <v>14.71</v>
      </c>
      <c r="O526" s="11"/>
    </row>
    <row r="527" customFormat="false" ht="14.25" hidden="false" customHeight="true" outlineLevel="0" collapsed="false">
      <c r="C527" s="11"/>
      <c r="D527" s="11"/>
      <c r="E527" s="11"/>
      <c r="F527" s="11"/>
      <c r="G527" s="11"/>
      <c r="H527" s="11"/>
      <c r="I527" s="11"/>
      <c r="J527" s="11"/>
      <c r="K527" s="11"/>
      <c r="L527" s="11"/>
      <c r="M527" s="11"/>
      <c r="N527" s="44" t="n">
        <v>14.54</v>
      </c>
      <c r="O527" s="11"/>
    </row>
    <row r="528" customFormat="false" ht="14.25" hidden="false" customHeight="true" outlineLevel="0" collapsed="false">
      <c r="C528" s="11"/>
      <c r="D528" s="11"/>
      <c r="E528" s="11"/>
      <c r="F528" s="11"/>
      <c r="G528" s="11"/>
      <c r="H528" s="11"/>
      <c r="I528" s="11"/>
      <c r="J528" s="11"/>
      <c r="K528" s="11"/>
      <c r="L528" s="11"/>
      <c r="M528" s="11"/>
      <c r="N528" s="44" t="n">
        <v>14.58</v>
      </c>
      <c r="O528" s="11"/>
    </row>
    <row r="529" customFormat="false" ht="14.25" hidden="false" customHeight="true" outlineLevel="0" collapsed="false">
      <c r="C529" s="11"/>
      <c r="D529" s="11"/>
      <c r="E529" s="11"/>
      <c r="F529" s="11"/>
      <c r="G529" s="11"/>
      <c r="H529" s="11"/>
      <c r="I529" s="11"/>
      <c r="J529" s="11"/>
      <c r="K529" s="11"/>
      <c r="L529" s="11"/>
      <c r="M529" s="11"/>
      <c r="N529" s="44" t="n">
        <v>14.61</v>
      </c>
      <c r="O529" s="11"/>
    </row>
    <row r="530" customFormat="false" ht="14.25" hidden="false" customHeight="true" outlineLevel="0" collapsed="false">
      <c r="C530" s="11"/>
      <c r="D530" s="11"/>
      <c r="E530" s="11"/>
      <c r="F530" s="11"/>
      <c r="G530" s="11"/>
      <c r="H530" s="11"/>
      <c r="I530" s="11"/>
      <c r="J530" s="11"/>
      <c r="K530" s="11"/>
      <c r="L530" s="11"/>
      <c r="M530" s="11"/>
      <c r="N530" s="44" t="n">
        <v>14.1</v>
      </c>
      <c r="O530" s="11"/>
    </row>
    <row r="531" customFormat="false" ht="14.25" hidden="false" customHeight="true" outlineLevel="0" collapsed="false">
      <c r="C531" s="11"/>
      <c r="D531" s="11"/>
      <c r="E531" s="11"/>
      <c r="F531" s="11"/>
      <c r="G531" s="11"/>
      <c r="H531" s="11"/>
      <c r="I531" s="11"/>
      <c r="J531" s="11"/>
      <c r="K531" s="11"/>
      <c r="L531" s="11"/>
      <c r="M531" s="11"/>
      <c r="N531" s="44" t="n">
        <v>14.35</v>
      </c>
      <c r="O531" s="11"/>
    </row>
    <row r="532" customFormat="false" ht="14.25" hidden="false" customHeight="true" outlineLevel="0" collapsed="false">
      <c r="C532" s="11"/>
      <c r="D532" s="11"/>
      <c r="E532" s="11"/>
      <c r="F532" s="11"/>
      <c r="G532" s="11"/>
      <c r="H532" s="11"/>
      <c r="I532" s="11"/>
      <c r="J532" s="11"/>
      <c r="K532" s="11"/>
      <c r="L532" s="11"/>
      <c r="M532" s="11"/>
      <c r="N532" s="44" t="n">
        <v>14.47</v>
      </c>
      <c r="O532" s="11"/>
    </row>
    <row r="533" customFormat="false" ht="14.25" hidden="false" customHeight="true" outlineLevel="0" collapsed="false">
      <c r="C533" s="11"/>
      <c r="D533" s="11"/>
      <c r="E533" s="11"/>
      <c r="F533" s="11"/>
      <c r="G533" s="11"/>
      <c r="H533" s="11"/>
      <c r="I533" s="11"/>
      <c r="J533" s="11"/>
      <c r="K533" s="11"/>
      <c r="L533" s="11"/>
      <c r="M533" s="11"/>
      <c r="N533" s="44" t="n">
        <v>14.45</v>
      </c>
      <c r="O533" s="11"/>
    </row>
    <row r="534" customFormat="false" ht="14.25" hidden="false" customHeight="true" outlineLevel="0" collapsed="false">
      <c r="C534" s="11"/>
      <c r="D534" s="11"/>
      <c r="E534" s="11"/>
      <c r="F534" s="11"/>
      <c r="G534" s="11"/>
      <c r="H534" s="11"/>
      <c r="I534" s="11"/>
      <c r="J534" s="11"/>
      <c r="K534" s="11"/>
      <c r="L534" s="11"/>
      <c r="M534" s="11"/>
      <c r="N534" s="44" t="n">
        <v>14.51</v>
      </c>
      <c r="O534" s="11"/>
    </row>
    <row r="535" customFormat="false" ht="14.25" hidden="false" customHeight="true" outlineLevel="0" collapsed="false">
      <c r="C535" s="11"/>
      <c r="D535" s="11"/>
      <c r="E535" s="11"/>
      <c r="F535" s="11"/>
      <c r="G535" s="11"/>
      <c r="H535" s="11"/>
      <c r="I535" s="11"/>
      <c r="J535" s="11"/>
      <c r="K535" s="11"/>
      <c r="L535" s="11"/>
      <c r="M535" s="11"/>
      <c r="N535" s="44" t="n">
        <v>14.53</v>
      </c>
      <c r="O535" s="11"/>
    </row>
    <row r="536" customFormat="false" ht="14.25" hidden="false" customHeight="true" outlineLevel="0" collapsed="false">
      <c r="C536" s="11"/>
      <c r="D536" s="11"/>
      <c r="E536" s="11"/>
      <c r="F536" s="11"/>
      <c r="G536" s="11"/>
      <c r="H536" s="11"/>
      <c r="I536" s="11"/>
      <c r="J536" s="11"/>
      <c r="K536" s="11"/>
      <c r="L536" s="11"/>
      <c r="M536" s="11"/>
      <c r="N536" s="44" t="n">
        <v>14.43</v>
      </c>
      <c r="O536" s="11"/>
    </row>
    <row r="537" customFormat="false" ht="14.25" hidden="false" customHeight="true" outlineLevel="0" collapsed="false">
      <c r="C537" s="11"/>
      <c r="D537" s="11"/>
      <c r="E537" s="11"/>
      <c r="F537" s="11"/>
      <c r="G537" s="11"/>
      <c r="H537" s="11"/>
      <c r="I537" s="11"/>
      <c r="J537" s="11"/>
      <c r="K537" s="11"/>
      <c r="L537" s="11"/>
      <c r="M537" s="11"/>
      <c r="N537" s="44" t="n">
        <v>14.45</v>
      </c>
      <c r="O537" s="11"/>
    </row>
    <row r="538" customFormat="false" ht="14.25" hidden="false" customHeight="true" outlineLevel="0" collapsed="false">
      <c r="C538" s="11"/>
      <c r="D538" s="11"/>
      <c r="E538" s="11"/>
      <c r="F538" s="11"/>
      <c r="G538" s="11"/>
      <c r="H538" s="11"/>
      <c r="I538" s="11"/>
      <c r="J538" s="11"/>
      <c r="K538" s="11"/>
      <c r="L538" s="11"/>
      <c r="M538" s="11"/>
      <c r="N538" s="44" t="n">
        <v>14.64</v>
      </c>
      <c r="O538" s="11"/>
    </row>
    <row r="539" customFormat="false" ht="14.25" hidden="false" customHeight="true" outlineLevel="0" collapsed="false">
      <c r="C539" s="11"/>
      <c r="D539" s="11"/>
      <c r="E539" s="11"/>
      <c r="F539" s="11"/>
      <c r="G539" s="11"/>
      <c r="H539" s="11"/>
      <c r="I539" s="11"/>
      <c r="J539" s="11"/>
      <c r="K539" s="11"/>
      <c r="L539" s="11"/>
      <c r="M539" s="11"/>
      <c r="N539" s="44" t="n">
        <v>14.67</v>
      </c>
      <c r="O539" s="11"/>
    </row>
    <row r="540" customFormat="false" ht="14.25" hidden="false" customHeight="true" outlineLevel="0" collapsed="false">
      <c r="C540" s="11"/>
      <c r="D540" s="11"/>
      <c r="E540" s="11"/>
      <c r="F540" s="11"/>
      <c r="G540" s="11"/>
      <c r="H540" s="11"/>
      <c r="I540" s="11"/>
      <c r="J540" s="11"/>
      <c r="K540" s="11"/>
      <c r="L540" s="11"/>
      <c r="M540" s="11"/>
      <c r="N540" s="44" t="n">
        <v>14.76</v>
      </c>
      <c r="O540" s="11"/>
    </row>
    <row r="541" customFormat="false" ht="14.25" hidden="false" customHeight="true" outlineLevel="0" collapsed="false">
      <c r="C541" s="11"/>
      <c r="D541" s="11"/>
      <c r="E541" s="11"/>
      <c r="F541" s="11"/>
      <c r="G541" s="11"/>
      <c r="H541" s="11"/>
      <c r="I541" s="11"/>
      <c r="J541" s="11"/>
      <c r="K541" s="11"/>
      <c r="L541" s="11"/>
      <c r="M541" s="11"/>
      <c r="N541" s="44" t="n">
        <v>14.38</v>
      </c>
      <c r="O541" s="11"/>
    </row>
    <row r="542" customFormat="false" ht="14.25" hidden="false" customHeight="true" outlineLevel="0" collapsed="false">
      <c r="C542" s="11"/>
      <c r="D542" s="11"/>
      <c r="E542" s="11"/>
      <c r="F542" s="11"/>
      <c r="G542" s="11"/>
      <c r="H542" s="11"/>
      <c r="I542" s="11"/>
      <c r="J542" s="11"/>
      <c r="K542" s="11"/>
      <c r="L542" s="11"/>
      <c r="M542" s="11"/>
      <c r="N542" s="44" t="n">
        <v>14.38</v>
      </c>
      <c r="O542" s="11"/>
    </row>
    <row r="543" customFormat="false" ht="14.25" hidden="false" customHeight="true" outlineLevel="0" collapsed="false">
      <c r="C543" s="11"/>
      <c r="D543" s="11"/>
      <c r="E543" s="11"/>
      <c r="F543" s="11"/>
      <c r="G543" s="11"/>
      <c r="H543" s="11"/>
      <c r="I543" s="11"/>
      <c r="J543" s="11"/>
      <c r="K543" s="11"/>
      <c r="L543" s="11"/>
      <c r="M543" s="11"/>
      <c r="N543" s="44" t="n">
        <v>14.81</v>
      </c>
      <c r="O543" s="11"/>
    </row>
    <row r="544" customFormat="false" ht="14.25" hidden="false" customHeight="true" outlineLevel="0" collapsed="false">
      <c r="C544" s="11"/>
      <c r="D544" s="11"/>
      <c r="E544" s="11"/>
      <c r="F544" s="11"/>
      <c r="G544" s="11"/>
      <c r="H544" s="11"/>
      <c r="I544" s="11"/>
      <c r="J544" s="11"/>
      <c r="K544" s="11"/>
      <c r="L544" s="11"/>
      <c r="M544" s="11"/>
      <c r="N544" s="44" t="n">
        <v>14.3</v>
      </c>
      <c r="O544" s="11"/>
    </row>
    <row r="545" customFormat="false" ht="14.25" hidden="false" customHeight="true" outlineLevel="0" collapsed="false">
      <c r="C545" s="11"/>
      <c r="D545" s="11"/>
      <c r="E545" s="11"/>
      <c r="F545" s="11"/>
      <c r="G545" s="11"/>
      <c r="H545" s="11"/>
      <c r="I545" s="11"/>
      <c r="J545" s="11"/>
      <c r="K545" s="11"/>
      <c r="L545" s="11"/>
      <c r="M545" s="11"/>
      <c r="N545" s="44" t="n">
        <v>14.49</v>
      </c>
      <c r="O545" s="11"/>
    </row>
    <row r="546" customFormat="false" ht="14.25" hidden="false" customHeight="true" outlineLevel="0" collapsed="false">
      <c r="C546" s="11"/>
      <c r="D546" s="11"/>
      <c r="E546" s="11"/>
      <c r="F546" s="11"/>
      <c r="G546" s="11"/>
      <c r="H546" s="11"/>
      <c r="I546" s="11"/>
      <c r="J546" s="11"/>
      <c r="K546" s="11"/>
      <c r="L546" s="11"/>
      <c r="M546" s="11"/>
      <c r="N546" s="44" t="n">
        <v>14.39</v>
      </c>
      <c r="O546" s="11"/>
    </row>
    <row r="547" customFormat="false" ht="14.25" hidden="false" customHeight="true" outlineLevel="0" collapsed="false">
      <c r="C547" s="11"/>
      <c r="D547" s="11"/>
      <c r="E547" s="11"/>
      <c r="F547" s="11"/>
      <c r="G547" s="11"/>
      <c r="H547" s="11"/>
      <c r="I547" s="11"/>
      <c r="J547" s="11"/>
      <c r="K547" s="11"/>
      <c r="L547" s="11"/>
      <c r="M547" s="11"/>
      <c r="N547" s="44" t="n">
        <v>14.49</v>
      </c>
      <c r="O547" s="11"/>
    </row>
    <row r="548" customFormat="false" ht="14.25" hidden="false" customHeight="true" outlineLevel="0" collapsed="false">
      <c r="C548" s="11"/>
      <c r="D548" s="11"/>
      <c r="E548" s="11"/>
      <c r="F548" s="11"/>
      <c r="G548" s="11"/>
      <c r="H548" s="11"/>
      <c r="I548" s="11"/>
      <c r="J548" s="11"/>
      <c r="K548" s="11"/>
      <c r="L548" s="11"/>
      <c r="M548" s="11"/>
      <c r="N548" s="44" t="n">
        <v>14.66</v>
      </c>
      <c r="O548" s="11"/>
    </row>
    <row r="549" customFormat="false" ht="14.25" hidden="false" customHeight="true" outlineLevel="0" collapsed="false">
      <c r="C549" s="11"/>
      <c r="D549" s="11"/>
      <c r="E549" s="11"/>
      <c r="F549" s="11"/>
      <c r="G549" s="11"/>
      <c r="H549" s="11"/>
      <c r="I549" s="11"/>
      <c r="J549" s="11"/>
      <c r="K549" s="11"/>
      <c r="L549" s="11"/>
      <c r="M549" s="11"/>
      <c r="N549" s="44" t="n">
        <v>14.36</v>
      </c>
      <c r="O549" s="11"/>
    </row>
    <row r="550" customFormat="false" ht="14.25" hidden="false" customHeight="true" outlineLevel="0" collapsed="false">
      <c r="C550" s="11"/>
      <c r="D550" s="11"/>
      <c r="E550" s="11"/>
      <c r="F550" s="11"/>
      <c r="G550" s="11"/>
      <c r="H550" s="11"/>
      <c r="I550" s="11"/>
      <c r="J550" s="11"/>
      <c r="K550" s="11"/>
      <c r="L550" s="11"/>
      <c r="M550" s="11"/>
      <c r="N550" s="44" t="n">
        <v>14.81</v>
      </c>
      <c r="O550" s="11"/>
    </row>
    <row r="551" customFormat="false" ht="14.25" hidden="false" customHeight="true" outlineLevel="0" collapsed="false">
      <c r="C551" s="11"/>
      <c r="D551" s="11"/>
      <c r="E551" s="11"/>
      <c r="F551" s="11"/>
      <c r="G551" s="11"/>
      <c r="H551" s="11"/>
      <c r="I551" s="11"/>
      <c r="J551" s="11"/>
      <c r="K551" s="11"/>
      <c r="L551" s="11"/>
      <c r="M551" s="11"/>
      <c r="N551" s="44" t="n">
        <v>15.13</v>
      </c>
      <c r="O551" s="11"/>
    </row>
    <row r="552" customFormat="false" ht="14.25" hidden="false" customHeight="true" outlineLevel="0" collapsed="false">
      <c r="C552" s="11"/>
      <c r="D552" s="11"/>
      <c r="E552" s="11"/>
      <c r="F552" s="11"/>
      <c r="G552" s="11"/>
      <c r="H552" s="11"/>
      <c r="I552" s="11"/>
      <c r="J552" s="11"/>
      <c r="K552" s="11"/>
      <c r="L552" s="11"/>
      <c r="M552" s="11"/>
      <c r="N552" s="44" t="n">
        <v>15.12</v>
      </c>
      <c r="O552" s="11"/>
    </row>
    <row r="553" customFormat="false" ht="14.25" hidden="false" customHeight="true" outlineLevel="0" collapsed="false">
      <c r="C553" s="11"/>
      <c r="D553" s="11"/>
      <c r="E553" s="11"/>
      <c r="F553" s="11"/>
      <c r="G553" s="11"/>
      <c r="H553" s="11"/>
      <c r="I553" s="11"/>
      <c r="J553" s="11"/>
      <c r="K553" s="11"/>
      <c r="L553" s="11"/>
      <c r="M553" s="11"/>
      <c r="N553" s="44" t="n">
        <v>14.95</v>
      </c>
      <c r="O553" s="11"/>
    </row>
    <row r="554" customFormat="false" ht="14.25" hidden="false" customHeight="true" outlineLevel="0" collapsed="false">
      <c r="C554" s="11"/>
      <c r="D554" s="11"/>
      <c r="E554" s="11"/>
      <c r="F554" s="11"/>
      <c r="G554" s="11"/>
      <c r="H554" s="11"/>
      <c r="I554" s="11"/>
      <c r="J554" s="11"/>
      <c r="K554" s="11"/>
      <c r="L554" s="11"/>
      <c r="M554" s="11"/>
      <c r="N554" s="44" t="n">
        <v>14.83</v>
      </c>
      <c r="O554" s="11"/>
    </row>
    <row r="555" customFormat="false" ht="14.25" hidden="false" customHeight="true" outlineLevel="0" collapsed="false">
      <c r="C555" s="11"/>
      <c r="D555" s="11"/>
      <c r="E555" s="11"/>
      <c r="F555" s="11"/>
      <c r="G555" s="11"/>
      <c r="H555" s="11"/>
      <c r="I555" s="11"/>
      <c r="J555" s="11"/>
      <c r="K555" s="11"/>
      <c r="L555" s="11"/>
      <c r="M555" s="11"/>
      <c r="N555" s="44" t="n">
        <v>14.37</v>
      </c>
      <c r="O555" s="11"/>
    </row>
    <row r="556" customFormat="false" ht="14.25" hidden="false" customHeight="true" outlineLevel="0" collapsed="false">
      <c r="C556" s="11"/>
      <c r="D556" s="11"/>
      <c r="E556" s="11"/>
      <c r="F556" s="11"/>
      <c r="G556" s="11"/>
      <c r="H556" s="11"/>
      <c r="I556" s="11"/>
      <c r="J556" s="11"/>
      <c r="K556" s="11"/>
      <c r="L556" s="11"/>
      <c r="M556" s="11"/>
      <c r="N556" s="44" t="n">
        <v>14.85</v>
      </c>
      <c r="O556" s="11"/>
    </row>
    <row r="557" customFormat="false" ht="14.25" hidden="false" customHeight="true" outlineLevel="0" collapsed="false">
      <c r="C557" s="11"/>
      <c r="D557" s="11"/>
      <c r="E557" s="11"/>
      <c r="F557" s="11"/>
      <c r="G557" s="11"/>
      <c r="H557" s="11"/>
      <c r="I557" s="11"/>
      <c r="J557" s="11"/>
      <c r="K557" s="11"/>
      <c r="L557" s="11"/>
      <c r="M557" s="11"/>
      <c r="N557" s="44" t="n">
        <v>14.85</v>
      </c>
      <c r="O557" s="11"/>
    </row>
    <row r="558" customFormat="false" ht="14.25" hidden="false" customHeight="true" outlineLevel="0" collapsed="false">
      <c r="C558" s="11"/>
      <c r="D558" s="11"/>
      <c r="E558" s="11"/>
      <c r="F558" s="11"/>
      <c r="G558" s="11"/>
      <c r="H558" s="11"/>
      <c r="I558" s="11"/>
      <c r="J558" s="11"/>
      <c r="K558" s="11"/>
      <c r="L558" s="11"/>
      <c r="M558" s="11"/>
      <c r="N558" s="44" t="n">
        <v>14.82</v>
      </c>
      <c r="O558" s="11"/>
    </row>
    <row r="559" customFormat="false" ht="14.25" hidden="false" customHeight="true" outlineLevel="0" collapsed="false">
      <c r="C559" s="11"/>
      <c r="D559" s="11"/>
      <c r="E559" s="11"/>
      <c r="F559" s="11"/>
      <c r="G559" s="11"/>
      <c r="H559" s="11"/>
      <c r="I559" s="11"/>
      <c r="J559" s="11"/>
      <c r="K559" s="11"/>
      <c r="L559" s="11"/>
      <c r="M559" s="11"/>
      <c r="N559" s="44" t="n">
        <v>14.88</v>
      </c>
      <c r="O559" s="11"/>
    </row>
    <row r="560" customFormat="false" ht="14.25" hidden="false" customHeight="true" outlineLevel="0" collapsed="false">
      <c r="C560" s="11"/>
      <c r="D560" s="11"/>
      <c r="E560" s="11"/>
      <c r="F560" s="11"/>
      <c r="G560" s="11"/>
      <c r="H560" s="11"/>
      <c r="I560" s="11"/>
      <c r="J560" s="11"/>
      <c r="K560" s="11"/>
      <c r="L560" s="11"/>
      <c r="M560" s="11"/>
      <c r="N560" s="44" t="n">
        <v>14.98</v>
      </c>
      <c r="O560" s="11"/>
    </row>
    <row r="561" customFormat="false" ht="14.25" hidden="false" customHeight="true" outlineLevel="0" collapsed="false">
      <c r="C561" s="11"/>
      <c r="D561" s="11"/>
      <c r="E561" s="11"/>
      <c r="F561" s="11"/>
      <c r="G561" s="11"/>
      <c r="H561" s="11"/>
      <c r="I561" s="11"/>
      <c r="J561" s="11"/>
      <c r="K561" s="11"/>
      <c r="L561" s="11"/>
      <c r="M561" s="11"/>
      <c r="N561" s="44" t="n">
        <v>15.35</v>
      </c>
      <c r="O561" s="11"/>
    </row>
    <row r="562" customFormat="false" ht="14.25" hidden="false" customHeight="true" outlineLevel="0" collapsed="false">
      <c r="C562" s="11"/>
      <c r="D562" s="11"/>
      <c r="E562" s="11"/>
      <c r="F562" s="11"/>
      <c r="G562" s="11"/>
      <c r="H562" s="11"/>
      <c r="I562" s="11"/>
      <c r="J562" s="11"/>
      <c r="K562" s="11"/>
      <c r="L562" s="11"/>
      <c r="M562" s="11"/>
      <c r="N562" s="44" t="n">
        <v>15.35</v>
      </c>
      <c r="O562" s="11"/>
    </row>
    <row r="563" customFormat="false" ht="14.25" hidden="false" customHeight="true" outlineLevel="0" collapsed="false">
      <c r="C563" s="11"/>
      <c r="D563" s="11"/>
      <c r="E563" s="11"/>
      <c r="F563" s="11"/>
      <c r="G563" s="11"/>
      <c r="H563" s="11"/>
      <c r="I563" s="11"/>
      <c r="J563" s="11"/>
      <c r="K563" s="11"/>
      <c r="L563" s="11"/>
      <c r="M563" s="11"/>
      <c r="N563" s="44" t="n">
        <v>15.25</v>
      </c>
      <c r="O563" s="11"/>
    </row>
    <row r="564" customFormat="false" ht="14.25" hidden="false" customHeight="true" outlineLevel="0" collapsed="false">
      <c r="C564" s="11"/>
      <c r="D564" s="11"/>
      <c r="E564" s="11"/>
      <c r="F564" s="11"/>
      <c r="G564" s="11"/>
      <c r="H564" s="11"/>
      <c r="I564" s="11"/>
      <c r="J564" s="11"/>
      <c r="K564" s="11"/>
      <c r="L564" s="11"/>
      <c r="M564" s="11"/>
      <c r="N564" s="44" t="n">
        <v>15.15</v>
      </c>
      <c r="O564" s="11"/>
    </row>
    <row r="565" customFormat="false" ht="14.25" hidden="false" customHeight="true" outlineLevel="0" collapsed="false">
      <c r="C565" s="11"/>
      <c r="D565" s="11"/>
      <c r="E565" s="11"/>
      <c r="F565" s="11"/>
      <c r="G565" s="11"/>
      <c r="H565" s="11"/>
      <c r="I565" s="11"/>
      <c r="J565" s="11"/>
      <c r="K565" s="11"/>
      <c r="L565" s="11"/>
      <c r="M565" s="11"/>
      <c r="N565" s="44" t="n">
        <v>15</v>
      </c>
      <c r="O565" s="11"/>
    </row>
    <row r="566" customFormat="false" ht="14.25" hidden="false" customHeight="true" outlineLevel="0" collapsed="false">
      <c r="C566" s="11"/>
      <c r="D566" s="11"/>
      <c r="E566" s="11"/>
      <c r="F566" s="11"/>
      <c r="G566" s="11"/>
      <c r="H566" s="11"/>
      <c r="I566" s="11"/>
      <c r="J566" s="11"/>
      <c r="K566" s="11"/>
      <c r="L566" s="11"/>
      <c r="M566" s="11"/>
      <c r="N566" s="44" t="n">
        <v>14.62</v>
      </c>
      <c r="O566" s="11"/>
    </row>
    <row r="567" customFormat="false" ht="14.25" hidden="false" customHeight="true" outlineLevel="0" collapsed="false">
      <c r="C567" s="11"/>
      <c r="D567" s="11"/>
      <c r="E567" s="11"/>
      <c r="F567" s="11"/>
      <c r="G567" s="11"/>
      <c r="H567" s="11"/>
      <c r="I567" s="11"/>
      <c r="J567" s="11"/>
      <c r="K567" s="11"/>
      <c r="L567" s="11"/>
      <c r="M567" s="11"/>
      <c r="N567" s="44" t="n">
        <v>14.23</v>
      </c>
      <c r="O567" s="11"/>
    </row>
    <row r="568" customFormat="false" ht="14.25" hidden="false" customHeight="true" outlineLevel="0" collapsed="false">
      <c r="C568" s="11"/>
      <c r="D568" s="11"/>
      <c r="E568" s="11"/>
      <c r="F568" s="11"/>
      <c r="G568" s="11"/>
      <c r="H568" s="11"/>
      <c r="I568" s="11"/>
      <c r="J568" s="11"/>
      <c r="K568" s="11"/>
      <c r="L568" s="11"/>
      <c r="M568" s="11"/>
      <c r="N568" s="44" t="n">
        <v>14.17</v>
      </c>
      <c r="O568" s="11"/>
    </row>
    <row r="569" customFormat="false" ht="14.25" hidden="false" customHeight="true" outlineLevel="0" collapsed="false">
      <c r="C569" s="11"/>
      <c r="D569" s="11"/>
      <c r="E569" s="11"/>
      <c r="F569" s="11"/>
      <c r="G569" s="11"/>
      <c r="H569" s="11"/>
      <c r="I569" s="11"/>
      <c r="J569" s="11"/>
      <c r="K569" s="11"/>
      <c r="L569" s="11"/>
      <c r="M569" s="11"/>
      <c r="N569" s="44" t="n">
        <v>14.15</v>
      </c>
      <c r="O569" s="11"/>
    </row>
    <row r="570" customFormat="false" ht="14.25" hidden="false" customHeight="true" outlineLevel="0" collapsed="false">
      <c r="C570" s="11"/>
      <c r="D570" s="11"/>
      <c r="E570" s="11"/>
      <c r="F570" s="11"/>
      <c r="G570" s="11"/>
      <c r="H570" s="11"/>
      <c r="I570" s="11"/>
      <c r="J570" s="11"/>
      <c r="K570" s="11"/>
      <c r="L570" s="11"/>
      <c r="M570" s="11"/>
      <c r="N570" s="44" t="n">
        <v>13.87</v>
      </c>
      <c r="O570" s="11"/>
    </row>
    <row r="571" customFormat="false" ht="14.25" hidden="false" customHeight="true" outlineLevel="0" collapsed="false">
      <c r="C571" s="11"/>
      <c r="D571" s="11"/>
      <c r="E571" s="11"/>
      <c r="F571" s="11"/>
      <c r="G571" s="11"/>
      <c r="H571" s="11"/>
      <c r="I571" s="11"/>
      <c r="J571" s="11"/>
      <c r="K571" s="11"/>
      <c r="L571" s="11"/>
      <c r="M571" s="11"/>
      <c r="N571" s="44" t="n">
        <v>14</v>
      </c>
      <c r="O571" s="11"/>
    </row>
    <row r="572" customFormat="false" ht="14.25" hidden="false" customHeight="true" outlineLevel="0" collapsed="false">
      <c r="C572" s="11"/>
      <c r="D572" s="11"/>
      <c r="E572" s="11"/>
      <c r="F572" s="11"/>
      <c r="G572" s="11"/>
      <c r="H572" s="11"/>
      <c r="I572" s="11"/>
      <c r="J572" s="11"/>
      <c r="K572" s="11"/>
      <c r="L572" s="11"/>
      <c r="M572" s="11"/>
      <c r="N572" s="44" t="n">
        <v>14.16</v>
      </c>
      <c r="O572" s="11"/>
    </row>
    <row r="573" customFormat="false" ht="14.25" hidden="false" customHeight="true" outlineLevel="0" collapsed="false">
      <c r="C573" s="11"/>
      <c r="D573" s="11"/>
      <c r="E573" s="11"/>
      <c r="F573" s="11"/>
      <c r="G573" s="11"/>
      <c r="H573" s="11"/>
      <c r="I573" s="11"/>
      <c r="J573" s="11"/>
      <c r="K573" s="11"/>
      <c r="L573" s="11"/>
      <c r="M573" s="11"/>
      <c r="N573" s="44" t="n">
        <v>14.31</v>
      </c>
      <c r="O573" s="11"/>
    </row>
    <row r="574" customFormat="false" ht="14.25" hidden="false" customHeight="true" outlineLevel="0" collapsed="false">
      <c r="C574" s="11"/>
      <c r="D574" s="11"/>
      <c r="E574" s="11"/>
      <c r="F574" s="11"/>
      <c r="G574" s="11"/>
      <c r="H574" s="11"/>
      <c r="I574" s="11"/>
      <c r="J574" s="11"/>
      <c r="K574" s="11"/>
      <c r="L574" s="11"/>
      <c r="M574" s="11"/>
      <c r="N574" s="44" t="n">
        <v>14.74</v>
      </c>
      <c r="O574" s="11"/>
    </row>
    <row r="575" customFormat="false" ht="14.25" hidden="false" customHeight="true" outlineLevel="0" collapsed="false">
      <c r="C575" s="11"/>
      <c r="D575" s="11"/>
      <c r="E575" s="11"/>
      <c r="F575" s="11"/>
      <c r="G575" s="11"/>
      <c r="H575" s="11"/>
      <c r="I575" s="11"/>
      <c r="J575" s="11"/>
      <c r="K575" s="11"/>
      <c r="L575" s="11"/>
      <c r="M575" s="11"/>
      <c r="N575" s="44" t="n">
        <v>14.84</v>
      </c>
      <c r="O575" s="11"/>
    </row>
    <row r="576" customFormat="false" ht="14.25" hidden="false" customHeight="true" outlineLevel="0" collapsed="false">
      <c r="C576" s="11"/>
      <c r="D576" s="11"/>
      <c r="E576" s="11"/>
      <c r="F576" s="11"/>
      <c r="G576" s="11"/>
      <c r="H576" s="11"/>
      <c r="I576" s="11"/>
      <c r="J576" s="11"/>
      <c r="K576" s="11"/>
      <c r="L576" s="11"/>
      <c r="M576" s="11"/>
      <c r="N576" s="44" t="n">
        <v>15.04</v>
      </c>
      <c r="O576" s="11"/>
    </row>
    <row r="577" customFormat="false" ht="14.25" hidden="false" customHeight="true" outlineLevel="0" collapsed="false">
      <c r="C577" s="11"/>
      <c r="D577" s="11"/>
      <c r="E577" s="11"/>
      <c r="F577" s="11"/>
      <c r="G577" s="11"/>
      <c r="H577" s="11"/>
      <c r="I577" s="11"/>
      <c r="J577" s="11"/>
      <c r="K577" s="11"/>
      <c r="L577" s="11"/>
      <c r="M577" s="11"/>
      <c r="N577" s="44" t="n">
        <v>15.03</v>
      </c>
      <c r="O577" s="11"/>
    </row>
    <row r="578" customFormat="false" ht="14.25" hidden="false" customHeight="true" outlineLevel="0" collapsed="false">
      <c r="C578" s="11"/>
      <c r="D578" s="11"/>
      <c r="E578" s="11"/>
      <c r="F578" s="11"/>
      <c r="G578" s="11"/>
      <c r="H578" s="11"/>
      <c r="I578" s="11"/>
      <c r="J578" s="11"/>
      <c r="K578" s="11"/>
      <c r="L578" s="11"/>
      <c r="M578" s="11"/>
      <c r="N578" s="44" t="n">
        <v>14.91</v>
      </c>
      <c r="O578" s="11"/>
    </row>
    <row r="579" customFormat="false" ht="14.25" hidden="false" customHeight="true" outlineLevel="0" collapsed="false">
      <c r="C579" s="11"/>
      <c r="D579" s="11"/>
      <c r="E579" s="11"/>
      <c r="F579" s="11"/>
      <c r="G579" s="11"/>
      <c r="H579" s="11"/>
      <c r="I579" s="11"/>
      <c r="J579" s="11"/>
      <c r="K579" s="11"/>
      <c r="L579" s="11"/>
      <c r="M579" s="11"/>
      <c r="N579" s="44" t="n">
        <v>15.25</v>
      </c>
      <c r="O579" s="11"/>
    </row>
    <row r="580" customFormat="false" ht="14.25" hidden="false" customHeight="true" outlineLevel="0" collapsed="false">
      <c r="C580" s="11"/>
      <c r="D580" s="11"/>
      <c r="E580" s="11"/>
      <c r="F580" s="11"/>
      <c r="G580" s="11"/>
      <c r="H580" s="11"/>
      <c r="I580" s="11"/>
      <c r="J580" s="11"/>
      <c r="K580" s="11"/>
      <c r="L580" s="11"/>
      <c r="M580" s="11"/>
      <c r="N580" s="44" t="n">
        <v>15.28</v>
      </c>
      <c r="O580" s="11"/>
    </row>
    <row r="581" customFormat="false" ht="14.25" hidden="false" customHeight="true" outlineLevel="0" collapsed="false">
      <c r="C581" s="11"/>
      <c r="D581" s="11"/>
      <c r="E581" s="11"/>
      <c r="F581" s="11"/>
      <c r="G581" s="11"/>
      <c r="H581" s="11"/>
      <c r="I581" s="11"/>
      <c r="J581" s="11"/>
      <c r="K581" s="11"/>
      <c r="L581" s="11"/>
      <c r="M581" s="11"/>
      <c r="N581" s="44" t="n">
        <v>15.37</v>
      </c>
      <c r="O581" s="11"/>
    </row>
    <row r="582" customFormat="false" ht="14.25" hidden="false" customHeight="true" outlineLevel="0" collapsed="false">
      <c r="C582" s="11"/>
      <c r="D582" s="11"/>
      <c r="E582" s="11"/>
      <c r="F582" s="11"/>
      <c r="G582" s="11"/>
      <c r="H582" s="11"/>
      <c r="I582" s="11"/>
      <c r="J582" s="11"/>
      <c r="K582" s="11"/>
      <c r="L582" s="11"/>
      <c r="M582" s="11"/>
      <c r="N582" s="44" t="n">
        <v>15.33</v>
      </c>
      <c r="O582" s="11"/>
    </row>
    <row r="583" customFormat="false" ht="14.25" hidden="false" customHeight="true" outlineLevel="0" collapsed="false">
      <c r="C583" s="11"/>
      <c r="D583" s="11"/>
      <c r="E583" s="11"/>
      <c r="F583" s="11"/>
      <c r="G583" s="11"/>
      <c r="H583" s="11"/>
      <c r="I583" s="11"/>
      <c r="J583" s="11"/>
      <c r="K583" s="11"/>
      <c r="L583" s="11"/>
      <c r="M583" s="11"/>
      <c r="N583" s="44" t="n">
        <v>15.09</v>
      </c>
      <c r="O583" s="11"/>
    </row>
    <row r="584" customFormat="false" ht="14.25" hidden="false" customHeight="true" outlineLevel="0" collapsed="false">
      <c r="C584" s="11"/>
      <c r="D584" s="11"/>
      <c r="E584" s="11"/>
      <c r="F584" s="11"/>
      <c r="G584" s="11"/>
      <c r="H584" s="11"/>
      <c r="I584" s="11"/>
      <c r="J584" s="11"/>
      <c r="K584" s="11"/>
      <c r="L584" s="11"/>
      <c r="M584" s="11"/>
      <c r="N584" s="44" t="n">
        <v>14.64</v>
      </c>
      <c r="O584" s="11"/>
    </row>
    <row r="585" customFormat="false" ht="14.25" hidden="false" customHeight="true" outlineLevel="0" collapsed="false">
      <c r="C585" s="11"/>
      <c r="D585" s="11"/>
      <c r="E585" s="11"/>
      <c r="F585" s="11"/>
      <c r="G585" s="11"/>
      <c r="H585" s="11"/>
      <c r="I585" s="11"/>
      <c r="J585" s="11"/>
      <c r="K585" s="11"/>
      <c r="L585" s="11"/>
      <c r="M585" s="11"/>
      <c r="N585" s="44" t="n">
        <v>14.48</v>
      </c>
      <c r="O585" s="11"/>
    </row>
    <row r="586" customFormat="false" ht="14.25" hidden="false" customHeight="true" outlineLevel="0" collapsed="false">
      <c r="C586" s="11"/>
      <c r="D586" s="11"/>
      <c r="E586" s="11"/>
      <c r="F586" s="11"/>
      <c r="G586" s="11"/>
      <c r="H586" s="11"/>
      <c r="I586" s="11"/>
      <c r="J586" s="11"/>
      <c r="K586" s="11"/>
      <c r="L586" s="11"/>
      <c r="M586" s="11"/>
      <c r="N586" s="44" t="n">
        <v>14.45</v>
      </c>
      <c r="O586" s="11"/>
    </row>
    <row r="587" customFormat="false" ht="14.25" hidden="false" customHeight="true" outlineLevel="0" collapsed="false">
      <c r="C587" s="11"/>
      <c r="D587" s="11"/>
      <c r="E587" s="11"/>
      <c r="F587" s="11"/>
      <c r="G587" s="11"/>
      <c r="H587" s="11"/>
      <c r="I587" s="11"/>
      <c r="J587" s="11"/>
      <c r="K587" s="11"/>
      <c r="L587" s="11"/>
      <c r="M587" s="11"/>
      <c r="N587" s="44" t="n">
        <v>14.6</v>
      </c>
      <c r="O587" s="11"/>
    </row>
    <row r="588" customFormat="false" ht="14.25" hidden="false" customHeight="true" outlineLevel="0" collapsed="false">
      <c r="C588" s="11"/>
      <c r="D588" s="11"/>
      <c r="E588" s="11"/>
      <c r="F588" s="11"/>
      <c r="G588" s="11"/>
      <c r="H588" s="11"/>
      <c r="I588" s="11"/>
      <c r="J588" s="11"/>
      <c r="K588" s="11"/>
      <c r="L588" s="11"/>
      <c r="M588" s="11"/>
      <c r="N588" s="44" t="n">
        <v>14.64</v>
      </c>
      <c r="O588" s="11"/>
    </row>
    <row r="589" customFormat="false" ht="14.25" hidden="false" customHeight="true" outlineLevel="0" collapsed="false">
      <c r="C589" s="11"/>
      <c r="D589" s="11"/>
      <c r="E589" s="11"/>
      <c r="F589" s="11"/>
      <c r="G589" s="11"/>
      <c r="H589" s="11"/>
      <c r="I589" s="11"/>
      <c r="J589" s="11"/>
      <c r="K589" s="11"/>
      <c r="L589" s="11"/>
      <c r="M589" s="11"/>
      <c r="N589" s="44" t="n">
        <v>14.65</v>
      </c>
      <c r="O589" s="11"/>
    </row>
    <row r="590" customFormat="false" ht="14.25" hidden="false" customHeight="true" outlineLevel="0" collapsed="false">
      <c r="C590" s="11"/>
      <c r="D590" s="11"/>
      <c r="E590" s="11"/>
      <c r="F590" s="11"/>
      <c r="G590" s="11"/>
      <c r="H590" s="11"/>
      <c r="I590" s="11"/>
      <c r="J590" s="11"/>
      <c r="K590" s="11"/>
      <c r="L590" s="11"/>
      <c r="M590" s="11"/>
      <c r="N590" s="44" t="n">
        <v>14.56</v>
      </c>
      <c r="O590" s="11"/>
    </row>
    <row r="591" customFormat="false" ht="14.25" hidden="false" customHeight="true" outlineLevel="0" collapsed="false">
      <c r="C591" s="11"/>
      <c r="D591" s="11"/>
      <c r="E591" s="11"/>
      <c r="F591" s="11"/>
      <c r="G591" s="11"/>
      <c r="H591" s="11"/>
      <c r="I591" s="11"/>
      <c r="J591" s="11"/>
      <c r="K591" s="11"/>
      <c r="L591" s="11"/>
      <c r="M591" s="11"/>
      <c r="N591" s="44" t="n">
        <v>15.13</v>
      </c>
      <c r="O591" s="11"/>
    </row>
    <row r="592" customFormat="false" ht="14.25" hidden="false" customHeight="true" outlineLevel="0" collapsed="false">
      <c r="C592" s="11"/>
      <c r="D592" s="11"/>
      <c r="E592" s="11"/>
      <c r="F592" s="11"/>
      <c r="G592" s="11"/>
      <c r="H592" s="11"/>
      <c r="I592" s="11"/>
      <c r="J592" s="11"/>
      <c r="K592" s="11"/>
      <c r="L592" s="11"/>
      <c r="M592" s="11"/>
      <c r="N592" s="44" t="n">
        <v>14.82</v>
      </c>
      <c r="O592" s="11"/>
    </row>
    <row r="593" customFormat="false" ht="14.25" hidden="false" customHeight="true" outlineLevel="0" collapsed="false">
      <c r="C593" s="11"/>
      <c r="D593" s="11"/>
      <c r="E593" s="11"/>
      <c r="F593" s="11"/>
      <c r="G593" s="11"/>
      <c r="H593" s="11"/>
      <c r="I593" s="11"/>
      <c r="J593" s="11"/>
      <c r="K593" s="11"/>
      <c r="L593" s="11"/>
      <c r="M593" s="11"/>
      <c r="N593" s="44" t="n">
        <v>14.59</v>
      </c>
      <c r="O593" s="11"/>
    </row>
    <row r="594" customFormat="false" ht="14.25" hidden="false" customHeight="true" outlineLevel="0" collapsed="false">
      <c r="C594" s="11"/>
      <c r="D594" s="11"/>
      <c r="E594" s="11"/>
      <c r="F594" s="11"/>
      <c r="G594" s="11"/>
      <c r="H594" s="11"/>
      <c r="I594" s="11"/>
      <c r="J594" s="11"/>
      <c r="K594" s="11"/>
      <c r="L594" s="11"/>
      <c r="M594" s="11"/>
      <c r="N594" s="44" t="n">
        <v>14.63</v>
      </c>
      <c r="O594" s="11"/>
    </row>
    <row r="595" customFormat="false" ht="14.25" hidden="false" customHeight="true" outlineLevel="0" collapsed="false">
      <c r="C595" s="11"/>
      <c r="D595" s="11"/>
      <c r="E595" s="11"/>
      <c r="F595" s="11"/>
      <c r="G595" s="11"/>
      <c r="H595" s="11"/>
      <c r="I595" s="11"/>
      <c r="J595" s="11"/>
      <c r="K595" s="11"/>
      <c r="L595" s="11"/>
      <c r="M595" s="11"/>
      <c r="N595" s="44" t="n">
        <v>14.65</v>
      </c>
      <c r="O595" s="11"/>
    </row>
    <row r="596" customFormat="false" ht="14.25" hidden="false" customHeight="true" outlineLevel="0" collapsed="false">
      <c r="C596" s="11"/>
      <c r="D596" s="11"/>
      <c r="E596" s="11"/>
      <c r="F596" s="11"/>
      <c r="G596" s="11"/>
      <c r="H596" s="11"/>
      <c r="I596" s="11"/>
      <c r="J596" s="11"/>
      <c r="K596" s="11"/>
      <c r="L596" s="11"/>
      <c r="M596" s="11"/>
      <c r="N596" s="44" t="n">
        <v>14.86</v>
      </c>
      <c r="O596" s="11"/>
    </row>
    <row r="597" customFormat="false" ht="14.25" hidden="false" customHeight="true" outlineLevel="0" collapsed="false">
      <c r="C597" s="11"/>
      <c r="D597" s="11"/>
      <c r="E597" s="11"/>
      <c r="F597" s="11"/>
      <c r="G597" s="11"/>
      <c r="H597" s="11"/>
      <c r="I597" s="11"/>
      <c r="J597" s="11"/>
      <c r="K597" s="11"/>
      <c r="L597" s="11"/>
      <c r="M597" s="11"/>
      <c r="N597" s="44" t="n">
        <v>14.67</v>
      </c>
      <c r="O597" s="11"/>
    </row>
    <row r="598" customFormat="false" ht="14.25" hidden="false" customHeight="true" outlineLevel="0" collapsed="false">
      <c r="C598" s="11"/>
      <c r="D598" s="11"/>
      <c r="E598" s="11"/>
      <c r="F598" s="11"/>
      <c r="G598" s="11"/>
      <c r="H598" s="11"/>
      <c r="I598" s="11"/>
      <c r="J598" s="11"/>
      <c r="K598" s="11"/>
      <c r="L598" s="11"/>
      <c r="M598" s="11"/>
      <c r="N598" s="44" t="n">
        <v>14.69</v>
      </c>
      <c r="O598" s="11"/>
    </row>
    <row r="599" customFormat="false" ht="14.25" hidden="false" customHeight="true" outlineLevel="0" collapsed="false">
      <c r="C599" s="11"/>
      <c r="D599" s="11"/>
      <c r="E599" s="11"/>
      <c r="F599" s="11"/>
      <c r="G599" s="11"/>
      <c r="H599" s="11"/>
      <c r="I599" s="11"/>
      <c r="J599" s="11"/>
      <c r="K599" s="11"/>
      <c r="L599" s="11"/>
      <c r="M599" s="11"/>
      <c r="N599" s="44" t="n">
        <v>14.81</v>
      </c>
      <c r="O599" s="11"/>
    </row>
    <row r="600" customFormat="false" ht="14.25" hidden="false" customHeight="true" outlineLevel="0" collapsed="false">
      <c r="C600" s="11"/>
      <c r="D600" s="11"/>
      <c r="E600" s="11"/>
      <c r="F600" s="11"/>
      <c r="G600" s="11"/>
      <c r="H600" s="11"/>
      <c r="I600" s="11"/>
      <c r="J600" s="11"/>
      <c r="K600" s="11"/>
      <c r="L600" s="11"/>
      <c r="M600" s="11"/>
      <c r="N600" s="44" t="n">
        <v>14.45</v>
      </c>
      <c r="O600" s="11"/>
    </row>
    <row r="601" customFormat="false" ht="14.25" hidden="false" customHeight="true" outlineLevel="0" collapsed="false">
      <c r="C601" s="11"/>
      <c r="D601" s="11"/>
      <c r="E601" s="11"/>
      <c r="F601" s="11"/>
      <c r="G601" s="11"/>
      <c r="H601" s="11"/>
      <c r="I601" s="11"/>
      <c r="J601" s="11"/>
      <c r="K601" s="11"/>
      <c r="L601" s="11"/>
      <c r="M601" s="11"/>
      <c r="N601" s="44" t="n">
        <v>14.37</v>
      </c>
      <c r="O601" s="11"/>
    </row>
    <row r="602" customFormat="false" ht="14.25" hidden="false" customHeight="true" outlineLevel="0" collapsed="false">
      <c r="C602" s="11"/>
      <c r="D602" s="11"/>
      <c r="E602" s="11"/>
      <c r="F602" s="11"/>
      <c r="G602" s="11"/>
      <c r="H602" s="11"/>
      <c r="I602" s="11"/>
      <c r="J602" s="11"/>
      <c r="K602" s="11"/>
      <c r="L602" s="11"/>
      <c r="M602" s="11"/>
      <c r="N602" s="44" t="n">
        <v>14.94</v>
      </c>
      <c r="O602" s="11"/>
    </row>
    <row r="603" customFormat="false" ht="14.25" hidden="false" customHeight="true" outlineLevel="0" collapsed="false">
      <c r="C603" s="11"/>
      <c r="D603" s="11"/>
      <c r="E603" s="11"/>
      <c r="F603" s="11"/>
      <c r="G603" s="11"/>
      <c r="H603" s="11"/>
      <c r="I603" s="11"/>
      <c r="J603" s="11"/>
      <c r="K603" s="11"/>
      <c r="L603" s="11"/>
      <c r="M603" s="11"/>
      <c r="N603" s="44" t="n">
        <v>14.38</v>
      </c>
      <c r="O603" s="11"/>
    </row>
    <row r="604" customFormat="false" ht="14.25" hidden="false" customHeight="true" outlineLevel="0" collapsed="false">
      <c r="C604" s="11"/>
      <c r="D604" s="11"/>
      <c r="E604" s="11"/>
      <c r="F604" s="11"/>
      <c r="G604" s="11"/>
      <c r="H604" s="11"/>
      <c r="I604" s="11"/>
      <c r="J604" s="11"/>
      <c r="K604" s="11"/>
      <c r="L604" s="11"/>
      <c r="M604" s="11"/>
      <c r="N604" s="44" t="n">
        <v>14.36</v>
      </c>
      <c r="O604" s="11"/>
    </row>
    <row r="605" customFormat="false" ht="14.25" hidden="false" customHeight="true" outlineLevel="0" collapsed="false">
      <c r="C605" s="11"/>
      <c r="D605" s="11"/>
      <c r="E605" s="11"/>
      <c r="F605" s="11"/>
      <c r="G605" s="11"/>
      <c r="H605" s="11"/>
      <c r="I605" s="11"/>
      <c r="J605" s="11"/>
      <c r="K605" s="11"/>
      <c r="L605" s="11"/>
      <c r="M605" s="11"/>
      <c r="N605" s="44" t="n">
        <v>14.49</v>
      </c>
      <c r="O605" s="11"/>
    </row>
    <row r="606" customFormat="false" ht="14.25" hidden="false" customHeight="true" outlineLevel="0" collapsed="false">
      <c r="C606" s="11"/>
      <c r="D606" s="11"/>
      <c r="E606" s="11"/>
      <c r="F606" s="11"/>
      <c r="G606" s="11"/>
      <c r="H606" s="11"/>
      <c r="I606" s="11"/>
      <c r="J606" s="11"/>
      <c r="K606" s="11"/>
      <c r="L606" s="11"/>
      <c r="M606" s="11"/>
      <c r="N606" s="44" t="n">
        <v>14.49</v>
      </c>
      <c r="O606" s="11"/>
    </row>
    <row r="607" customFormat="false" ht="14.25" hidden="false" customHeight="true" outlineLevel="0" collapsed="false">
      <c r="C607" s="11"/>
      <c r="D607" s="11"/>
      <c r="E607" s="11"/>
      <c r="F607" s="11"/>
      <c r="G607" s="11"/>
      <c r="H607" s="11"/>
      <c r="I607" s="11"/>
      <c r="J607" s="11"/>
      <c r="K607" s="11"/>
      <c r="L607" s="11"/>
      <c r="M607" s="11"/>
      <c r="N607" s="44" t="n">
        <v>14.16</v>
      </c>
      <c r="O607" s="11"/>
    </row>
    <row r="608" customFormat="false" ht="14.25" hidden="false" customHeight="true" outlineLevel="0" collapsed="false">
      <c r="C608" s="11"/>
      <c r="D608" s="11"/>
      <c r="E608" s="11"/>
      <c r="F608" s="11"/>
      <c r="G608" s="11"/>
      <c r="H608" s="11"/>
      <c r="I608" s="11"/>
      <c r="J608" s="11"/>
      <c r="K608" s="11"/>
      <c r="L608" s="11"/>
      <c r="M608" s="11"/>
      <c r="N608" s="44" t="n">
        <v>14.41</v>
      </c>
      <c r="O608" s="11"/>
    </row>
    <row r="609" customFormat="false" ht="14.25" hidden="false" customHeight="true" outlineLevel="0" collapsed="false">
      <c r="C609" s="11"/>
      <c r="D609" s="11"/>
      <c r="E609" s="11"/>
      <c r="F609" s="11"/>
      <c r="G609" s="11"/>
      <c r="H609" s="11"/>
      <c r="I609" s="11"/>
      <c r="J609" s="11"/>
      <c r="K609" s="11"/>
      <c r="L609" s="11"/>
      <c r="M609" s="11"/>
      <c r="N609" s="44" t="n">
        <v>14.47</v>
      </c>
      <c r="O609" s="11"/>
    </row>
    <row r="610" customFormat="false" ht="14.25" hidden="false" customHeight="true" outlineLevel="0" collapsed="false">
      <c r="C610" s="11"/>
      <c r="D610" s="11"/>
      <c r="E610" s="11"/>
      <c r="F610" s="11"/>
      <c r="G610" s="11"/>
      <c r="H610" s="11"/>
      <c r="I610" s="11"/>
      <c r="J610" s="11"/>
      <c r="K610" s="11"/>
      <c r="L610" s="11"/>
      <c r="M610" s="11"/>
      <c r="N610" s="44" t="n">
        <v>14.6</v>
      </c>
      <c r="O610" s="11"/>
    </row>
    <row r="611" customFormat="false" ht="14.25" hidden="false" customHeight="true" outlineLevel="0" collapsed="false">
      <c r="C611" s="11"/>
      <c r="D611" s="11"/>
      <c r="E611" s="11"/>
      <c r="F611" s="11"/>
      <c r="G611" s="11"/>
      <c r="H611" s="11"/>
      <c r="I611" s="11"/>
      <c r="J611" s="11"/>
      <c r="K611" s="11"/>
      <c r="L611" s="11"/>
      <c r="M611" s="11"/>
      <c r="N611" s="44" t="n">
        <v>14.15</v>
      </c>
      <c r="O611" s="11"/>
    </row>
    <row r="612" customFormat="false" ht="14.25" hidden="false" customHeight="true" outlineLevel="0" collapsed="false">
      <c r="C612" s="11"/>
      <c r="D612" s="11"/>
      <c r="E612" s="11"/>
      <c r="F612" s="11"/>
      <c r="G612" s="11"/>
      <c r="H612" s="11"/>
      <c r="I612" s="11"/>
      <c r="J612" s="11"/>
      <c r="K612" s="11"/>
      <c r="L612" s="11"/>
      <c r="M612" s="11"/>
      <c r="N612" s="44" t="n">
        <v>13.99</v>
      </c>
      <c r="O612" s="11"/>
    </row>
    <row r="613" customFormat="false" ht="14.25" hidden="false" customHeight="true" outlineLevel="0" collapsed="false">
      <c r="C613" s="11"/>
      <c r="D613" s="11"/>
      <c r="E613" s="11"/>
      <c r="F613" s="11"/>
      <c r="G613" s="11"/>
      <c r="H613" s="11"/>
      <c r="I613" s="11"/>
      <c r="J613" s="11"/>
      <c r="K613" s="11"/>
      <c r="L613" s="11"/>
      <c r="M613" s="11"/>
      <c r="N613" s="44" t="n">
        <v>14.31</v>
      </c>
      <c r="O613" s="11"/>
    </row>
    <row r="614" customFormat="false" ht="14.25" hidden="false" customHeight="true" outlineLevel="0" collapsed="false">
      <c r="C614" s="11"/>
      <c r="D614" s="11"/>
      <c r="E614" s="11"/>
      <c r="F614" s="11"/>
      <c r="G614" s="11"/>
      <c r="H614" s="11"/>
      <c r="I614" s="11"/>
      <c r="J614" s="11"/>
      <c r="K614" s="11"/>
      <c r="L614" s="11"/>
      <c r="M614" s="11"/>
      <c r="N614" s="44" t="n">
        <v>14.32</v>
      </c>
      <c r="O614" s="11"/>
    </row>
    <row r="615" customFormat="false" ht="14.25" hidden="false" customHeight="true" outlineLevel="0" collapsed="false">
      <c r="C615" s="11"/>
      <c r="D615" s="11"/>
      <c r="E615" s="11"/>
      <c r="F615" s="11"/>
      <c r="G615" s="11"/>
      <c r="H615" s="11"/>
      <c r="I615" s="11"/>
      <c r="J615" s="11"/>
      <c r="K615" s="11"/>
      <c r="L615" s="11"/>
      <c r="M615" s="11"/>
      <c r="N615" s="44" t="n">
        <v>14.42</v>
      </c>
      <c r="O615" s="11"/>
    </row>
    <row r="616" customFormat="false" ht="14.25" hidden="false" customHeight="true" outlineLevel="0" collapsed="false">
      <c r="C616" s="11"/>
      <c r="D616" s="11"/>
      <c r="E616" s="11"/>
      <c r="F616" s="11"/>
      <c r="G616" s="11"/>
      <c r="H616" s="11"/>
      <c r="I616" s="11"/>
      <c r="J616" s="11"/>
      <c r="K616" s="11"/>
      <c r="L616" s="11"/>
      <c r="M616" s="11"/>
      <c r="N616" s="44" t="n">
        <v>14.36</v>
      </c>
      <c r="O616" s="11"/>
    </row>
    <row r="617" customFormat="false" ht="14.25" hidden="false" customHeight="true" outlineLevel="0" collapsed="false">
      <c r="C617" s="11"/>
      <c r="D617" s="11"/>
      <c r="E617" s="11"/>
      <c r="F617" s="11"/>
      <c r="G617" s="11"/>
      <c r="H617" s="11"/>
      <c r="I617" s="11"/>
      <c r="J617" s="11"/>
      <c r="K617" s="11"/>
      <c r="L617" s="11"/>
      <c r="M617" s="11"/>
      <c r="N617" s="44" t="n">
        <v>14.71</v>
      </c>
      <c r="O617" s="11"/>
    </row>
    <row r="618" customFormat="false" ht="14.25" hidden="false" customHeight="true" outlineLevel="0" collapsed="false">
      <c r="C618" s="11"/>
      <c r="D618" s="11"/>
      <c r="E618" s="11"/>
      <c r="F618" s="11"/>
      <c r="G618" s="11"/>
      <c r="H618" s="11"/>
      <c r="I618" s="11"/>
      <c r="J618" s="11"/>
      <c r="K618" s="11"/>
      <c r="L618" s="11"/>
      <c r="M618" s="11"/>
      <c r="N618" s="44" t="n">
        <v>14.43</v>
      </c>
      <c r="O618" s="11"/>
    </row>
    <row r="619" customFormat="false" ht="14.25" hidden="false" customHeight="true" outlineLevel="0" collapsed="false">
      <c r="C619" s="11"/>
      <c r="D619" s="11"/>
      <c r="E619" s="11"/>
      <c r="F619" s="11"/>
      <c r="G619" s="11"/>
      <c r="H619" s="11"/>
      <c r="I619" s="11"/>
      <c r="J619" s="11"/>
      <c r="K619" s="11"/>
      <c r="L619" s="11"/>
      <c r="M619" s="11"/>
      <c r="N619" s="44" t="n">
        <v>14.71</v>
      </c>
      <c r="O619" s="11"/>
    </row>
    <row r="620" customFormat="false" ht="14.25" hidden="false" customHeight="true" outlineLevel="0" collapsed="false">
      <c r="C620" s="11"/>
      <c r="D620" s="11"/>
      <c r="E620" s="11"/>
      <c r="F620" s="11"/>
      <c r="G620" s="11"/>
      <c r="H620" s="11"/>
      <c r="I620" s="11"/>
      <c r="J620" s="11"/>
      <c r="K620" s="11"/>
      <c r="L620" s="11"/>
      <c r="M620" s="11"/>
      <c r="N620" s="44" t="n">
        <v>14.48</v>
      </c>
      <c r="O620" s="11"/>
    </row>
    <row r="621" customFormat="false" ht="14.25" hidden="false" customHeight="true" outlineLevel="0" collapsed="false">
      <c r="C621" s="11"/>
      <c r="D621" s="11"/>
      <c r="E621" s="11"/>
      <c r="F621" s="11"/>
      <c r="G621" s="11"/>
      <c r="H621" s="11"/>
      <c r="I621" s="11"/>
      <c r="J621" s="11"/>
      <c r="K621" s="11"/>
      <c r="L621" s="11"/>
      <c r="M621" s="11"/>
      <c r="N621" s="44" t="n">
        <v>14.41</v>
      </c>
      <c r="O621" s="11"/>
    </row>
    <row r="622" customFormat="false" ht="14.25" hidden="false" customHeight="true" outlineLevel="0" collapsed="false">
      <c r="C622" s="11"/>
      <c r="D622" s="11"/>
      <c r="E622" s="11"/>
      <c r="F622" s="11"/>
      <c r="G622" s="11"/>
      <c r="H622" s="11"/>
      <c r="I622" s="11"/>
      <c r="J622" s="11"/>
      <c r="K622" s="11"/>
      <c r="L622" s="11"/>
      <c r="M622" s="11"/>
      <c r="N622" s="44" t="n">
        <v>14.44</v>
      </c>
      <c r="O622" s="11"/>
    </row>
    <row r="623" customFormat="false" ht="14.25" hidden="false" customHeight="true" outlineLevel="0" collapsed="false">
      <c r="C623" s="11"/>
      <c r="D623" s="11"/>
      <c r="E623" s="11"/>
      <c r="F623" s="11"/>
      <c r="G623" s="11"/>
      <c r="H623" s="11"/>
      <c r="I623" s="11"/>
      <c r="J623" s="11"/>
      <c r="K623" s="11"/>
      <c r="L623" s="11"/>
      <c r="M623" s="11"/>
      <c r="N623" s="44" t="n">
        <v>14.35</v>
      </c>
      <c r="O623" s="11"/>
    </row>
    <row r="624" customFormat="false" ht="14.25" hidden="false" customHeight="true" outlineLevel="0" collapsed="false">
      <c r="C624" s="11"/>
      <c r="D624" s="11"/>
      <c r="E624" s="11"/>
      <c r="F624" s="11"/>
      <c r="G624" s="11"/>
      <c r="H624" s="11"/>
      <c r="I624" s="11"/>
      <c r="J624" s="11"/>
      <c r="K624" s="11"/>
      <c r="L624" s="11"/>
      <c r="M624" s="11"/>
      <c r="N624" s="44" t="n">
        <v>14.22</v>
      </c>
      <c r="O624" s="11"/>
    </row>
    <row r="625" customFormat="false" ht="14.25" hidden="false" customHeight="true" outlineLevel="0" collapsed="false">
      <c r="C625" s="11"/>
      <c r="D625" s="11"/>
      <c r="E625" s="11"/>
      <c r="F625" s="11"/>
      <c r="G625" s="11"/>
      <c r="H625" s="11"/>
      <c r="I625" s="11"/>
      <c r="J625" s="11"/>
      <c r="K625" s="11"/>
      <c r="L625" s="11"/>
      <c r="M625" s="11"/>
      <c r="N625" s="44" t="n">
        <v>13.98</v>
      </c>
      <c r="O625" s="11"/>
    </row>
    <row r="626" customFormat="false" ht="14.25" hidden="false" customHeight="true" outlineLevel="0" collapsed="false">
      <c r="C626" s="11"/>
      <c r="D626" s="11"/>
      <c r="E626" s="11"/>
      <c r="F626" s="11"/>
      <c r="G626" s="11"/>
      <c r="H626" s="11"/>
      <c r="I626" s="11"/>
      <c r="J626" s="11"/>
      <c r="K626" s="11"/>
      <c r="L626" s="11"/>
      <c r="M626" s="11"/>
      <c r="N626" s="44" t="n">
        <v>13.99</v>
      </c>
      <c r="O626" s="11"/>
    </row>
    <row r="627" customFormat="false" ht="14.25" hidden="false" customHeight="true" outlineLevel="0" collapsed="false">
      <c r="C627" s="11"/>
      <c r="D627" s="11"/>
      <c r="E627" s="11"/>
      <c r="F627" s="11"/>
      <c r="G627" s="11"/>
      <c r="H627" s="11"/>
      <c r="I627" s="11"/>
      <c r="J627" s="11"/>
      <c r="K627" s="11"/>
      <c r="L627" s="11"/>
      <c r="M627" s="11"/>
      <c r="N627" s="44" t="n">
        <v>13.68</v>
      </c>
      <c r="O627" s="11"/>
    </row>
    <row r="628" customFormat="false" ht="14.25" hidden="false" customHeight="true" outlineLevel="0" collapsed="false">
      <c r="C628" s="11"/>
      <c r="D628" s="11"/>
      <c r="E628" s="11"/>
      <c r="F628" s="11"/>
      <c r="G628" s="11"/>
      <c r="H628" s="11"/>
      <c r="I628" s="11"/>
      <c r="J628" s="11"/>
      <c r="K628" s="11"/>
      <c r="L628" s="11"/>
      <c r="M628" s="11"/>
      <c r="N628" s="44" t="n">
        <v>13.76</v>
      </c>
      <c r="O628" s="11"/>
    </row>
    <row r="629" customFormat="false" ht="14.25" hidden="false" customHeight="true" outlineLevel="0" collapsed="false">
      <c r="C629" s="11"/>
      <c r="D629" s="11"/>
      <c r="E629" s="11"/>
      <c r="F629" s="11"/>
      <c r="G629" s="11"/>
      <c r="H629" s="11"/>
      <c r="I629" s="11"/>
      <c r="J629" s="11"/>
      <c r="K629" s="11"/>
      <c r="L629" s="11"/>
      <c r="M629" s="11"/>
      <c r="N629" s="44" t="n">
        <v>13.87</v>
      </c>
      <c r="O629" s="11"/>
    </row>
    <row r="630" customFormat="false" ht="14.25" hidden="false" customHeight="true" outlineLevel="0" collapsed="false">
      <c r="C630" s="11"/>
      <c r="D630" s="11"/>
      <c r="E630" s="11"/>
      <c r="F630" s="11"/>
      <c r="G630" s="11"/>
      <c r="H630" s="11"/>
      <c r="I630" s="11"/>
      <c r="J630" s="11"/>
      <c r="K630" s="11"/>
      <c r="L630" s="11"/>
      <c r="M630" s="11"/>
      <c r="N630" s="44" t="n">
        <v>14.13</v>
      </c>
      <c r="O630" s="11"/>
    </row>
    <row r="631" customFormat="false" ht="14.25" hidden="false" customHeight="true" outlineLevel="0" collapsed="false">
      <c r="C631" s="11"/>
      <c r="D631" s="11"/>
      <c r="E631" s="11"/>
      <c r="F631" s="11"/>
      <c r="G631" s="11"/>
      <c r="H631" s="11"/>
      <c r="I631" s="11"/>
      <c r="J631" s="11"/>
      <c r="K631" s="11"/>
      <c r="L631" s="11"/>
      <c r="M631" s="11"/>
      <c r="N631" s="44" t="n">
        <v>14.49</v>
      </c>
      <c r="O631" s="11"/>
    </row>
    <row r="632" customFormat="false" ht="14.25" hidden="false" customHeight="true" outlineLevel="0" collapsed="false">
      <c r="C632" s="11"/>
      <c r="D632" s="11"/>
      <c r="E632" s="11"/>
      <c r="F632" s="11"/>
      <c r="G632" s="11"/>
      <c r="H632" s="11"/>
      <c r="I632" s="11"/>
      <c r="J632" s="11"/>
      <c r="K632" s="11"/>
      <c r="L632" s="11"/>
      <c r="M632" s="11"/>
      <c r="N632" s="44" t="n">
        <v>14.62</v>
      </c>
      <c r="O632" s="11"/>
    </row>
    <row r="633" customFormat="false" ht="14.25" hidden="false" customHeight="true" outlineLevel="0" collapsed="false">
      <c r="C633" s="11"/>
      <c r="D633" s="11"/>
      <c r="E633" s="11"/>
      <c r="F633" s="11"/>
      <c r="G633" s="11"/>
      <c r="H633" s="11"/>
      <c r="I633" s="11"/>
      <c r="J633" s="11"/>
      <c r="K633" s="11"/>
      <c r="L633" s="11"/>
      <c r="M633" s="11"/>
      <c r="N633" s="44" t="n">
        <v>14.7</v>
      </c>
      <c r="O633" s="11"/>
    </row>
    <row r="634" customFormat="false" ht="14.25" hidden="false" customHeight="true" outlineLevel="0" collapsed="false">
      <c r="C634" s="11"/>
      <c r="D634" s="11"/>
      <c r="E634" s="11"/>
      <c r="F634" s="11"/>
      <c r="G634" s="11"/>
      <c r="H634" s="11"/>
      <c r="I634" s="11"/>
      <c r="J634" s="11"/>
      <c r="K634" s="11"/>
      <c r="L634" s="11"/>
      <c r="M634" s="11"/>
      <c r="N634" s="44" t="n">
        <v>14.94</v>
      </c>
      <c r="O634" s="11"/>
    </row>
    <row r="635" customFormat="false" ht="14.25" hidden="false" customHeight="true" outlineLevel="0" collapsed="false">
      <c r="C635" s="11"/>
      <c r="D635" s="11"/>
      <c r="E635" s="11"/>
      <c r="F635" s="11"/>
      <c r="G635" s="11"/>
      <c r="H635" s="11"/>
      <c r="I635" s="11"/>
      <c r="J635" s="11"/>
      <c r="K635" s="11"/>
      <c r="L635" s="11"/>
      <c r="M635" s="11"/>
      <c r="N635" s="44" t="n">
        <v>15.14</v>
      </c>
      <c r="O635" s="11"/>
    </row>
    <row r="636" customFormat="false" ht="14.25" hidden="false" customHeight="true" outlineLevel="0" collapsed="false">
      <c r="C636" s="11"/>
      <c r="D636" s="11"/>
      <c r="E636" s="11"/>
      <c r="F636" s="11"/>
      <c r="G636" s="11"/>
      <c r="H636" s="11"/>
      <c r="I636" s="11"/>
      <c r="J636" s="11"/>
      <c r="K636" s="11"/>
      <c r="L636" s="11"/>
      <c r="M636" s="11"/>
      <c r="N636" s="44" t="n">
        <v>15.05</v>
      </c>
      <c r="O636" s="11"/>
    </row>
    <row r="637" customFormat="false" ht="14.25" hidden="false" customHeight="true" outlineLevel="0" collapsed="false">
      <c r="C637" s="11"/>
      <c r="D637" s="11"/>
      <c r="E637" s="11"/>
      <c r="F637" s="11"/>
      <c r="G637" s="11"/>
      <c r="H637" s="11"/>
      <c r="I637" s="11"/>
      <c r="J637" s="11"/>
      <c r="K637" s="11"/>
      <c r="L637" s="11"/>
      <c r="M637" s="11"/>
      <c r="N637" s="44" t="n">
        <v>15.06</v>
      </c>
      <c r="O637" s="11"/>
    </row>
    <row r="638" customFormat="false" ht="14.25" hidden="false" customHeight="true" outlineLevel="0" collapsed="false">
      <c r="C638" s="11"/>
      <c r="D638" s="11"/>
      <c r="E638" s="11"/>
      <c r="F638" s="11"/>
      <c r="G638" s="11"/>
      <c r="H638" s="11"/>
      <c r="I638" s="11"/>
      <c r="J638" s="11"/>
      <c r="K638" s="11"/>
      <c r="L638" s="11"/>
      <c r="M638" s="11"/>
      <c r="N638" s="44" t="n">
        <v>15.29</v>
      </c>
      <c r="O638" s="11"/>
    </row>
    <row r="639" customFormat="false" ht="14.25" hidden="false" customHeight="true" outlineLevel="0" collapsed="false">
      <c r="C639" s="11"/>
      <c r="D639" s="11"/>
      <c r="E639" s="11"/>
      <c r="F639" s="11"/>
      <c r="G639" s="11"/>
      <c r="H639" s="11"/>
      <c r="I639" s="11"/>
      <c r="J639" s="11"/>
      <c r="K639" s="11"/>
      <c r="L639" s="11"/>
      <c r="M639" s="11"/>
      <c r="N639" s="44" t="n">
        <v>15.56</v>
      </c>
      <c r="O639" s="11"/>
    </row>
    <row r="640" customFormat="false" ht="14.25" hidden="false" customHeight="true" outlineLevel="0" collapsed="false">
      <c r="C640" s="11"/>
      <c r="D640" s="11"/>
      <c r="E640" s="11"/>
      <c r="F640" s="11"/>
      <c r="G640" s="11"/>
      <c r="H640" s="11"/>
      <c r="I640" s="11"/>
      <c r="J640" s="11"/>
      <c r="K640" s="11"/>
      <c r="L640" s="11"/>
      <c r="M640" s="11"/>
      <c r="N640" s="44" t="n">
        <v>15.46</v>
      </c>
      <c r="O640" s="11"/>
    </row>
    <row r="641" customFormat="false" ht="14.25" hidden="false" customHeight="true" outlineLevel="0" collapsed="false">
      <c r="C641" s="11"/>
      <c r="D641" s="11"/>
      <c r="E641" s="11"/>
      <c r="F641" s="11"/>
      <c r="G641" s="11"/>
      <c r="H641" s="11"/>
      <c r="I641" s="11"/>
      <c r="J641" s="11"/>
      <c r="K641" s="11"/>
      <c r="L641" s="11"/>
      <c r="M641" s="11"/>
      <c r="N641" s="44" t="n">
        <v>15.66</v>
      </c>
      <c r="O641" s="11"/>
    </row>
    <row r="642" customFormat="false" ht="14.25" hidden="false" customHeight="true" outlineLevel="0" collapsed="false">
      <c r="C642" s="11"/>
      <c r="D642" s="11"/>
      <c r="E642" s="11"/>
      <c r="F642" s="11"/>
      <c r="G642" s="11"/>
      <c r="H642" s="11"/>
      <c r="I642" s="11"/>
      <c r="J642" s="11"/>
      <c r="K642" s="11"/>
      <c r="L642" s="11"/>
      <c r="M642" s="11"/>
      <c r="N642" s="44" t="n">
        <v>15.86</v>
      </c>
      <c r="O642" s="11"/>
    </row>
    <row r="643" customFormat="false" ht="14.25" hidden="false" customHeight="true" outlineLevel="0" collapsed="false">
      <c r="C643" s="11"/>
      <c r="D643" s="11"/>
      <c r="E643" s="11"/>
      <c r="F643" s="11"/>
      <c r="G643" s="11"/>
      <c r="H643" s="11"/>
      <c r="I643" s="11"/>
      <c r="J643" s="11"/>
      <c r="K643" s="11"/>
      <c r="L643" s="11"/>
      <c r="M643" s="11"/>
      <c r="N643" s="44" t="n">
        <v>15.36</v>
      </c>
      <c r="O643" s="11"/>
    </row>
    <row r="644" customFormat="false" ht="14.25" hidden="false" customHeight="true" outlineLevel="0" collapsed="false">
      <c r="C644" s="11"/>
      <c r="D644" s="11"/>
      <c r="E644" s="11"/>
      <c r="F644" s="11"/>
      <c r="G644" s="11"/>
      <c r="H644" s="11"/>
      <c r="I644" s="11"/>
      <c r="J644" s="11"/>
      <c r="K644" s="11"/>
      <c r="L644" s="11"/>
      <c r="M644" s="11"/>
      <c r="N644" s="44" t="n">
        <v>15.19</v>
      </c>
      <c r="O644" s="11"/>
    </row>
    <row r="645" customFormat="false" ht="14.25" hidden="false" customHeight="true" outlineLevel="0" collapsed="false">
      <c r="C645" s="11"/>
      <c r="D645" s="11"/>
      <c r="E645" s="11"/>
      <c r="F645" s="11"/>
      <c r="G645" s="11"/>
      <c r="H645" s="11"/>
      <c r="I645" s="11"/>
      <c r="J645" s="11"/>
      <c r="K645" s="11"/>
      <c r="L645" s="11"/>
      <c r="M645" s="11"/>
      <c r="N645" s="44" t="n">
        <v>15.2</v>
      </c>
      <c r="O645" s="11"/>
    </row>
    <row r="646" customFormat="false" ht="14.25" hidden="false" customHeight="true" outlineLevel="0" collapsed="false">
      <c r="C646" s="11"/>
      <c r="D646" s="11"/>
      <c r="E646" s="11"/>
      <c r="F646" s="11"/>
      <c r="G646" s="11"/>
      <c r="H646" s="11"/>
      <c r="I646" s="11"/>
      <c r="J646" s="11"/>
      <c r="K646" s="11"/>
      <c r="L646" s="11"/>
      <c r="M646" s="11"/>
      <c r="N646" s="44" t="n">
        <v>15.16</v>
      </c>
      <c r="O646" s="11"/>
    </row>
    <row r="647" customFormat="false" ht="14.25" hidden="false" customHeight="true" outlineLevel="0" collapsed="false">
      <c r="C647" s="11"/>
      <c r="D647" s="11"/>
      <c r="E647" s="11"/>
      <c r="F647" s="11"/>
      <c r="G647" s="11"/>
      <c r="H647" s="11"/>
      <c r="I647" s="11"/>
      <c r="J647" s="11"/>
      <c r="K647" s="11"/>
      <c r="L647" s="11"/>
      <c r="M647" s="11"/>
      <c r="N647" s="44" t="n">
        <v>15.16</v>
      </c>
      <c r="O647" s="11"/>
    </row>
    <row r="648" customFormat="false" ht="14.25" hidden="false" customHeight="true" outlineLevel="0" collapsed="false">
      <c r="C648" s="11"/>
      <c r="D648" s="11"/>
      <c r="E648" s="11"/>
      <c r="F648" s="11"/>
      <c r="G648" s="11"/>
      <c r="H648" s="11"/>
      <c r="I648" s="11"/>
      <c r="J648" s="11"/>
      <c r="K648" s="11"/>
      <c r="L648" s="11"/>
      <c r="M648" s="11"/>
      <c r="N648" s="44" t="n">
        <v>14.99</v>
      </c>
      <c r="O648" s="11"/>
    </row>
    <row r="649" customFormat="false" ht="14.25" hidden="false" customHeight="true" outlineLevel="0" collapsed="false">
      <c r="C649" s="11"/>
      <c r="D649" s="11"/>
      <c r="E649" s="11"/>
      <c r="F649" s="11"/>
      <c r="G649" s="11"/>
      <c r="H649" s="11"/>
      <c r="I649" s="11"/>
      <c r="J649" s="11"/>
      <c r="K649" s="11"/>
      <c r="L649" s="11"/>
      <c r="M649" s="11"/>
      <c r="N649" s="44" t="n">
        <v>15.35</v>
      </c>
      <c r="O649" s="11"/>
    </row>
    <row r="650" customFormat="false" ht="14.25" hidden="false" customHeight="true" outlineLevel="0" collapsed="false">
      <c r="C650" s="11"/>
      <c r="D650" s="11"/>
      <c r="E650" s="11"/>
      <c r="F650" s="11"/>
      <c r="G650" s="11"/>
      <c r="H650" s="11"/>
      <c r="I650" s="11"/>
      <c r="J650" s="11"/>
      <c r="K650" s="11"/>
      <c r="L650" s="11"/>
      <c r="M650" s="11"/>
      <c r="N650" s="44" t="n">
        <v>15.03</v>
      </c>
      <c r="O650" s="11"/>
    </row>
    <row r="651" customFormat="false" ht="14.25" hidden="false" customHeight="true" outlineLevel="0" collapsed="false">
      <c r="C651" s="11"/>
      <c r="D651" s="11"/>
      <c r="E651" s="11"/>
      <c r="F651" s="11"/>
      <c r="G651" s="11"/>
      <c r="H651" s="11"/>
      <c r="I651" s="11"/>
      <c r="J651" s="11"/>
      <c r="K651" s="11"/>
      <c r="L651" s="11"/>
      <c r="M651" s="11"/>
      <c r="N651" s="44" t="n">
        <v>15.22</v>
      </c>
      <c r="O651" s="11"/>
    </row>
    <row r="652" customFormat="false" ht="14.25" hidden="false" customHeight="true" outlineLevel="0" collapsed="false">
      <c r="C652" s="11"/>
      <c r="D652" s="11"/>
      <c r="E652" s="11"/>
      <c r="F652" s="11"/>
      <c r="G652" s="11"/>
      <c r="H652" s="11"/>
      <c r="I652" s="11"/>
      <c r="J652" s="11"/>
      <c r="K652" s="11"/>
      <c r="L652" s="11"/>
      <c r="M652" s="11"/>
      <c r="N652" s="44" t="n">
        <v>15.3</v>
      </c>
      <c r="O652" s="11"/>
    </row>
    <row r="653" customFormat="false" ht="14.25" hidden="false" customHeight="true" outlineLevel="0" collapsed="false">
      <c r="C653" s="11"/>
      <c r="D653" s="11"/>
      <c r="E653" s="11"/>
      <c r="F653" s="11"/>
      <c r="G653" s="11"/>
      <c r="H653" s="11"/>
      <c r="I653" s="11"/>
      <c r="J653" s="11"/>
      <c r="K653" s="11"/>
      <c r="L653" s="11"/>
      <c r="M653" s="11"/>
      <c r="N653" s="44" t="n">
        <v>15.25</v>
      </c>
      <c r="O653" s="11"/>
    </row>
    <row r="654" customFormat="false" ht="14.25" hidden="false" customHeight="true" outlineLevel="0" collapsed="false">
      <c r="C654" s="11"/>
      <c r="D654" s="11"/>
      <c r="E654" s="11"/>
      <c r="F654" s="11"/>
      <c r="G654" s="11"/>
      <c r="H654" s="11"/>
      <c r="I654" s="11"/>
      <c r="J654" s="11"/>
      <c r="K654" s="11"/>
      <c r="L654" s="11"/>
      <c r="M654" s="11"/>
      <c r="N654" s="44" t="n">
        <v>15.05</v>
      </c>
      <c r="O654" s="11"/>
    </row>
    <row r="655" customFormat="false" ht="14.25" hidden="false" customHeight="true" outlineLevel="0" collapsed="false">
      <c r="C655" s="11"/>
      <c r="D655" s="11"/>
      <c r="E655" s="11"/>
      <c r="F655" s="11"/>
      <c r="G655" s="11"/>
      <c r="H655" s="11"/>
      <c r="I655" s="11"/>
      <c r="J655" s="11"/>
      <c r="K655" s="11"/>
      <c r="L655" s="11"/>
      <c r="M655" s="11"/>
      <c r="N655" s="44" t="n">
        <v>15.32</v>
      </c>
      <c r="O655" s="11"/>
    </row>
    <row r="656" customFormat="false" ht="14.25" hidden="false" customHeight="true" outlineLevel="0" collapsed="false">
      <c r="C656" s="11"/>
      <c r="D656" s="11"/>
      <c r="E656" s="11"/>
      <c r="F656" s="11"/>
      <c r="G656" s="11"/>
      <c r="H656" s="11"/>
      <c r="I656" s="11"/>
      <c r="J656" s="11"/>
      <c r="K656" s="11"/>
      <c r="L656" s="11"/>
      <c r="M656" s="11"/>
      <c r="N656" s="44" t="n">
        <v>15.07</v>
      </c>
      <c r="O656" s="11"/>
    </row>
    <row r="657" customFormat="false" ht="14.25" hidden="false" customHeight="true" outlineLevel="0" collapsed="false">
      <c r="C657" s="11"/>
      <c r="D657" s="11"/>
      <c r="E657" s="11"/>
      <c r="F657" s="11"/>
      <c r="G657" s="11"/>
      <c r="H657" s="11"/>
      <c r="I657" s="11"/>
      <c r="J657" s="11"/>
      <c r="K657" s="11"/>
      <c r="L657" s="11"/>
      <c r="M657" s="11"/>
      <c r="N657" s="44" t="n">
        <v>15.13</v>
      </c>
      <c r="O657" s="11"/>
    </row>
    <row r="658" customFormat="false" ht="14.25" hidden="false" customHeight="true" outlineLevel="0" collapsed="false">
      <c r="C658" s="11"/>
      <c r="D658" s="11"/>
      <c r="E658" s="11"/>
      <c r="F658" s="11"/>
      <c r="G658" s="11"/>
      <c r="H658" s="11"/>
      <c r="I658" s="11"/>
      <c r="J658" s="11"/>
      <c r="K658" s="11"/>
      <c r="L658" s="11"/>
      <c r="M658" s="11"/>
      <c r="N658" s="44" t="n">
        <v>15.12</v>
      </c>
      <c r="O658" s="11"/>
    </row>
    <row r="659" customFormat="false" ht="14.25" hidden="false" customHeight="true" outlineLevel="0" collapsed="false">
      <c r="C659" s="11"/>
      <c r="D659" s="11"/>
      <c r="E659" s="11"/>
      <c r="F659" s="11"/>
      <c r="G659" s="11"/>
      <c r="H659" s="11"/>
      <c r="I659" s="11"/>
      <c r="J659" s="11"/>
      <c r="K659" s="11"/>
      <c r="L659" s="11"/>
      <c r="M659" s="11"/>
      <c r="N659" s="44" t="n">
        <v>14.88</v>
      </c>
      <c r="O659" s="11"/>
    </row>
    <row r="660" customFormat="false" ht="14.25" hidden="false" customHeight="true" outlineLevel="0" collapsed="false">
      <c r="C660" s="11"/>
      <c r="D660" s="11"/>
      <c r="E660" s="11"/>
      <c r="F660" s="11"/>
      <c r="G660" s="11"/>
      <c r="H660" s="11"/>
      <c r="I660" s="11"/>
      <c r="J660" s="11"/>
      <c r="K660" s="11"/>
      <c r="L660" s="11"/>
      <c r="M660" s="11"/>
      <c r="N660" s="44" t="n">
        <v>15.02</v>
      </c>
      <c r="O660" s="11"/>
    </row>
    <row r="661" customFormat="false" ht="14.25" hidden="false" customHeight="true" outlineLevel="0" collapsed="false">
      <c r="C661" s="11"/>
      <c r="D661" s="11"/>
      <c r="E661" s="11"/>
      <c r="F661" s="11"/>
      <c r="G661" s="11"/>
      <c r="H661" s="11"/>
      <c r="I661" s="11"/>
      <c r="J661" s="11"/>
      <c r="K661" s="11"/>
      <c r="L661" s="11"/>
      <c r="M661" s="11"/>
      <c r="N661" s="44" t="n">
        <v>14.96</v>
      </c>
      <c r="O661" s="11"/>
    </row>
    <row r="662" customFormat="false" ht="14.25" hidden="false" customHeight="true" outlineLevel="0" collapsed="false">
      <c r="C662" s="11"/>
      <c r="D662" s="11"/>
      <c r="E662" s="11"/>
      <c r="F662" s="11"/>
      <c r="G662" s="11"/>
      <c r="H662" s="11"/>
      <c r="I662" s="11"/>
      <c r="J662" s="11"/>
      <c r="K662" s="11"/>
      <c r="L662" s="11"/>
      <c r="M662" s="11"/>
      <c r="N662" s="44" t="n">
        <v>15.01</v>
      </c>
      <c r="O662" s="11"/>
    </row>
    <row r="663" customFormat="false" ht="14.25" hidden="false" customHeight="true" outlineLevel="0" collapsed="false">
      <c r="C663" s="11"/>
      <c r="D663" s="11"/>
      <c r="E663" s="11"/>
      <c r="F663" s="11"/>
      <c r="G663" s="11"/>
      <c r="H663" s="11"/>
      <c r="I663" s="11"/>
      <c r="J663" s="11"/>
      <c r="K663" s="11"/>
      <c r="L663" s="11"/>
      <c r="M663" s="11"/>
      <c r="N663" s="44" t="n">
        <v>14.87</v>
      </c>
      <c r="O663" s="11"/>
    </row>
    <row r="664" customFormat="false" ht="14.25" hidden="false" customHeight="true" outlineLevel="0" collapsed="false">
      <c r="C664" s="11"/>
      <c r="D664" s="11"/>
      <c r="E664" s="11"/>
      <c r="F664" s="11"/>
      <c r="G664" s="11"/>
      <c r="H664" s="11"/>
      <c r="I664" s="11"/>
      <c r="J664" s="11"/>
      <c r="K664" s="11"/>
      <c r="L664" s="11"/>
      <c r="M664" s="11"/>
      <c r="N664" s="44" t="n">
        <v>15.04</v>
      </c>
      <c r="O664" s="11"/>
    </row>
    <row r="665" customFormat="false" ht="14.25" hidden="false" customHeight="true" outlineLevel="0" collapsed="false">
      <c r="C665" s="11"/>
      <c r="D665" s="11"/>
      <c r="E665" s="11"/>
      <c r="F665" s="11"/>
      <c r="G665" s="11"/>
      <c r="H665" s="11"/>
      <c r="I665" s="11"/>
      <c r="J665" s="11"/>
      <c r="K665" s="11"/>
      <c r="L665" s="11"/>
      <c r="M665" s="11"/>
      <c r="N665" s="44" t="n">
        <v>14.68</v>
      </c>
      <c r="O665" s="11"/>
    </row>
    <row r="666" customFormat="false" ht="14.25" hidden="false" customHeight="true" outlineLevel="0" collapsed="false">
      <c r="C666" s="11"/>
      <c r="D666" s="11"/>
      <c r="E666" s="11"/>
      <c r="F666" s="11"/>
      <c r="G666" s="11"/>
      <c r="H666" s="11"/>
      <c r="I666" s="11"/>
      <c r="J666" s="11"/>
      <c r="K666" s="11"/>
      <c r="L666" s="11"/>
      <c r="M666" s="11"/>
      <c r="N666" s="44" t="n">
        <v>14.72</v>
      </c>
      <c r="O666" s="11"/>
    </row>
    <row r="667" customFormat="false" ht="14.25" hidden="false" customHeight="true" outlineLevel="0" collapsed="false">
      <c r="C667" s="11"/>
      <c r="D667" s="11"/>
      <c r="E667" s="11"/>
      <c r="F667" s="11"/>
      <c r="G667" s="11"/>
      <c r="H667" s="11"/>
      <c r="I667" s="11"/>
      <c r="J667" s="11"/>
      <c r="K667" s="11"/>
      <c r="L667" s="11"/>
      <c r="M667" s="11"/>
      <c r="N667" s="44" t="n">
        <v>14.47</v>
      </c>
      <c r="O667" s="11"/>
    </row>
    <row r="668" customFormat="false" ht="14.25" hidden="false" customHeight="true" outlineLevel="0" collapsed="false">
      <c r="C668" s="11"/>
      <c r="D668" s="11"/>
      <c r="E668" s="11"/>
      <c r="F668" s="11"/>
      <c r="G668" s="11"/>
      <c r="H668" s="11"/>
      <c r="I668" s="11"/>
      <c r="J668" s="11"/>
      <c r="K668" s="11"/>
      <c r="L668" s="11"/>
      <c r="M668" s="11"/>
      <c r="N668" s="44" t="n">
        <v>14.57</v>
      </c>
      <c r="O668" s="11"/>
    </row>
    <row r="669" customFormat="false" ht="14.25" hidden="false" customHeight="true" outlineLevel="0" collapsed="false">
      <c r="C669" s="11"/>
      <c r="D669" s="11"/>
      <c r="E669" s="11"/>
      <c r="F669" s="11"/>
      <c r="G669" s="11"/>
      <c r="H669" s="11"/>
      <c r="I669" s="11"/>
      <c r="J669" s="11"/>
      <c r="K669" s="11"/>
      <c r="L669" s="11"/>
      <c r="M669" s="11"/>
      <c r="N669" s="44" t="n">
        <v>14.37</v>
      </c>
      <c r="O669" s="11"/>
    </row>
    <row r="670" customFormat="false" ht="14.25" hidden="false" customHeight="true" outlineLevel="0" collapsed="false">
      <c r="C670" s="11"/>
      <c r="D670" s="11"/>
      <c r="E670" s="11"/>
      <c r="F670" s="11"/>
      <c r="G670" s="11"/>
      <c r="H670" s="11"/>
      <c r="I670" s="11"/>
      <c r="J670" s="11"/>
      <c r="K670" s="11"/>
      <c r="L670" s="11"/>
      <c r="M670" s="11"/>
      <c r="N670" s="44" t="n">
        <v>14.39</v>
      </c>
      <c r="O670" s="11"/>
    </row>
    <row r="671" customFormat="false" ht="14.25" hidden="false" customHeight="true" outlineLevel="0" collapsed="false">
      <c r="C671" s="11"/>
      <c r="D671" s="11"/>
      <c r="E671" s="11"/>
      <c r="F671" s="11"/>
      <c r="G671" s="11"/>
      <c r="H671" s="11"/>
      <c r="I671" s="11"/>
      <c r="J671" s="11"/>
      <c r="K671" s="11"/>
      <c r="L671" s="11"/>
      <c r="M671" s="11"/>
      <c r="N671" s="44" t="n">
        <v>15.46</v>
      </c>
      <c r="O671" s="11"/>
    </row>
    <row r="672" customFormat="false" ht="14.25" hidden="false" customHeight="true" outlineLevel="0" collapsed="false">
      <c r="C672" s="11"/>
      <c r="D672" s="11"/>
      <c r="E672" s="11"/>
      <c r="F672" s="11"/>
      <c r="G672" s="11"/>
      <c r="H672" s="11"/>
      <c r="I672" s="11"/>
      <c r="J672" s="11"/>
      <c r="K672" s="11"/>
      <c r="L672" s="11"/>
      <c r="M672" s="11"/>
      <c r="N672" s="44" t="n">
        <v>15.44</v>
      </c>
      <c r="O672" s="11"/>
    </row>
    <row r="673" customFormat="false" ht="14.25" hidden="false" customHeight="true" outlineLevel="0" collapsed="false">
      <c r="C673" s="11"/>
      <c r="D673" s="11"/>
      <c r="E673" s="11"/>
      <c r="F673" s="11"/>
      <c r="G673" s="11"/>
      <c r="H673" s="11"/>
      <c r="I673" s="11"/>
      <c r="J673" s="11"/>
      <c r="K673" s="11"/>
      <c r="L673" s="11"/>
      <c r="M673" s="11"/>
      <c r="N673" s="44" t="n">
        <v>15.57</v>
      </c>
      <c r="O673" s="11"/>
    </row>
    <row r="674" customFormat="false" ht="14.25" hidden="false" customHeight="true" outlineLevel="0" collapsed="false">
      <c r="C674" s="11"/>
      <c r="D674" s="11"/>
      <c r="E674" s="11"/>
      <c r="F674" s="11"/>
      <c r="G674" s="11"/>
      <c r="H674" s="11"/>
      <c r="I674" s="11"/>
      <c r="J674" s="11"/>
      <c r="K674" s="11"/>
      <c r="L674" s="11"/>
      <c r="M674" s="11"/>
      <c r="N674" s="44" t="n">
        <v>15.57</v>
      </c>
      <c r="O674" s="11"/>
    </row>
    <row r="675" customFormat="false" ht="14.25" hidden="false" customHeight="true" outlineLevel="0" collapsed="false">
      <c r="C675" s="11"/>
      <c r="D675" s="11"/>
      <c r="E675" s="11"/>
      <c r="F675" s="11"/>
      <c r="G675" s="11"/>
      <c r="H675" s="11"/>
      <c r="I675" s="11"/>
      <c r="J675" s="11"/>
      <c r="K675" s="11"/>
      <c r="L675" s="11"/>
      <c r="M675" s="11"/>
      <c r="N675" s="44" t="n">
        <v>15.81</v>
      </c>
      <c r="O675" s="11"/>
    </row>
    <row r="676" customFormat="false" ht="14.25" hidden="false" customHeight="true" outlineLevel="0" collapsed="false">
      <c r="C676" s="11"/>
      <c r="D676" s="11"/>
      <c r="E676" s="11"/>
      <c r="F676" s="11"/>
      <c r="G676" s="11"/>
      <c r="H676" s="11"/>
      <c r="I676" s="11"/>
      <c r="J676" s="11"/>
      <c r="K676" s="11"/>
      <c r="L676" s="11"/>
      <c r="M676" s="11"/>
      <c r="N676" s="44" t="n">
        <v>15.7</v>
      </c>
      <c r="O676" s="11"/>
    </row>
    <row r="677" customFormat="false" ht="14.25" hidden="false" customHeight="true" outlineLevel="0" collapsed="false">
      <c r="C677" s="11"/>
      <c r="D677" s="11"/>
      <c r="E677" s="11"/>
      <c r="F677" s="11"/>
      <c r="G677" s="11"/>
      <c r="H677" s="11"/>
      <c r="I677" s="11"/>
      <c r="J677" s="11"/>
      <c r="K677" s="11"/>
      <c r="L677" s="11"/>
      <c r="M677" s="11"/>
      <c r="N677" s="44" t="n">
        <v>16.05</v>
      </c>
      <c r="O677" s="11"/>
    </row>
    <row r="678" customFormat="false" ht="14.25" hidden="false" customHeight="true" outlineLevel="0" collapsed="false">
      <c r="C678" s="11"/>
      <c r="D678" s="11"/>
      <c r="E678" s="11"/>
      <c r="F678" s="11"/>
      <c r="G678" s="11"/>
      <c r="H678" s="11"/>
      <c r="I678" s="11"/>
      <c r="J678" s="11"/>
      <c r="K678" s="11"/>
      <c r="L678" s="11"/>
      <c r="M678" s="11"/>
      <c r="N678" s="44" t="n">
        <v>15.77</v>
      </c>
      <c r="O678" s="11"/>
    </row>
    <row r="679" customFormat="false" ht="14.25" hidden="false" customHeight="true" outlineLevel="0" collapsed="false">
      <c r="C679" s="11"/>
      <c r="D679" s="11"/>
      <c r="E679" s="11"/>
      <c r="F679" s="11"/>
      <c r="G679" s="11"/>
      <c r="H679" s="11"/>
      <c r="I679" s="11"/>
      <c r="J679" s="11"/>
      <c r="K679" s="11"/>
      <c r="L679" s="11"/>
      <c r="M679" s="11"/>
      <c r="N679" s="44" t="n">
        <v>15.79</v>
      </c>
      <c r="O679" s="11"/>
    </row>
    <row r="680" customFormat="false" ht="14.25" hidden="false" customHeight="true" outlineLevel="0" collapsed="false">
      <c r="C680" s="11"/>
      <c r="D680" s="11"/>
      <c r="E680" s="11"/>
      <c r="F680" s="11"/>
      <c r="G680" s="11"/>
      <c r="H680" s="11"/>
      <c r="I680" s="11"/>
      <c r="J680" s="11"/>
      <c r="K680" s="11"/>
      <c r="L680" s="11"/>
      <c r="M680" s="11"/>
      <c r="N680" s="44" t="n">
        <v>15.76</v>
      </c>
      <c r="O680" s="11"/>
    </row>
    <row r="681" customFormat="false" ht="14.25" hidden="false" customHeight="true" outlineLevel="0" collapsed="false">
      <c r="C681" s="11"/>
      <c r="D681" s="11"/>
      <c r="E681" s="11"/>
      <c r="F681" s="11"/>
      <c r="G681" s="11"/>
      <c r="H681" s="11"/>
      <c r="I681" s="11"/>
      <c r="J681" s="11"/>
      <c r="K681" s="11"/>
      <c r="L681" s="11"/>
      <c r="M681" s="11"/>
      <c r="N681" s="44" t="n">
        <v>16.01</v>
      </c>
      <c r="O681" s="11"/>
    </row>
    <row r="682" customFormat="false" ht="14.25" hidden="false" customHeight="true" outlineLevel="0" collapsed="false">
      <c r="C682" s="11"/>
      <c r="D682" s="11"/>
      <c r="E682" s="11"/>
      <c r="F682" s="11"/>
      <c r="G682" s="11"/>
      <c r="H682" s="11"/>
      <c r="I682" s="11"/>
      <c r="J682" s="11"/>
      <c r="K682" s="11"/>
      <c r="L682" s="11"/>
      <c r="M682" s="11"/>
      <c r="N682" s="44" t="n">
        <v>16.03</v>
      </c>
      <c r="O682" s="11"/>
    </row>
    <row r="683" customFormat="false" ht="14.25" hidden="false" customHeight="true" outlineLevel="0" collapsed="false">
      <c r="C683" s="11"/>
      <c r="D683" s="11"/>
      <c r="E683" s="11"/>
      <c r="F683" s="11"/>
      <c r="G683" s="11"/>
      <c r="H683" s="11"/>
      <c r="I683" s="11"/>
      <c r="J683" s="11"/>
      <c r="K683" s="11"/>
      <c r="L683" s="11"/>
      <c r="M683" s="11"/>
      <c r="N683" s="44" t="n">
        <v>16.03</v>
      </c>
      <c r="O683" s="11"/>
    </row>
    <row r="684" customFormat="false" ht="14.25" hidden="false" customHeight="true" outlineLevel="0" collapsed="false">
      <c r="C684" s="11"/>
      <c r="D684" s="11"/>
      <c r="E684" s="11"/>
      <c r="F684" s="11"/>
      <c r="G684" s="11"/>
      <c r="H684" s="11"/>
      <c r="I684" s="11"/>
      <c r="J684" s="11"/>
      <c r="K684" s="11"/>
      <c r="L684" s="11"/>
      <c r="M684" s="11"/>
      <c r="N684" s="44" t="n">
        <v>16.09</v>
      </c>
      <c r="O684" s="11"/>
    </row>
    <row r="685" customFormat="false" ht="14.25" hidden="false" customHeight="true" outlineLevel="0" collapsed="false">
      <c r="C685" s="11"/>
      <c r="D685" s="11"/>
      <c r="E685" s="11"/>
      <c r="F685" s="11"/>
      <c r="G685" s="11"/>
      <c r="H685" s="11"/>
      <c r="I685" s="11"/>
      <c r="J685" s="11"/>
      <c r="K685" s="11"/>
      <c r="L685" s="11"/>
      <c r="M685" s="11"/>
      <c r="N685" s="44" t="n">
        <v>16.69</v>
      </c>
      <c r="O685" s="11"/>
    </row>
    <row r="686" customFormat="false" ht="14.25" hidden="false" customHeight="true" outlineLevel="0" collapsed="false">
      <c r="C686" s="11"/>
      <c r="D686" s="11"/>
      <c r="E686" s="11"/>
      <c r="F686" s="11"/>
      <c r="G686" s="11"/>
      <c r="H686" s="11"/>
      <c r="I686" s="11"/>
      <c r="J686" s="11"/>
      <c r="K686" s="11"/>
      <c r="L686" s="11"/>
      <c r="M686" s="11"/>
      <c r="N686" s="44" t="n">
        <v>17.45</v>
      </c>
      <c r="O686" s="11"/>
    </row>
    <row r="687" customFormat="false" ht="14.25" hidden="false" customHeight="true" outlineLevel="0" collapsed="false">
      <c r="C687" s="11"/>
      <c r="D687" s="11"/>
      <c r="E687" s="11"/>
      <c r="F687" s="11"/>
      <c r="G687" s="11"/>
      <c r="H687" s="11"/>
      <c r="I687" s="11"/>
      <c r="J687" s="11"/>
      <c r="K687" s="11"/>
      <c r="L687" s="11"/>
      <c r="M687" s="11"/>
      <c r="N687" s="44" t="n">
        <v>17.15</v>
      </c>
      <c r="O687" s="11"/>
    </row>
    <row r="688" customFormat="false" ht="14.25" hidden="false" customHeight="true" outlineLevel="0" collapsed="false">
      <c r="C688" s="11"/>
      <c r="D688" s="11"/>
      <c r="E688" s="11"/>
      <c r="F688" s="11"/>
      <c r="G688" s="11"/>
      <c r="H688" s="11"/>
      <c r="I688" s="11"/>
      <c r="J688" s="11"/>
      <c r="K688" s="11"/>
      <c r="L688" s="11"/>
      <c r="M688" s="11"/>
      <c r="N688" s="44" t="n">
        <v>16.78</v>
      </c>
      <c r="O688" s="11"/>
    </row>
    <row r="689" customFormat="false" ht="14.25" hidden="false" customHeight="true" outlineLevel="0" collapsed="false">
      <c r="C689" s="11"/>
      <c r="D689" s="11"/>
      <c r="E689" s="11"/>
      <c r="F689" s="11"/>
      <c r="G689" s="11"/>
      <c r="H689" s="11"/>
      <c r="I689" s="11"/>
      <c r="J689" s="11"/>
      <c r="K689" s="11"/>
      <c r="L689" s="11"/>
      <c r="M689" s="11"/>
      <c r="N689" s="44" t="n">
        <v>16.9</v>
      </c>
      <c r="O689" s="11"/>
    </row>
    <row r="690" customFormat="false" ht="14.25" hidden="false" customHeight="true" outlineLevel="0" collapsed="false">
      <c r="C690" s="11"/>
      <c r="D690" s="11"/>
      <c r="E690" s="11"/>
      <c r="F690" s="11"/>
      <c r="G690" s="11"/>
      <c r="H690" s="11"/>
      <c r="I690" s="11"/>
      <c r="J690" s="11"/>
      <c r="K690" s="11"/>
      <c r="L690" s="11"/>
      <c r="M690" s="11"/>
      <c r="N690" s="44" t="n">
        <v>16.72</v>
      </c>
      <c r="O690" s="11"/>
    </row>
    <row r="691" customFormat="false" ht="14.25" hidden="false" customHeight="true" outlineLevel="0" collapsed="false">
      <c r="C691" s="11"/>
      <c r="D691" s="11"/>
      <c r="E691" s="11"/>
      <c r="F691" s="11"/>
      <c r="G691" s="11"/>
      <c r="H691" s="11"/>
      <c r="I691" s="11"/>
      <c r="J691" s="11"/>
      <c r="K691" s="11"/>
      <c r="L691" s="11"/>
      <c r="M691" s="11"/>
      <c r="N691" s="44" t="n">
        <v>16.26</v>
      </c>
      <c r="O691" s="11"/>
    </row>
    <row r="692" customFormat="false" ht="14.25" hidden="false" customHeight="true" outlineLevel="0" collapsed="false">
      <c r="C692" s="11"/>
      <c r="D692" s="11"/>
      <c r="E692" s="11"/>
      <c r="F692" s="11"/>
      <c r="G692" s="11"/>
      <c r="H692" s="11"/>
      <c r="I692" s="11"/>
      <c r="J692" s="11"/>
      <c r="K692" s="11"/>
      <c r="L692" s="11"/>
      <c r="M692" s="11"/>
      <c r="N692" s="44" t="n">
        <v>15.97</v>
      </c>
      <c r="O692" s="11"/>
    </row>
    <row r="693" customFormat="false" ht="14.25" hidden="false" customHeight="true" outlineLevel="0" collapsed="false">
      <c r="C693" s="11"/>
      <c r="D693" s="11"/>
      <c r="E693" s="11"/>
      <c r="F693" s="11"/>
      <c r="G693" s="11"/>
      <c r="H693" s="11"/>
      <c r="I693" s="11"/>
      <c r="J693" s="11"/>
      <c r="K693" s="11"/>
      <c r="L693" s="11"/>
      <c r="M693" s="11"/>
      <c r="N693" s="44" t="n">
        <v>16.16</v>
      </c>
      <c r="O693" s="11"/>
    </row>
    <row r="694" customFormat="false" ht="14.25" hidden="false" customHeight="true" outlineLevel="0" collapsed="false">
      <c r="C694" s="11"/>
      <c r="D694" s="11"/>
      <c r="E694" s="11"/>
      <c r="F694" s="11"/>
      <c r="G694" s="11"/>
      <c r="H694" s="11"/>
      <c r="I694" s="11"/>
      <c r="J694" s="11"/>
      <c r="K694" s="11"/>
      <c r="L694" s="11"/>
      <c r="M694" s="11"/>
      <c r="N694" s="44" t="n">
        <v>16.28</v>
      </c>
      <c r="O694" s="11"/>
    </row>
    <row r="695" customFormat="false" ht="14.25" hidden="false" customHeight="true" outlineLevel="0" collapsed="false">
      <c r="C695" s="11"/>
      <c r="D695" s="11"/>
      <c r="E695" s="11"/>
      <c r="F695" s="11"/>
      <c r="G695" s="11"/>
      <c r="H695" s="11"/>
      <c r="I695" s="11"/>
      <c r="J695" s="11"/>
      <c r="K695" s="11"/>
      <c r="L695" s="11"/>
      <c r="M695" s="11"/>
      <c r="N695" s="44" t="n">
        <v>16.29</v>
      </c>
      <c r="O695" s="11"/>
    </row>
    <row r="696" customFormat="false" ht="14.25" hidden="false" customHeight="true" outlineLevel="0" collapsed="false">
      <c r="C696" s="11"/>
      <c r="D696" s="11"/>
      <c r="E696" s="11"/>
      <c r="F696" s="11"/>
      <c r="G696" s="11"/>
      <c r="H696" s="11"/>
      <c r="I696" s="11"/>
      <c r="J696" s="11"/>
      <c r="K696" s="11"/>
      <c r="L696" s="11"/>
      <c r="M696" s="11"/>
      <c r="N696" s="44" t="n">
        <v>16.4</v>
      </c>
      <c r="O696" s="11"/>
    </row>
    <row r="697" customFormat="false" ht="14.25" hidden="false" customHeight="true" outlineLevel="0" collapsed="false">
      <c r="C697" s="11"/>
      <c r="D697" s="11"/>
      <c r="E697" s="11"/>
      <c r="F697" s="11"/>
      <c r="G697" s="11"/>
      <c r="H697" s="11"/>
      <c r="I697" s="11"/>
      <c r="J697" s="11"/>
      <c r="K697" s="11"/>
      <c r="L697" s="11"/>
      <c r="M697" s="11"/>
      <c r="N697" s="44" t="n">
        <v>16.49</v>
      </c>
      <c r="O697" s="11"/>
    </row>
    <row r="698" customFormat="false" ht="14.25" hidden="false" customHeight="true" outlineLevel="0" collapsed="false">
      <c r="C698" s="11"/>
      <c r="D698" s="11"/>
      <c r="E698" s="11"/>
      <c r="F698" s="11"/>
      <c r="G698" s="11"/>
      <c r="H698" s="11"/>
      <c r="I698" s="11"/>
      <c r="J698" s="11"/>
      <c r="K698" s="11"/>
      <c r="L698" s="11"/>
      <c r="M698" s="11"/>
      <c r="N698" s="44" t="n">
        <v>16.75</v>
      </c>
      <c r="O698" s="11"/>
    </row>
    <row r="699" customFormat="false" ht="14.25" hidden="false" customHeight="true" outlineLevel="0" collapsed="false">
      <c r="C699" s="11"/>
      <c r="D699" s="11"/>
      <c r="E699" s="11"/>
      <c r="F699" s="11"/>
      <c r="G699" s="11"/>
      <c r="H699" s="11"/>
      <c r="I699" s="11"/>
      <c r="J699" s="11"/>
      <c r="K699" s="11"/>
      <c r="L699" s="11"/>
      <c r="M699" s="11"/>
      <c r="N699" s="44" t="n">
        <v>16.7</v>
      </c>
      <c r="O699" s="11"/>
    </row>
    <row r="700" customFormat="false" ht="14.25" hidden="false" customHeight="true" outlineLevel="0" collapsed="false">
      <c r="C700" s="11"/>
      <c r="D700" s="11"/>
      <c r="E700" s="11"/>
      <c r="F700" s="11"/>
      <c r="G700" s="11"/>
      <c r="H700" s="11"/>
      <c r="I700" s="11"/>
      <c r="J700" s="11"/>
      <c r="K700" s="11"/>
      <c r="L700" s="11"/>
      <c r="M700" s="11"/>
      <c r="N700" s="44" t="n">
        <v>16.6</v>
      </c>
      <c r="O700" s="11"/>
    </row>
    <row r="701" customFormat="false" ht="14.25" hidden="false" customHeight="true" outlineLevel="0" collapsed="false">
      <c r="C701" s="11"/>
      <c r="D701" s="11"/>
      <c r="E701" s="11"/>
      <c r="F701" s="11"/>
      <c r="G701" s="11"/>
      <c r="H701" s="11"/>
      <c r="I701" s="11"/>
      <c r="J701" s="11"/>
      <c r="K701" s="11"/>
      <c r="L701" s="11"/>
      <c r="M701" s="11"/>
      <c r="N701" s="44" t="n">
        <v>16.55</v>
      </c>
      <c r="O701" s="11"/>
    </row>
    <row r="702" customFormat="false" ht="14.25" hidden="false" customHeight="true" outlineLevel="0" collapsed="false">
      <c r="C702" s="11"/>
      <c r="D702" s="11"/>
      <c r="E702" s="11"/>
      <c r="F702" s="11"/>
      <c r="G702" s="11"/>
      <c r="H702" s="11"/>
      <c r="I702" s="11"/>
      <c r="J702" s="11"/>
      <c r="K702" s="11"/>
      <c r="L702" s="11"/>
      <c r="M702" s="11"/>
      <c r="N702" s="44" t="n">
        <v>16.24</v>
      </c>
      <c r="O702" s="11"/>
    </row>
    <row r="703" customFormat="false" ht="14.25" hidden="false" customHeight="true" outlineLevel="0" collapsed="false">
      <c r="C703" s="11"/>
      <c r="D703" s="11"/>
      <c r="E703" s="11"/>
      <c r="F703" s="11"/>
      <c r="G703" s="11"/>
      <c r="H703" s="11"/>
      <c r="I703" s="11"/>
      <c r="J703" s="11"/>
      <c r="K703" s="11"/>
      <c r="L703" s="11"/>
      <c r="M703" s="11"/>
      <c r="N703" s="44" t="n">
        <v>16.38</v>
      </c>
      <c r="O703" s="11"/>
    </row>
    <row r="704" customFormat="false" ht="14.25" hidden="false" customHeight="true" outlineLevel="0" collapsed="false">
      <c r="C704" s="11"/>
      <c r="D704" s="11"/>
      <c r="E704" s="11"/>
      <c r="F704" s="11"/>
      <c r="G704" s="11"/>
      <c r="H704" s="11"/>
      <c r="I704" s="11"/>
      <c r="J704" s="11"/>
      <c r="K704" s="11"/>
      <c r="L704" s="11"/>
      <c r="M704" s="11"/>
      <c r="N704" s="44" t="n">
        <v>16</v>
      </c>
      <c r="O704" s="11"/>
    </row>
    <row r="705" customFormat="false" ht="14.25" hidden="false" customHeight="true" outlineLevel="0" collapsed="false">
      <c r="C705" s="11"/>
      <c r="D705" s="11"/>
      <c r="E705" s="11"/>
      <c r="F705" s="11"/>
      <c r="G705" s="11"/>
      <c r="H705" s="11"/>
      <c r="I705" s="11"/>
      <c r="J705" s="11"/>
      <c r="K705" s="11"/>
      <c r="L705" s="11"/>
      <c r="M705" s="11"/>
      <c r="N705" s="44" t="n">
        <v>16.13</v>
      </c>
      <c r="O705" s="11"/>
    </row>
    <row r="706" customFormat="false" ht="14.25" hidden="false" customHeight="true" outlineLevel="0" collapsed="false">
      <c r="C706" s="11"/>
      <c r="D706" s="11"/>
      <c r="E706" s="11"/>
      <c r="F706" s="11"/>
      <c r="G706" s="11"/>
      <c r="H706" s="11"/>
      <c r="I706" s="11"/>
      <c r="J706" s="11"/>
      <c r="K706" s="11"/>
      <c r="L706" s="11"/>
      <c r="M706" s="11"/>
      <c r="N706" s="44" t="n">
        <v>16.29</v>
      </c>
      <c r="O706" s="11"/>
    </row>
    <row r="707" customFormat="false" ht="14.25" hidden="false" customHeight="true" outlineLevel="0" collapsed="false">
      <c r="C707" s="11"/>
      <c r="D707" s="11"/>
      <c r="E707" s="11"/>
      <c r="F707" s="11"/>
      <c r="G707" s="11"/>
      <c r="H707" s="11"/>
      <c r="I707" s="11"/>
      <c r="J707" s="11"/>
      <c r="K707" s="11"/>
      <c r="L707" s="11"/>
      <c r="M707" s="11"/>
      <c r="N707" s="44" t="n">
        <v>16.44</v>
      </c>
      <c r="O707" s="11"/>
    </row>
    <row r="708" customFormat="false" ht="14.25" hidden="false" customHeight="true" outlineLevel="0" collapsed="false">
      <c r="C708" s="11"/>
      <c r="D708" s="11"/>
      <c r="E708" s="11"/>
      <c r="F708" s="11"/>
      <c r="G708" s="11"/>
      <c r="H708" s="11"/>
      <c r="I708" s="11"/>
      <c r="J708" s="11"/>
      <c r="K708" s="11"/>
      <c r="L708" s="11"/>
      <c r="M708" s="11"/>
      <c r="N708" s="44" t="n">
        <v>16.84</v>
      </c>
      <c r="O708" s="11"/>
    </row>
    <row r="709" customFormat="false" ht="14.25" hidden="false" customHeight="true" outlineLevel="0" collapsed="false">
      <c r="C709" s="11"/>
      <c r="D709" s="11"/>
      <c r="E709" s="11"/>
      <c r="F709" s="11"/>
      <c r="G709" s="11"/>
      <c r="H709" s="11"/>
      <c r="I709" s="11"/>
      <c r="J709" s="11"/>
      <c r="K709" s="11"/>
      <c r="L709" s="11"/>
      <c r="M709" s="11"/>
      <c r="N709" s="44" t="n">
        <v>16.86</v>
      </c>
      <c r="O709" s="11"/>
    </row>
    <row r="710" customFormat="false" ht="14.25" hidden="false" customHeight="true" outlineLevel="0" collapsed="false">
      <c r="C710" s="11"/>
      <c r="D710" s="11"/>
      <c r="E710" s="11"/>
      <c r="F710" s="11"/>
      <c r="G710" s="11"/>
      <c r="H710" s="11"/>
      <c r="I710" s="11"/>
      <c r="J710" s="11"/>
      <c r="K710" s="11"/>
      <c r="L710" s="11"/>
      <c r="M710" s="11"/>
      <c r="N710" s="44" t="n">
        <v>16.73</v>
      </c>
      <c r="O710" s="11"/>
    </row>
    <row r="711" customFormat="false" ht="14.25" hidden="false" customHeight="true" outlineLevel="0" collapsed="false">
      <c r="C711" s="11"/>
      <c r="D711" s="11"/>
      <c r="E711" s="11"/>
      <c r="F711" s="11"/>
      <c r="G711" s="11"/>
      <c r="H711" s="11"/>
      <c r="I711" s="11"/>
      <c r="J711" s="11"/>
      <c r="K711" s="11"/>
      <c r="L711" s="11"/>
      <c r="M711" s="11"/>
      <c r="N711" s="44" t="n">
        <v>16.82</v>
      </c>
      <c r="O711" s="11"/>
    </row>
    <row r="712" customFormat="false" ht="14.25" hidden="false" customHeight="true" outlineLevel="0" collapsed="false">
      <c r="C712" s="11"/>
      <c r="D712" s="11"/>
      <c r="E712" s="11"/>
      <c r="F712" s="11"/>
      <c r="G712" s="11"/>
      <c r="H712" s="11"/>
      <c r="I712" s="11"/>
      <c r="J712" s="11"/>
      <c r="K712" s="11"/>
      <c r="L712" s="11"/>
      <c r="M712" s="11"/>
      <c r="N712" s="44" t="n">
        <v>16.95</v>
      </c>
      <c r="O712" s="11"/>
    </row>
    <row r="713" customFormat="false" ht="14.25" hidden="false" customHeight="true" outlineLevel="0" collapsed="false">
      <c r="C713" s="11"/>
      <c r="D713" s="11"/>
      <c r="E713" s="11"/>
      <c r="F713" s="11"/>
      <c r="G713" s="11"/>
      <c r="H713" s="11"/>
      <c r="I713" s="11"/>
      <c r="J713" s="11"/>
      <c r="K713" s="11"/>
      <c r="L713" s="11"/>
      <c r="M713" s="11"/>
      <c r="N713" s="44" t="n">
        <v>16.78</v>
      </c>
      <c r="O713" s="11"/>
    </row>
    <row r="714" customFormat="false" ht="14.25" hidden="false" customHeight="true" outlineLevel="0" collapsed="false">
      <c r="C714" s="11"/>
      <c r="D714" s="11"/>
      <c r="E714" s="11"/>
      <c r="F714" s="11"/>
      <c r="G714" s="11"/>
      <c r="H714" s="11"/>
      <c r="I714" s="11"/>
      <c r="J714" s="11"/>
      <c r="K714" s="11"/>
      <c r="L714" s="11"/>
      <c r="M714" s="11"/>
      <c r="N714" s="44" t="n">
        <v>16.73</v>
      </c>
      <c r="O714" s="11"/>
    </row>
    <row r="715" customFormat="false" ht="14.25" hidden="false" customHeight="true" outlineLevel="0" collapsed="false">
      <c r="C715" s="11"/>
      <c r="D715" s="11"/>
      <c r="E715" s="11"/>
      <c r="F715" s="11"/>
      <c r="G715" s="11"/>
      <c r="H715" s="11"/>
      <c r="I715" s="11"/>
      <c r="J715" s="11"/>
      <c r="K715" s="11"/>
      <c r="L715" s="11"/>
      <c r="M715" s="11"/>
      <c r="N715" s="44" t="n">
        <v>16.7</v>
      </c>
      <c r="O715" s="11"/>
    </row>
    <row r="716" customFormat="false" ht="14.25" hidden="false" customHeight="true" outlineLevel="0" collapsed="false">
      <c r="C716" s="11"/>
      <c r="D716" s="11"/>
      <c r="E716" s="11"/>
      <c r="F716" s="11"/>
      <c r="G716" s="11"/>
      <c r="H716" s="11"/>
      <c r="I716" s="11"/>
      <c r="J716" s="11"/>
      <c r="K716" s="11"/>
      <c r="L716" s="11"/>
      <c r="M716" s="11"/>
      <c r="N716" s="44" t="n">
        <v>16.57</v>
      </c>
      <c r="O716" s="11"/>
    </row>
    <row r="717" customFormat="false" ht="14.25" hidden="false" customHeight="true" outlineLevel="0" collapsed="false">
      <c r="C717" s="11"/>
      <c r="D717" s="11"/>
      <c r="E717" s="11"/>
      <c r="F717" s="11"/>
      <c r="G717" s="11"/>
      <c r="H717" s="11"/>
      <c r="I717" s="11"/>
      <c r="J717" s="11"/>
      <c r="K717" s="11"/>
      <c r="L717" s="11"/>
      <c r="M717" s="11"/>
      <c r="N717" s="44" t="n">
        <v>16.57</v>
      </c>
      <c r="O717" s="11"/>
    </row>
    <row r="718" customFormat="false" ht="14.25" hidden="false" customHeight="true" outlineLevel="0" collapsed="false">
      <c r="C718" s="11"/>
      <c r="D718" s="11"/>
      <c r="E718" s="11"/>
      <c r="F718" s="11"/>
      <c r="G718" s="11"/>
      <c r="H718" s="11"/>
      <c r="I718" s="11"/>
      <c r="J718" s="11"/>
      <c r="K718" s="11"/>
      <c r="L718" s="11"/>
      <c r="M718" s="11"/>
      <c r="N718" s="44" t="n">
        <v>16.36</v>
      </c>
      <c r="O718" s="11"/>
    </row>
    <row r="719" customFormat="false" ht="14.25" hidden="false" customHeight="true" outlineLevel="0" collapsed="false">
      <c r="C719" s="11"/>
      <c r="D719" s="11"/>
      <c r="E719" s="11"/>
      <c r="F719" s="11"/>
      <c r="G719" s="11"/>
      <c r="H719" s="11"/>
      <c r="I719" s="11"/>
      <c r="J719" s="11"/>
      <c r="K719" s="11"/>
      <c r="L719" s="11"/>
      <c r="M719" s="11"/>
      <c r="N719" s="44" t="n">
        <v>16.37</v>
      </c>
      <c r="O719" s="11"/>
    </row>
    <row r="720" customFormat="false" ht="14.25" hidden="false" customHeight="true" outlineLevel="0" collapsed="false">
      <c r="C720" s="11"/>
      <c r="D720" s="11"/>
      <c r="E720" s="11"/>
      <c r="F720" s="11"/>
      <c r="G720" s="11"/>
      <c r="H720" s="11"/>
      <c r="I720" s="11"/>
      <c r="J720" s="11"/>
      <c r="K720" s="11"/>
      <c r="L720" s="11"/>
      <c r="M720" s="11"/>
      <c r="N720" s="44" t="n">
        <v>16.34</v>
      </c>
      <c r="O720" s="11"/>
    </row>
    <row r="721" customFormat="false" ht="14.25" hidden="false" customHeight="true" outlineLevel="0" collapsed="false">
      <c r="C721" s="11"/>
      <c r="D721" s="11"/>
      <c r="E721" s="11"/>
      <c r="F721" s="11"/>
      <c r="G721" s="11"/>
      <c r="H721" s="11"/>
      <c r="I721" s="11"/>
      <c r="J721" s="11"/>
      <c r="K721" s="11"/>
      <c r="L721" s="11"/>
      <c r="M721" s="11"/>
      <c r="N721" s="44" t="n">
        <v>16.3</v>
      </c>
      <c r="O721" s="11"/>
    </row>
    <row r="722" customFormat="false" ht="14.25" hidden="false" customHeight="true" outlineLevel="0" collapsed="false">
      <c r="C722" s="11"/>
      <c r="D722" s="11"/>
      <c r="E722" s="11"/>
      <c r="F722" s="11"/>
      <c r="G722" s="11"/>
      <c r="H722" s="11"/>
      <c r="I722" s="11"/>
      <c r="J722" s="11"/>
      <c r="K722" s="11"/>
      <c r="L722" s="11"/>
      <c r="M722" s="11"/>
      <c r="N722" s="44" t="n">
        <v>16.43</v>
      </c>
      <c r="O722" s="11"/>
    </row>
    <row r="723" customFormat="false" ht="14.25" hidden="false" customHeight="true" outlineLevel="0" collapsed="false">
      <c r="C723" s="11"/>
      <c r="D723" s="11"/>
      <c r="E723" s="11"/>
      <c r="F723" s="11"/>
      <c r="G723" s="11"/>
      <c r="H723" s="11"/>
      <c r="I723" s="11"/>
      <c r="J723" s="11"/>
      <c r="K723" s="11"/>
      <c r="L723" s="11"/>
      <c r="M723" s="11"/>
      <c r="N723" s="44" t="n">
        <v>16.3</v>
      </c>
      <c r="O723" s="11"/>
    </row>
    <row r="724" customFormat="false" ht="14.25" hidden="false" customHeight="true" outlineLevel="0" collapsed="false">
      <c r="C724" s="11"/>
      <c r="D724" s="11"/>
      <c r="E724" s="11"/>
      <c r="F724" s="11"/>
      <c r="G724" s="11"/>
      <c r="H724" s="11"/>
      <c r="I724" s="11"/>
      <c r="J724" s="11"/>
      <c r="K724" s="11"/>
      <c r="L724" s="11"/>
      <c r="M724" s="11"/>
      <c r="N724" s="44" t="n">
        <v>16.07</v>
      </c>
      <c r="O724" s="11"/>
    </row>
    <row r="725" customFormat="false" ht="14.25" hidden="false" customHeight="true" outlineLevel="0" collapsed="false">
      <c r="C725" s="11"/>
      <c r="D725" s="11"/>
      <c r="E725" s="11"/>
      <c r="F725" s="11"/>
      <c r="G725" s="11"/>
      <c r="H725" s="11"/>
      <c r="I725" s="11"/>
      <c r="J725" s="11"/>
      <c r="K725" s="11"/>
      <c r="L725" s="11"/>
      <c r="M725" s="11"/>
      <c r="N725" s="44" t="n">
        <v>16.21</v>
      </c>
      <c r="O725" s="11"/>
    </row>
    <row r="726" customFormat="false" ht="14.25" hidden="false" customHeight="true" outlineLevel="0" collapsed="false">
      <c r="C726" s="11"/>
      <c r="D726" s="11"/>
      <c r="E726" s="11"/>
      <c r="F726" s="11"/>
      <c r="G726" s="11"/>
      <c r="H726" s="11"/>
      <c r="I726" s="11"/>
      <c r="J726" s="11"/>
      <c r="K726" s="11"/>
      <c r="L726" s="11"/>
      <c r="M726" s="11"/>
      <c r="N726" s="44" t="n">
        <v>16.31</v>
      </c>
      <c r="O726" s="11"/>
    </row>
    <row r="727" customFormat="false" ht="14.25" hidden="false" customHeight="true" outlineLevel="0" collapsed="false">
      <c r="C727" s="11"/>
      <c r="D727" s="11"/>
      <c r="E727" s="11"/>
      <c r="F727" s="11"/>
      <c r="G727" s="11"/>
      <c r="H727" s="11"/>
      <c r="I727" s="11"/>
      <c r="J727" s="11"/>
      <c r="K727" s="11"/>
      <c r="L727" s="11"/>
      <c r="M727" s="11"/>
      <c r="N727" s="44" t="n">
        <v>16.53</v>
      </c>
      <c r="O727" s="11"/>
    </row>
    <row r="728" customFormat="false" ht="14.25" hidden="false" customHeight="true" outlineLevel="0" collapsed="false">
      <c r="C728" s="11"/>
      <c r="D728" s="11"/>
      <c r="E728" s="11"/>
      <c r="F728" s="11"/>
      <c r="G728" s="11"/>
      <c r="H728" s="11"/>
      <c r="I728" s="11"/>
      <c r="J728" s="11"/>
      <c r="K728" s="11"/>
      <c r="L728" s="11"/>
      <c r="M728" s="11"/>
      <c r="N728" s="44" t="n">
        <v>16.64</v>
      </c>
      <c r="O728" s="11"/>
    </row>
    <row r="729" customFormat="false" ht="14.25" hidden="false" customHeight="true" outlineLevel="0" collapsed="false">
      <c r="C729" s="11"/>
      <c r="D729" s="11"/>
      <c r="E729" s="11"/>
      <c r="F729" s="11"/>
      <c r="G729" s="11"/>
      <c r="H729" s="11"/>
      <c r="I729" s="11"/>
      <c r="J729" s="11"/>
      <c r="K729" s="11"/>
      <c r="L729" s="11"/>
      <c r="M729" s="11"/>
      <c r="N729" s="44" t="n">
        <v>16.65</v>
      </c>
      <c r="O729" s="11"/>
    </row>
    <row r="730" customFormat="false" ht="14.25" hidden="false" customHeight="true" outlineLevel="0" collapsed="false">
      <c r="C730" s="11"/>
      <c r="D730" s="11"/>
      <c r="E730" s="11"/>
      <c r="F730" s="11"/>
      <c r="G730" s="11"/>
      <c r="H730" s="11"/>
      <c r="I730" s="11"/>
      <c r="J730" s="11"/>
      <c r="K730" s="11"/>
      <c r="L730" s="11"/>
      <c r="M730" s="11"/>
      <c r="N730" s="44" t="n">
        <v>16.8</v>
      </c>
      <c r="O730" s="11"/>
    </row>
    <row r="731" customFormat="false" ht="14.25" hidden="false" customHeight="true" outlineLevel="0" collapsed="false">
      <c r="C731" s="11"/>
      <c r="D731" s="11"/>
      <c r="E731" s="11"/>
      <c r="F731" s="11"/>
      <c r="G731" s="11"/>
      <c r="H731" s="11"/>
      <c r="I731" s="11"/>
      <c r="J731" s="11"/>
      <c r="K731" s="11"/>
      <c r="L731" s="11"/>
      <c r="M731" s="11"/>
      <c r="N731" s="44" t="n">
        <v>16.81</v>
      </c>
      <c r="O731" s="11"/>
    </row>
    <row r="732" customFormat="false" ht="14.25" hidden="false" customHeight="true" outlineLevel="0" collapsed="false">
      <c r="C732" s="11"/>
      <c r="D732" s="11"/>
      <c r="E732" s="11"/>
      <c r="F732" s="11"/>
      <c r="G732" s="11"/>
      <c r="H732" s="11"/>
      <c r="I732" s="11"/>
      <c r="J732" s="11"/>
      <c r="K732" s="11"/>
      <c r="L732" s="11"/>
      <c r="M732" s="11"/>
      <c r="N732" s="44" t="n">
        <v>16.92</v>
      </c>
      <c r="O732" s="11"/>
    </row>
    <row r="733" customFormat="false" ht="14.25" hidden="false" customHeight="true" outlineLevel="0" collapsed="false">
      <c r="C733" s="11"/>
      <c r="D733" s="11"/>
      <c r="E733" s="11"/>
      <c r="F733" s="11"/>
      <c r="G733" s="11"/>
      <c r="H733" s="11"/>
      <c r="I733" s="11"/>
      <c r="J733" s="11"/>
      <c r="K733" s="11"/>
      <c r="L733" s="11"/>
      <c r="M733" s="11"/>
      <c r="N733" s="44" t="n">
        <v>16.88</v>
      </c>
      <c r="O733" s="11"/>
    </row>
    <row r="734" customFormat="false" ht="14.25" hidden="false" customHeight="true" outlineLevel="0" collapsed="false">
      <c r="C734" s="11"/>
      <c r="D734" s="11"/>
      <c r="E734" s="11"/>
      <c r="F734" s="11"/>
      <c r="G734" s="11"/>
      <c r="H734" s="11"/>
      <c r="I734" s="11"/>
      <c r="J734" s="11"/>
      <c r="K734" s="11"/>
      <c r="L734" s="11"/>
      <c r="M734" s="11"/>
      <c r="N734" s="44" t="n">
        <v>16.92</v>
      </c>
      <c r="O734" s="11"/>
    </row>
    <row r="735" customFormat="false" ht="14.25" hidden="false" customHeight="true" outlineLevel="0" collapsed="false">
      <c r="C735" s="11"/>
      <c r="D735" s="11"/>
      <c r="E735" s="11"/>
      <c r="F735" s="11"/>
      <c r="G735" s="11"/>
      <c r="H735" s="11"/>
      <c r="I735" s="11"/>
      <c r="J735" s="11"/>
      <c r="K735" s="11"/>
      <c r="L735" s="11"/>
      <c r="M735" s="11"/>
      <c r="N735" s="44" t="n">
        <v>16.99</v>
      </c>
      <c r="O735" s="11"/>
    </row>
    <row r="736" customFormat="false" ht="14.25" hidden="false" customHeight="true" outlineLevel="0" collapsed="false">
      <c r="C736" s="11"/>
      <c r="D736" s="11"/>
      <c r="E736" s="11"/>
      <c r="F736" s="11"/>
      <c r="G736" s="11"/>
      <c r="H736" s="11"/>
      <c r="I736" s="11"/>
      <c r="J736" s="11"/>
      <c r="K736" s="11"/>
      <c r="L736" s="11"/>
      <c r="M736" s="11"/>
      <c r="N736" s="44" t="n">
        <v>16.98</v>
      </c>
      <c r="O736" s="11"/>
    </row>
    <row r="737" customFormat="false" ht="14.25" hidden="false" customHeight="true" outlineLevel="0" collapsed="false">
      <c r="C737" s="11"/>
      <c r="D737" s="11"/>
      <c r="E737" s="11"/>
      <c r="F737" s="11"/>
      <c r="G737" s="11"/>
      <c r="H737" s="11"/>
      <c r="I737" s="11"/>
      <c r="J737" s="11"/>
      <c r="K737" s="11"/>
      <c r="L737" s="11"/>
      <c r="M737" s="11"/>
      <c r="N737" s="44" t="n">
        <v>16.98</v>
      </c>
      <c r="O737" s="11"/>
    </row>
    <row r="738" customFormat="false" ht="14.25" hidden="false" customHeight="true" outlineLevel="0" collapsed="false">
      <c r="C738" s="11"/>
      <c r="D738" s="11"/>
      <c r="E738" s="11"/>
      <c r="F738" s="11"/>
      <c r="G738" s="11"/>
      <c r="H738" s="11"/>
      <c r="I738" s="11"/>
      <c r="J738" s="11"/>
      <c r="K738" s="11"/>
      <c r="L738" s="11"/>
      <c r="M738" s="11"/>
      <c r="N738" s="44" t="n">
        <v>16.89</v>
      </c>
      <c r="O738" s="11"/>
    </row>
    <row r="739" customFormat="false" ht="14.25" hidden="false" customHeight="true" outlineLevel="0" collapsed="false">
      <c r="C739" s="11"/>
      <c r="D739" s="11"/>
      <c r="E739" s="11"/>
      <c r="F739" s="11"/>
      <c r="G739" s="11"/>
      <c r="H739" s="11"/>
      <c r="I739" s="11"/>
      <c r="J739" s="11"/>
      <c r="K739" s="11"/>
      <c r="L739" s="11"/>
      <c r="M739" s="11"/>
      <c r="N739" s="44" t="n">
        <v>17.18</v>
      </c>
      <c r="O739" s="11"/>
    </row>
    <row r="740" customFormat="false" ht="14.25" hidden="false" customHeight="true" outlineLevel="0" collapsed="false">
      <c r="C740" s="11"/>
      <c r="D740" s="11"/>
      <c r="E740" s="11"/>
      <c r="F740" s="11"/>
      <c r="G740" s="11"/>
      <c r="H740" s="11"/>
      <c r="I740" s="11"/>
      <c r="J740" s="11"/>
      <c r="K740" s="11"/>
      <c r="L740" s="11"/>
      <c r="M740" s="11"/>
      <c r="N740" s="44" t="n">
        <v>17.27</v>
      </c>
      <c r="O740" s="11"/>
    </row>
    <row r="741" customFormat="false" ht="14.25" hidden="false" customHeight="true" outlineLevel="0" collapsed="false">
      <c r="C741" s="11"/>
      <c r="D741" s="11"/>
      <c r="E741" s="11"/>
      <c r="F741" s="11"/>
      <c r="G741" s="11"/>
      <c r="H741" s="11"/>
      <c r="I741" s="11"/>
      <c r="J741" s="11"/>
      <c r="K741" s="11"/>
      <c r="L741" s="11"/>
      <c r="M741" s="11"/>
      <c r="N741" s="44" t="n">
        <v>17.4</v>
      </c>
      <c r="O741" s="11"/>
    </row>
    <row r="742" customFormat="false" ht="14.25" hidden="false" customHeight="true" outlineLevel="0" collapsed="false">
      <c r="C742" s="11"/>
      <c r="D742" s="11"/>
      <c r="E742" s="11"/>
      <c r="F742" s="11"/>
      <c r="G742" s="11"/>
      <c r="H742" s="11"/>
      <c r="I742" s="11"/>
      <c r="J742" s="11"/>
      <c r="K742" s="11"/>
      <c r="L742" s="11"/>
      <c r="M742" s="11"/>
      <c r="N742" s="44" t="n">
        <v>17.47</v>
      </c>
      <c r="O742" s="11"/>
    </row>
    <row r="743" customFormat="false" ht="14.25" hidden="false" customHeight="true" outlineLevel="0" collapsed="false">
      <c r="C743" s="11"/>
      <c r="D743" s="11"/>
      <c r="E743" s="11"/>
      <c r="F743" s="11"/>
      <c r="G743" s="11"/>
      <c r="H743" s="11"/>
      <c r="I743" s="11"/>
      <c r="J743" s="11"/>
      <c r="K743" s="11"/>
      <c r="L743" s="11"/>
      <c r="M743" s="11"/>
      <c r="N743" s="44" t="n">
        <v>17.38</v>
      </c>
      <c r="O743" s="11"/>
    </row>
    <row r="744" customFormat="false" ht="14.25" hidden="false" customHeight="true" outlineLevel="0" collapsed="false">
      <c r="C744" s="11"/>
      <c r="D744" s="11"/>
      <c r="E744" s="11"/>
      <c r="F744" s="11"/>
      <c r="G744" s="11"/>
      <c r="H744" s="11"/>
      <c r="I744" s="11"/>
      <c r="J744" s="11"/>
      <c r="K744" s="11"/>
      <c r="L744" s="11"/>
      <c r="M744" s="11"/>
      <c r="N744" s="44" t="n">
        <v>16.53</v>
      </c>
      <c r="O744" s="11"/>
    </row>
    <row r="745" customFormat="false" ht="14.25" hidden="false" customHeight="true" outlineLevel="0" collapsed="false">
      <c r="C745" s="11"/>
      <c r="D745" s="11"/>
      <c r="E745" s="11"/>
      <c r="F745" s="11"/>
      <c r="G745" s="11"/>
      <c r="H745" s="11"/>
      <c r="I745" s="11"/>
      <c r="J745" s="11"/>
      <c r="K745" s="11"/>
      <c r="L745" s="11"/>
      <c r="M745" s="11"/>
      <c r="N745" s="44" t="n">
        <v>16.06</v>
      </c>
      <c r="O745" s="11"/>
    </row>
    <row r="746" customFormat="false" ht="14.25" hidden="false" customHeight="true" outlineLevel="0" collapsed="false">
      <c r="C746" s="11"/>
      <c r="D746" s="11"/>
      <c r="E746" s="11"/>
      <c r="F746" s="11"/>
      <c r="G746" s="11"/>
      <c r="H746" s="11"/>
      <c r="I746" s="11"/>
      <c r="J746" s="11"/>
      <c r="K746" s="11"/>
      <c r="L746" s="11"/>
      <c r="M746" s="11"/>
      <c r="N746" s="44" t="n">
        <v>16.08</v>
      </c>
      <c r="O746" s="11"/>
    </row>
    <row r="747" customFormat="false" ht="14.25" hidden="false" customHeight="true" outlineLevel="0" collapsed="false">
      <c r="C747" s="11"/>
      <c r="D747" s="11"/>
      <c r="E747" s="11"/>
      <c r="F747" s="11"/>
      <c r="G747" s="11"/>
      <c r="H747" s="11"/>
      <c r="I747" s="11"/>
      <c r="J747" s="11"/>
      <c r="K747" s="11"/>
      <c r="L747" s="11"/>
      <c r="M747" s="11"/>
      <c r="N747" s="44" t="n">
        <v>16.34</v>
      </c>
      <c r="O747" s="11"/>
    </row>
    <row r="748" customFormat="false" ht="14.25" hidden="false" customHeight="true" outlineLevel="0" collapsed="false">
      <c r="C748" s="11"/>
      <c r="D748" s="11"/>
      <c r="E748" s="11"/>
      <c r="F748" s="11"/>
      <c r="G748" s="11"/>
      <c r="H748" s="11"/>
      <c r="I748" s="11"/>
      <c r="J748" s="11"/>
      <c r="K748" s="11"/>
      <c r="L748" s="11"/>
      <c r="M748" s="11"/>
      <c r="N748" s="44" t="n">
        <v>16.72</v>
      </c>
      <c r="O748" s="11"/>
    </row>
    <row r="749" customFormat="false" ht="14.25" hidden="false" customHeight="true" outlineLevel="0" collapsed="false">
      <c r="C749" s="11"/>
      <c r="D749" s="11"/>
      <c r="E749" s="11"/>
      <c r="F749" s="11"/>
      <c r="G749" s="11"/>
      <c r="H749" s="11"/>
      <c r="I749" s="11"/>
      <c r="J749" s="11"/>
      <c r="K749" s="11"/>
      <c r="L749" s="11"/>
      <c r="M749" s="11"/>
      <c r="N749" s="44" t="n">
        <v>16.52</v>
      </c>
      <c r="O749" s="11"/>
    </row>
    <row r="750" customFormat="false" ht="14.25" hidden="false" customHeight="true" outlineLevel="0" collapsed="false">
      <c r="C750" s="11"/>
      <c r="D750" s="11"/>
      <c r="E750" s="11"/>
      <c r="F750" s="11"/>
      <c r="G750" s="11"/>
      <c r="H750" s="11"/>
      <c r="I750" s="11"/>
      <c r="J750" s="11"/>
      <c r="K750" s="11"/>
      <c r="L750" s="11"/>
      <c r="M750" s="11"/>
      <c r="N750" s="44" t="n">
        <v>16.17</v>
      </c>
      <c r="O750" s="11"/>
    </row>
    <row r="751" customFormat="false" ht="14.25" hidden="false" customHeight="true" outlineLevel="0" collapsed="false">
      <c r="C751" s="11"/>
      <c r="D751" s="11"/>
      <c r="E751" s="11"/>
      <c r="F751" s="11"/>
      <c r="G751" s="11"/>
      <c r="H751" s="11"/>
      <c r="I751" s="11"/>
      <c r="J751" s="11"/>
      <c r="K751" s="11"/>
      <c r="L751" s="11"/>
      <c r="M751" s="11"/>
      <c r="N751" s="44" t="n">
        <v>16.12</v>
      </c>
      <c r="O751" s="11"/>
    </row>
    <row r="752" customFormat="false" ht="14.25" hidden="false" customHeight="true" outlineLevel="0" collapsed="false">
      <c r="C752" s="11"/>
      <c r="D752" s="11"/>
      <c r="E752" s="11"/>
      <c r="F752" s="11"/>
      <c r="G752" s="11"/>
      <c r="H752" s="11"/>
      <c r="I752" s="11"/>
      <c r="J752" s="11"/>
      <c r="K752" s="11"/>
      <c r="L752" s="11"/>
      <c r="M752" s="11"/>
      <c r="N752" s="44" t="n">
        <v>16.35</v>
      </c>
      <c r="O752" s="11"/>
    </row>
    <row r="753" customFormat="false" ht="14.25" hidden="false" customHeight="true" outlineLevel="0" collapsed="false">
      <c r="C753" s="11"/>
      <c r="D753" s="11"/>
      <c r="E753" s="11"/>
      <c r="F753" s="11"/>
      <c r="G753" s="11"/>
      <c r="H753" s="11"/>
      <c r="I753" s="11"/>
      <c r="J753" s="11"/>
      <c r="K753" s="11"/>
      <c r="L753" s="11"/>
      <c r="M753" s="11"/>
      <c r="N753" s="44" t="n">
        <v>15.38</v>
      </c>
      <c r="O753" s="11"/>
    </row>
    <row r="754" customFormat="false" ht="14.25" hidden="false" customHeight="true" outlineLevel="0" collapsed="false">
      <c r="C754" s="11"/>
      <c r="D754" s="11"/>
      <c r="E754" s="11"/>
      <c r="F754" s="11"/>
      <c r="G754" s="11"/>
      <c r="H754" s="11"/>
      <c r="I754" s="11"/>
      <c r="J754" s="11"/>
      <c r="K754" s="11"/>
      <c r="L754" s="11"/>
      <c r="M754" s="11"/>
      <c r="N754" s="44" t="n">
        <v>14.43</v>
      </c>
      <c r="O754" s="11"/>
    </row>
    <row r="755" customFormat="false" ht="14.25" hidden="false" customHeight="true" outlineLevel="0" collapsed="false">
      <c r="C755" s="11"/>
      <c r="D755" s="11"/>
      <c r="E755" s="11"/>
      <c r="F755" s="11"/>
      <c r="G755" s="11"/>
      <c r="H755" s="11"/>
      <c r="I755" s="11"/>
      <c r="J755" s="11"/>
      <c r="K755" s="11"/>
      <c r="L755" s="11"/>
      <c r="M755" s="11"/>
      <c r="N755" s="44" t="n">
        <v>14.3</v>
      </c>
      <c r="O755" s="11"/>
    </row>
    <row r="756" customFormat="false" ht="14.25" hidden="false" customHeight="true" outlineLevel="0" collapsed="false">
      <c r="C756" s="11"/>
      <c r="D756" s="11"/>
      <c r="E756" s="11"/>
      <c r="F756" s="11"/>
      <c r="G756" s="11"/>
      <c r="H756" s="11"/>
      <c r="I756" s="11"/>
      <c r="J756" s="11"/>
      <c r="K756" s="11"/>
      <c r="L756" s="11"/>
      <c r="M756" s="11"/>
      <c r="N756" s="44" t="n">
        <v>14.25</v>
      </c>
      <c r="O756" s="11"/>
    </row>
    <row r="757" customFormat="false" ht="14.25" hidden="false" customHeight="true" outlineLevel="0" collapsed="false">
      <c r="C757" s="11"/>
      <c r="D757" s="11"/>
      <c r="E757" s="11"/>
      <c r="F757" s="11"/>
      <c r="G757" s="11"/>
      <c r="H757" s="11"/>
      <c r="I757" s="11"/>
      <c r="J757" s="11"/>
      <c r="K757" s="11"/>
      <c r="L757" s="11"/>
      <c r="M757" s="11"/>
      <c r="N757" s="44" t="n">
        <v>14.36</v>
      </c>
      <c r="O757" s="11"/>
    </row>
    <row r="758" customFormat="false" ht="14.25" hidden="false" customHeight="true" outlineLevel="0" collapsed="false">
      <c r="C758" s="11"/>
      <c r="D758" s="11"/>
      <c r="E758" s="11"/>
      <c r="F758" s="11"/>
      <c r="G758" s="11"/>
      <c r="H758" s="11"/>
      <c r="I758" s="11"/>
      <c r="J758" s="11"/>
      <c r="K758" s="11"/>
      <c r="L758" s="11"/>
      <c r="M758" s="11"/>
      <c r="N758" s="44" t="n">
        <v>14.36</v>
      </c>
      <c r="O758" s="11"/>
    </row>
    <row r="759" customFormat="false" ht="14.25" hidden="false" customHeight="true" outlineLevel="0" collapsed="false">
      <c r="C759" s="11"/>
      <c r="D759" s="11"/>
      <c r="E759" s="11"/>
      <c r="F759" s="11"/>
      <c r="G759" s="11"/>
      <c r="H759" s="11"/>
      <c r="I759" s="11"/>
      <c r="J759" s="11"/>
      <c r="K759" s="11"/>
      <c r="L759" s="11"/>
      <c r="M759" s="11"/>
      <c r="N759" s="44" t="n">
        <v>14.73</v>
      </c>
      <c r="O759" s="11"/>
    </row>
    <row r="760" customFormat="false" ht="14.25" hidden="false" customHeight="true" outlineLevel="0" collapsed="false">
      <c r="C760" s="11"/>
      <c r="D760" s="11"/>
      <c r="E760" s="11"/>
      <c r="F760" s="11"/>
      <c r="G760" s="11"/>
      <c r="H760" s="11"/>
      <c r="I760" s="11"/>
      <c r="J760" s="11"/>
      <c r="K760" s="11"/>
      <c r="L760" s="11"/>
      <c r="M760" s="11"/>
      <c r="N760" s="44" t="n">
        <v>15</v>
      </c>
      <c r="O760" s="11"/>
    </row>
    <row r="761" customFormat="false" ht="14.25" hidden="false" customHeight="true" outlineLevel="0" collapsed="false">
      <c r="C761" s="11"/>
      <c r="D761" s="11"/>
      <c r="E761" s="11"/>
      <c r="F761" s="11"/>
      <c r="G761" s="11"/>
      <c r="H761" s="11"/>
      <c r="I761" s="11"/>
      <c r="J761" s="11"/>
      <c r="K761" s="11"/>
      <c r="L761" s="11"/>
      <c r="M761" s="11"/>
      <c r="N761" s="44" t="n">
        <v>15.05</v>
      </c>
      <c r="O761" s="11"/>
    </row>
    <row r="762" customFormat="false" ht="14.25" hidden="false" customHeight="true" outlineLevel="0" collapsed="false">
      <c r="C762" s="11"/>
      <c r="D762" s="11"/>
      <c r="E762" s="11"/>
      <c r="F762" s="11"/>
      <c r="G762" s="11"/>
      <c r="H762" s="11"/>
      <c r="I762" s="11"/>
      <c r="J762" s="11"/>
      <c r="K762" s="11"/>
      <c r="L762" s="11"/>
      <c r="M762" s="11"/>
      <c r="N762" s="44" t="n">
        <v>15.24</v>
      </c>
      <c r="O762" s="11"/>
    </row>
    <row r="763" customFormat="false" ht="14.25" hidden="false" customHeight="true" outlineLevel="0" collapsed="false">
      <c r="C763" s="11"/>
      <c r="D763" s="11"/>
      <c r="E763" s="11"/>
      <c r="F763" s="11"/>
      <c r="G763" s="11"/>
      <c r="H763" s="11"/>
      <c r="I763" s="11"/>
      <c r="J763" s="11"/>
      <c r="K763" s="11"/>
      <c r="L763" s="11"/>
      <c r="M763" s="11"/>
      <c r="N763" s="44" t="n">
        <v>15.39</v>
      </c>
      <c r="O763" s="11"/>
    </row>
    <row r="764" customFormat="false" ht="14.25" hidden="false" customHeight="true" outlineLevel="0" collapsed="false">
      <c r="C764" s="11"/>
      <c r="D764" s="11"/>
      <c r="E764" s="11"/>
      <c r="F764" s="11"/>
      <c r="G764" s="11"/>
      <c r="H764" s="11"/>
      <c r="I764" s="11"/>
      <c r="J764" s="11"/>
      <c r="K764" s="11"/>
      <c r="L764" s="11"/>
      <c r="M764" s="11"/>
      <c r="N764" s="44" t="n">
        <v>15.67</v>
      </c>
      <c r="O764" s="11"/>
    </row>
    <row r="765" customFormat="false" ht="14.25" hidden="false" customHeight="true" outlineLevel="0" collapsed="false">
      <c r="C765" s="11"/>
      <c r="D765" s="11"/>
      <c r="E765" s="11"/>
      <c r="F765" s="11"/>
      <c r="G765" s="11"/>
      <c r="H765" s="11"/>
      <c r="I765" s="11"/>
      <c r="J765" s="11"/>
      <c r="K765" s="11"/>
      <c r="L765" s="11"/>
      <c r="M765" s="11"/>
      <c r="N765" s="44" t="n">
        <v>15.71</v>
      </c>
      <c r="O765" s="11"/>
    </row>
    <row r="766" customFormat="false" ht="14.25" hidden="false" customHeight="true" outlineLevel="0" collapsed="false">
      <c r="C766" s="11"/>
      <c r="D766" s="11"/>
      <c r="E766" s="11"/>
      <c r="F766" s="11"/>
      <c r="G766" s="11"/>
      <c r="H766" s="11"/>
      <c r="I766" s="11"/>
      <c r="J766" s="11"/>
      <c r="K766" s="11"/>
      <c r="L766" s="11"/>
      <c r="M766" s="11"/>
      <c r="N766" s="44" t="n">
        <v>15.48</v>
      </c>
      <c r="O766" s="11"/>
    </row>
    <row r="767" customFormat="false" ht="14.25" hidden="false" customHeight="true" outlineLevel="0" collapsed="false">
      <c r="C767" s="11"/>
      <c r="D767" s="11"/>
      <c r="E767" s="11"/>
      <c r="F767" s="11"/>
      <c r="G767" s="11"/>
      <c r="H767" s="11"/>
      <c r="I767" s="11"/>
      <c r="J767" s="11"/>
      <c r="K767" s="11"/>
      <c r="L767" s="11"/>
      <c r="M767" s="11"/>
      <c r="N767" s="44" t="n">
        <v>15.02</v>
      </c>
      <c r="O767" s="11"/>
    </row>
    <row r="768" customFormat="false" ht="14.25" hidden="false" customHeight="true" outlineLevel="0" collapsed="false">
      <c r="C768" s="11"/>
      <c r="D768" s="11"/>
      <c r="E768" s="11"/>
      <c r="F768" s="11"/>
      <c r="G768" s="11"/>
      <c r="H768" s="11"/>
      <c r="I768" s="11"/>
      <c r="J768" s="11"/>
      <c r="K768" s="11"/>
      <c r="L768" s="11"/>
      <c r="M768" s="11"/>
      <c r="N768" s="44" t="n">
        <v>15.47</v>
      </c>
      <c r="O768" s="11"/>
    </row>
    <row r="769" customFormat="false" ht="14.25" hidden="false" customHeight="true" outlineLevel="0" collapsed="false">
      <c r="C769" s="11"/>
      <c r="D769" s="11"/>
      <c r="E769" s="11"/>
      <c r="F769" s="11"/>
      <c r="G769" s="11"/>
      <c r="H769" s="11"/>
      <c r="I769" s="11"/>
      <c r="J769" s="11"/>
      <c r="K769" s="11"/>
      <c r="L769" s="11"/>
      <c r="M769" s="11"/>
      <c r="N769" s="44" t="n">
        <v>15.58</v>
      </c>
      <c r="O769" s="11"/>
    </row>
    <row r="770" customFormat="false" ht="14.25" hidden="false" customHeight="true" outlineLevel="0" collapsed="false">
      <c r="C770" s="11"/>
      <c r="D770" s="11"/>
      <c r="E770" s="11"/>
      <c r="F770" s="11"/>
      <c r="G770" s="11"/>
      <c r="H770" s="11"/>
      <c r="I770" s="11"/>
      <c r="J770" s="11"/>
      <c r="K770" s="11"/>
      <c r="L770" s="11"/>
      <c r="M770" s="11"/>
      <c r="N770" s="44" t="n">
        <v>16.03</v>
      </c>
      <c r="O770" s="11"/>
    </row>
    <row r="771" customFormat="false" ht="14.25" hidden="false" customHeight="true" outlineLevel="0" collapsed="false">
      <c r="C771" s="11"/>
      <c r="D771" s="11"/>
      <c r="E771" s="11"/>
      <c r="F771" s="11"/>
      <c r="G771" s="11"/>
      <c r="H771" s="11"/>
      <c r="I771" s="11"/>
      <c r="J771" s="11"/>
      <c r="K771" s="11"/>
      <c r="L771" s="11"/>
      <c r="M771" s="11"/>
      <c r="N771" s="44" t="n">
        <v>16.25</v>
      </c>
      <c r="O771" s="11"/>
    </row>
    <row r="772" customFormat="false" ht="14.25" hidden="false" customHeight="true" outlineLevel="0" collapsed="false">
      <c r="C772" s="11"/>
      <c r="D772" s="11"/>
      <c r="E772" s="11"/>
      <c r="F772" s="11"/>
      <c r="G772" s="11"/>
      <c r="H772" s="11"/>
      <c r="I772" s="11"/>
      <c r="J772" s="11"/>
      <c r="K772" s="11"/>
      <c r="L772" s="11"/>
      <c r="M772" s="11"/>
      <c r="N772" s="44" t="n">
        <v>15.79</v>
      </c>
      <c r="O772" s="11"/>
    </row>
    <row r="773" customFormat="false" ht="14.25" hidden="false" customHeight="true" outlineLevel="0" collapsed="false">
      <c r="C773" s="11"/>
      <c r="D773" s="11"/>
      <c r="E773" s="11"/>
      <c r="F773" s="11"/>
      <c r="G773" s="11"/>
      <c r="H773" s="11"/>
      <c r="I773" s="11"/>
      <c r="J773" s="11"/>
      <c r="K773" s="11"/>
      <c r="L773" s="11"/>
      <c r="M773" s="11"/>
      <c r="N773" s="44" t="n">
        <v>15.43</v>
      </c>
      <c r="O773" s="11"/>
    </row>
    <row r="774" customFormat="false" ht="14.25" hidden="false" customHeight="true" outlineLevel="0" collapsed="false">
      <c r="C774" s="11"/>
      <c r="D774" s="11"/>
      <c r="E774" s="11"/>
      <c r="F774" s="11"/>
      <c r="G774" s="11"/>
      <c r="H774" s="11"/>
      <c r="I774" s="11"/>
      <c r="J774" s="11"/>
      <c r="K774" s="11"/>
      <c r="L774" s="11"/>
      <c r="M774" s="11"/>
      <c r="N774" s="44" t="n">
        <v>15.65</v>
      </c>
      <c r="O774" s="11"/>
    </row>
    <row r="775" customFormat="false" ht="14.25" hidden="false" customHeight="true" outlineLevel="0" collapsed="false">
      <c r="C775" s="11"/>
      <c r="D775" s="11"/>
      <c r="E775" s="11"/>
      <c r="F775" s="11"/>
      <c r="G775" s="11"/>
      <c r="H775" s="11"/>
      <c r="I775" s="11"/>
      <c r="J775" s="11"/>
      <c r="K775" s="11"/>
      <c r="L775" s="11"/>
      <c r="M775" s="11"/>
      <c r="N775" s="44" t="n">
        <v>15.65</v>
      </c>
      <c r="O775" s="11"/>
    </row>
    <row r="776" customFormat="false" ht="14.25" hidden="false" customHeight="true" outlineLevel="0" collapsed="false">
      <c r="C776" s="11"/>
      <c r="D776" s="11"/>
      <c r="E776" s="11"/>
      <c r="F776" s="11"/>
      <c r="G776" s="11"/>
      <c r="H776" s="11"/>
      <c r="I776" s="11"/>
      <c r="J776" s="11"/>
      <c r="K776" s="11"/>
      <c r="L776" s="11"/>
      <c r="M776" s="11"/>
      <c r="N776" s="44" t="n">
        <v>15.59</v>
      </c>
      <c r="O776" s="11"/>
    </row>
    <row r="777" customFormat="false" ht="14.25" hidden="false" customHeight="true" outlineLevel="0" collapsed="false">
      <c r="C777" s="11"/>
      <c r="D777" s="11"/>
      <c r="E777" s="11"/>
      <c r="F777" s="11"/>
      <c r="G777" s="11"/>
      <c r="H777" s="11"/>
      <c r="I777" s="11"/>
      <c r="J777" s="11"/>
      <c r="K777" s="11"/>
      <c r="L777" s="11"/>
      <c r="M777" s="11"/>
      <c r="N777" s="44" t="n">
        <v>15.93</v>
      </c>
      <c r="O777" s="11"/>
    </row>
    <row r="778" customFormat="false" ht="14.25" hidden="false" customHeight="true" outlineLevel="0" collapsed="false">
      <c r="C778" s="11"/>
      <c r="D778" s="11"/>
      <c r="E778" s="11"/>
      <c r="F778" s="11"/>
      <c r="G778" s="11"/>
      <c r="H778" s="11"/>
      <c r="I778" s="11"/>
      <c r="J778" s="11"/>
      <c r="K778" s="11"/>
      <c r="L778" s="11"/>
      <c r="M778" s="11"/>
      <c r="N778" s="44" t="n">
        <v>15.93</v>
      </c>
      <c r="O778" s="11"/>
    </row>
    <row r="779" customFormat="false" ht="14.25" hidden="false" customHeight="true" outlineLevel="0" collapsed="false">
      <c r="C779" s="11"/>
      <c r="D779" s="11"/>
      <c r="E779" s="11"/>
      <c r="F779" s="11"/>
      <c r="G779" s="11"/>
      <c r="H779" s="11"/>
      <c r="I779" s="11"/>
      <c r="J779" s="11"/>
      <c r="K779" s="11"/>
      <c r="L779" s="11"/>
      <c r="M779" s="11"/>
      <c r="N779" s="44" t="n">
        <v>16.51</v>
      </c>
      <c r="O779" s="11"/>
    </row>
    <row r="780" customFormat="false" ht="14.25" hidden="false" customHeight="true" outlineLevel="0" collapsed="false">
      <c r="C780" s="11"/>
      <c r="D780" s="11"/>
      <c r="E780" s="11"/>
      <c r="F780" s="11"/>
      <c r="G780" s="11"/>
      <c r="H780" s="11"/>
      <c r="I780" s="11"/>
      <c r="J780" s="11"/>
      <c r="K780" s="11"/>
      <c r="L780" s="11"/>
      <c r="M780" s="11"/>
      <c r="N780" s="44" t="n">
        <v>16.32</v>
      </c>
      <c r="O780" s="11"/>
    </row>
    <row r="781" customFormat="false" ht="14.25" hidden="false" customHeight="true" outlineLevel="0" collapsed="false">
      <c r="C781" s="11"/>
      <c r="D781" s="11"/>
      <c r="E781" s="11"/>
      <c r="F781" s="11"/>
      <c r="G781" s="11"/>
      <c r="H781" s="11"/>
      <c r="I781" s="11"/>
      <c r="J781" s="11"/>
      <c r="K781" s="11"/>
      <c r="L781" s="11"/>
      <c r="M781" s="11"/>
      <c r="N781" s="44" t="n">
        <v>16.39</v>
      </c>
      <c r="O781" s="11"/>
    </row>
    <row r="782" customFormat="false" ht="14.25" hidden="false" customHeight="true" outlineLevel="0" collapsed="false">
      <c r="C782" s="11"/>
      <c r="D782" s="11"/>
      <c r="E782" s="11"/>
      <c r="F782" s="11"/>
      <c r="G782" s="11"/>
      <c r="H782" s="11"/>
      <c r="I782" s="11"/>
      <c r="J782" s="11"/>
      <c r="K782" s="11"/>
      <c r="L782" s="11"/>
      <c r="M782" s="11"/>
      <c r="N782" s="44" t="n">
        <v>16.46</v>
      </c>
      <c r="O782" s="11"/>
    </row>
    <row r="783" customFormat="false" ht="14.25" hidden="false" customHeight="true" outlineLevel="0" collapsed="false">
      <c r="C783" s="11"/>
      <c r="D783" s="11"/>
      <c r="E783" s="11"/>
      <c r="F783" s="11"/>
      <c r="G783" s="11"/>
      <c r="H783" s="11"/>
      <c r="I783" s="11"/>
      <c r="J783" s="11"/>
      <c r="K783" s="11"/>
      <c r="L783" s="11"/>
      <c r="M783" s="11"/>
      <c r="N783" s="44" t="n">
        <v>15.51</v>
      </c>
      <c r="O783" s="11"/>
    </row>
    <row r="784" customFormat="false" ht="14.25" hidden="false" customHeight="true" outlineLevel="0" collapsed="false">
      <c r="C784" s="11"/>
      <c r="D784" s="11"/>
      <c r="E784" s="11"/>
      <c r="F784" s="11"/>
      <c r="G784" s="11"/>
      <c r="H784" s="11"/>
      <c r="I784" s="11"/>
      <c r="J784" s="11"/>
      <c r="K784" s="11"/>
      <c r="L784" s="11"/>
      <c r="M784" s="11"/>
      <c r="N784" s="44" t="n">
        <v>15.51</v>
      </c>
      <c r="O784" s="11"/>
    </row>
    <row r="785" customFormat="false" ht="14.25" hidden="false" customHeight="true" outlineLevel="0" collapsed="false">
      <c r="C785" s="11"/>
      <c r="D785" s="11"/>
      <c r="E785" s="11"/>
      <c r="F785" s="11"/>
      <c r="G785" s="11"/>
      <c r="H785" s="11"/>
      <c r="I785" s="11"/>
      <c r="J785" s="11"/>
      <c r="K785" s="11"/>
      <c r="L785" s="11"/>
      <c r="M785" s="11"/>
      <c r="N785" s="44" t="n">
        <v>15.46</v>
      </c>
      <c r="O785" s="11"/>
    </row>
    <row r="786" customFormat="false" ht="14.25" hidden="false" customHeight="true" outlineLevel="0" collapsed="false">
      <c r="C786" s="11"/>
      <c r="D786" s="11"/>
      <c r="E786" s="11"/>
      <c r="F786" s="11"/>
      <c r="G786" s="11"/>
      <c r="H786" s="11"/>
      <c r="I786" s="11"/>
      <c r="J786" s="11"/>
      <c r="K786" s="11"/>
      <c r="L786" s="11"/>
      <c r="M786" s="11"/>
      <c r="N786" s="44" t="n">
        <v>15.16</v>
      </c>
      <c r="O786" s="11"/>
    </row>
    <row r="787" customFormat="false" ht="14.25" hidden="false" customHeight="true" outlineLevel="0" collapsed="false">
      <c r="C787" s="11"/>
      <c r="D787" s="11"/>
      <c r="E787" s="11"/>
      <c r="F787" s="11"/>
      <c r="G787" s="11"/>
      <c r="H787" s="11"/>
      <c r="I787" s="11"/>
      <c r="J787" s="11"/>
      <c r="K787" s="11"/>
      <c r="L787" s="11"/>
      <c r="M787" s="11"/>
      <c r="N787" s="44" t="n">
        <v>15.05</v>
      </c>
      <c r="O787" s="11"/>
    </row>
    <row r="788" customFormat="false" ht="14.25" hidden="false" customHeight="true" outlineLevel="0" collapsed="false">
      <c r="C788" s="11"/>
      <c r="D788" s="11"/>
      <c r="E788" s="11"/>
      <c r="F788" s="11"/>
      <c r="G788" s="11"/>
      <c r="H788" s="11"/>
      <c r="I788" s="11"/>
      <c r="J788" s="11"/>
      <c r="K788" s="11"/>
      <c r="L788" s="11"/>
      <c r="M788" s="11"/>
      <c r="N788" s="44" t="n">
        <v>15.12</v>
      </c>
      <c r="O788" s="11"/>
    </row>
    <row r="789" customFormat="false" ht="14.25" hidden="false" customHeight="true" outlineLevel="0" collapsed="false">
      <c r="C789" s="11"/>
      <c r="D789" s="11"/>
      <c r="E789" s="11"/>
      <c r="F789" s="11"/>
      <c r="G789" s="11"/>
      <c r="H789" s="11"/>
      <c r="I789" s="11"/>
      <c r="J789" s="11"/>
      <c r="K789" s="11"/>
      <c r="L789" s="11"/>
      <c r="M789" s="11"/>
      <c r="N789" s="44" t="n">
        <v>15.29</v>
      </c>
      <c r="O789" s="11"/>
    </row>
    <row r="790" customFormat="false" ht="14.25" hidden="false" customHeight="true" outlineLevel="0" collapsed="false">
      <c r="C790" s="11"/>
      <c r="D790" s="11"/>
      <c r="E790" s="11"/>
      <c r="F790" s="11"/>
      <c r="G790" s="11"/>
      <c r="H790" s="11"/>
      <c r="I790" s="11"/>
      <c r="J790" s="11"/>
      <c r="K790" s="11"/>
      <c r="L790" s="11"/>
      <c r="M790" s="11"/>
      <c r="N790" s="44" t="n">
        <v>14.75</v>
      </c>
      <c r="O790" s="11"/>
    </row>
    <row r="791" customFormat="false" ht="14.25" hidden="false" customHeight="true" outlineLevel="0" collapsed="false">
      <c r="C791" s="11"/>
      <c r="D791" s="11"/>
      <c r="E791" s="11"/>
      <c r="F791" s="11"/>
      <c r="G791" s="11"/>
      <c r="H791" s="11"/>
      <c r="I791" s="11"/>
      <c r="J791" s="11"/>
      <c r="K791" s="11"/>
      <c r="L791" s="11"/>
      <c r="M791" s="11"/>
      <c r="N791" s="44" t="n">
        <v>14.46</v>
      </c>
      <c r="O791" s="11"/>
    </row>
    <row r="792" customFormat="false" ht="14.25" hidden="false" customHeight="true" outlineLevel="0" collapsed="false">
      <c r="C792" s="11"/>
      <c r="D792" s="11"/>
      <c r="E792" s="11"/>
      <c r="F792" s="11"/>
      <c r="G792" s="11"/>
      <c r="H792" s="11"/>
      <c r="I792" s="11"/>
      <c r="J792" s="11"/>
      <c r="K792" s="11"/>
      <c r="L792" s="11"/>
      <c r="M792" s="11"/>
      <c r="N792" s="44" t="n">
        <v>14.16</v>
      </c>
      <c r="O792" s="11"/>
    </row>
    <row r="793" customFormat="false" ht="14.25" hidden="false" customHeight="true" outlineLevel="0" collapsed="false">
      <c r="C793" s="11"/>
      <c r="D793" s="11"/>
      <c r="E793" s="11"/>
      <c r="F793" s="11"/>
      <c r="G793" s="11"/>
      <c r="H793" s="11"/>
      <c r="I793" s="11"/>
      <c r="J793" s="11"/>
      <c r="K793" s="11"/>
      <c r="L793" s="11"/>
      <c r="M793" s="11"/>
      <c r="N793" s="44" t="n">
        <v>14.2</v>
      </c>
      <c r="O793" s="11"/>
    </row>
    <row r="794" customFormat="false" ht="14.25" hidden="false" customHeight="true" outlineLevel="0" collapsed="false">
      <c r="C794" s="11"/>
      <c r="D794" s="11"/>
      <c r="E794" s="11"/>
      <c r="F794" s="11"/>
      <c r="G794" s="11"/>
      <c r="H794" s="11"/>
      <c r="I794" s="11"/>
      <c r="J794" s="11"/>
      <c r="K794" s="11"/>
      <c r="L794" s="11"/>
      <c r="M794" s="11"/>
      <c r="N794" s="44" t="n">
        <v>13.87</v>
      </c>
      <c r="O794" s="11"/>
    </row>
    <row r="795" customFormat="false" ht="14.25" hidden="false" customHeight="true" outlineLevel="0" collapsed="false">
      <c r="C795" s="11"/>
      <c r="D795" s="11"/>
      <c r="E795" s="11"/>
      <c r="F795" s="11"/>
      <c r="G795" s="11"/>
      <c r="H795" s="11"/>
      <c r="I795" s="11"/>
      <c r="J795" s="11"/>
      <c r="K795" s="11"/>
      <c r="L795" s="11"/>
      <c r="M795" s="11"/>
      <c r="N795" s="44" t="n">
        <v>13.68</v>
      </c>
      <c r="O795" s="11"/>
    </row>
    <row r="796" customFormat="false" ht="14.25" hidden="false" customHeight="true" outlineLevel="0" collapsed="false">
      <c r="C796" s="11"/>
      <c r="D796" s="11"/>
      <c r="E796" s="11"/>
      <c r="F796" s="11"/>
      <c r="G796" s="11"/>
      <c r="H796" s="11"/>
      <c r="I796" s="11"/>
      <c r="J796" s="11"/>
      <c r="K796" s="11"/>
      <c r="L796" s="11"/>
      <c r="M796" s="11"/>
      <c r="N796" s="44" t="n">
        <v>13.56</v>
      </c>
      <c r="O796" s="11"/>
    </row>
    <row r="797" customFormat="false" ht="14.25" hidden="false" customHeight="true" outlineLevel="0" collapsed="false">
      <c r="C797" s="11"/>
      <c r="D797" s="11"/>
      <c r="E797" s="11"/>
      <c r="F797" s="11"/>
      <c r="G797" s="11"/>
      <c r="H797" s="11"/>
      <c r="I797" s="11"/>
      <c r="J797" s="11"/>
      <c r="K797" s="11"/>
      <c r="L797" s="11"/>
      <c r="M797" s="11"/>
      <c r="N797" s="44" t="n">
        <v>13.43</v>
      </c>
      <c r="O797" s="11"/>
    </row>
    <row r="798" customFormat="false" ht="14.25" hidden="false" customHeight="true" outlineLevel="0" collapsed="false">
      <c r="C798" s="11"/>
      <c r="D798" s="11"/>
      <c r="E798" s="11"/>
      <c r="F798" s="11"/>
      <c r="G798" s="11"/>
      <c r="H798" s="11"/>
      <c r="I798" s="11"/>
      <c r="J798" s="11"/>
      <c r="K798" s="11"/>
      <c r="L798" s="11"/>
      <c r="M798" s="11"/>
      <c r="N798" s="44" t="n">
        <v>13.43</v>
      </c>
      <c r="O798" s="11"/>
    </row>
    <row r="799" customFormat="false" ht="14.25" hidden="false" customHeight="true" outlineLevel="0" collapsed="false">
      <c r="C799" s="11"/>
      <c r="D799" s="11"/>
      <c r="E799" s="11"/>
      <c r="F799" s="11"/>
      <c r="G799" s="11"/>
      <c r="H799" s="11"/>
      <c r="I799" s="11"/>
      <c r="J799" s="11"/>
      <c r="K799" s="11"/>
      <c r="L799" s="11"/>
      <c r="M799" s="11"/>
      <c r="N799" s="44" t="n">
        <v>14.09</v>
      </c>
      <c r="O799" s="11"/>
    </row>
    <row r="800" customFormat="false" ht="14.25" hidden="false" customHeight="true" outlineLevel="0" collapsed="false">
      <c r="C800" s="11"/>
      <c r="D800" s="11"/>
      <c r="E800" s="11"/>
      <c r="F800" s="11"/>
      <c r="G800" s="11"/>
      <c r="H800" s="11"/>
      <c r="I800" s="11"/>
      <c r="J800" s="11"/>
      <c r="K800" s="11"/>
      <c r="L800" s="11"/>
      <c r="M800" s="11"/>
      <c r="N800" s="44" t="n">
        <v>14.18</v>
      </c>
      <c r="O800" s="11"/>
    </row>
    <row r="801" customFormat="false" ht="14.25" hidden="false" customHeight="true" outlineLevel="0" collapsed="false">
      <c r="C801" s="11"/>
      <c r="D801" s="11"/>
      <c r="E801" s="11"/>
      <c r="F801" s="11"/>
      <c r="G801" s="11"/>
      <c r="H801" s="11"/>
      <c r="I801" s="11"/>
      <c r="J801" s="11"/>
      <c r="K801" s="11"/>
      <c r="L801" s="11"/>
      <c r="M801" s="11"/>
      <c r="N801" s="44" t="n">
        <v>13.97</v>
      </c>
      <c r="O801" s="11"/>
    </row>
    <row r="802" customFormat="false" ht="14.25" hidden="false" customHeight="true" outlineLevel="0" collapsed="false">
      <c r="C802" s="11"/>
      <c r="D802" s="11"/>
      <c r="E802" s="11"/>
      <c r="F802" s="11"/>
      <c r="G802" s="11"/>
      <c r="H802" s="11"/>
      <c r="I802" s="11"/>
      <c r="J802" s="11"/>
      <c r="K802" s="11"/>
      <c r="L802" s="11"/>
      <c r="M802" s="11"/>
      <c r="N802" s="44" t="n">
        <v>13.9</v>
      </c>
      <c r="O802" s="11"/>
    </row>
    <row r="803" customFormat="false" ht="14.25" hidden="false" customHeight="true" outlineLevel="0" collapsed="false">
      <c r="C803" s="11"/>
      <c r="D803" s="11"/>
      <c r="E803" s="11"/>
      <c r="F803" s="11"/>
      <c r="G803" s="11"/>
      <c r="H803" s="11"/>
      <c r="I803" s="11"/>
      <c r="J803" s="11"/>
      <c r="K803" s="11"/>
      <c r="L803" s="11"/>
      <c r="M803" s="11"/>
      <c r="N803" s="44" t="n">
        <v>13.9</v>
      </c>
      <c r="O803" s="11"/>
    </row>
    <row r="804" customFormat="false" ht="14.25" hidden="false" customHeight="true" outlineLevel="0" collapsed="false">
      <c r="C804" s="11"/>
      <c r="D804" s="11"/>
      <c r="E804" s="11"/>
      <c r="F804" s="11"/>
      <c r="G804" s="11"/>
      <c r="H804" s="11"/>
      <c r="I804" s="11"/>
      <c r="J804" s="11"/>
      <c r="K804" s="11"/>
      <c r="L804" s="11"/>
      <c r="M804" s="11"/>
      <c r="N804" s="44" t="n">
        <v>13.88</v>
      </c>
      <c r="O804" s="11"/>
    </row>
    <row r="805" customFormat="false" ht="14.25" hidden="false" customHeight="true" outlineLevel="0" collapsed="false">
      <c r="C805" s="11"/>
      <c r="D805" s="11"/>
      <c r="E805" s="11"/>
      <c r="F805" s="11"/>
      <c r="G805" s="11"/>
      <c r="H805" s="11"/>
      <c r="I805" s="11"/>
      <c r="J805" s="11"/>
      <c r="K805" s="11"/>
      <c r="L805" s="11"/>
      <c r="M805" s="11"/>
      <c r="N805" s="44" t="n">
        <v>13.34</v>
      </c>
      <c r="O805" s="11"/>
    </row>
    <row r="806" customFormat="false" ht="14.25" hidden="false" customHeight="true" outlineLevel="0" collapsed="false">
      <c r="C806" s="11"/>
      <c r="D806" s="11"/>
      <c r="E806" s="11"/>
      <c r="F806" s="11"/>
      <c r="G806" s="11"/>
      <c r="H806" s="11"/>
      <c r="I806" s="11"/>
      <c r="J806" s="11"/>
      <c r="K806" s="11"/>
      <c r="L806" s="11"/>
      <c r="M806" s="11"/>
      <c r="N806" s="44" t="n">
        <v>13.95</v>
      </c>
      <c r="O806" s="11"/>
    </row>
    <row r="807" customFormat="false" ht="14.25" hidden="false" customHeight="true" outlineLevel="0" collapsed="false">
      <c r="C807" s="11"/>
      <c r="D807" s="11"/>
      <c r="E807" s="11"/>
      <c r="F807" s="11"/>
      <c r="G807" s="11"/>
      <c r="H807" s="11"/>
      <c r="I807" s="11"/>
      <c r="J807" s="11"/>
      <c r="K807" s="11"/>
      <c r="L807" s="11"/>
      <c r="M807" s="11"/>
      <c r="N807" s="44" t="n">
        <v>13.79</v>
      </c>
      <c r="O807" s="11"/>
    </row>
    <row r="808" customFormat="false" ht="14.25" hidden="false" customHeight="true" outlineLevel="0" collapsed="false">
      <c r="C808" s="11"/>
      <c r="D808" s="11"/>
      <c r="E808" s="11"/>
      <c r="F808" s="11"/>
      <c r="G808" s="11"/>
      <c r="H808" s="11"/>
      <c r="I808" s="11"/>
      <c r="J808" s="11"/>
      <c r="K808" s="11"/>
      <c r="L808" s="11"/>
      <c r="M808" s="11"/>
      <c r="N808" s="44" t="n">
        <v>14.1</v>
      </c>
      <c r="O808" s="11"/>
    </row>
    <row r="809" customFormat="false" ht="14.25" hidden="false" customHeight="true" outlineLevel="0" collapsed="false">
      <c r="C809" s="11"/>
      <c r="D809" s="11"/>
      <c r="E809" s="11"/>
      <c r="F809" s="11"/>
      <c r="G809" s="11"/>
      <c r="H809" s="11"/>
      <c r="I809" s="11"/>
      <c r="J809" s="11"/>
      <c r="K809" s="11"/>
      <c r="L809" s="11"/>
      <c r="M809" s="11"/>
      <c r="N809" s="44" t="n">
        <v>14.08</v>
      </c>
      <c r="O809" s="11"/>
    </row>
    <row r="810" customFormat="false" ht="14.25" hidden="false" customHeight="true" outlineLevel="0" collapsed="false">
      <c r="C810" s="11"/>
      <c r="D810" s="11"/>
      <c r="E810" s="11"/>
      <c r="F810" s="11"/>
      <c r="G810" s="11"/>
      <c r="H810" s="11"/>
      <c r="I810" s="11"/>
      <c r="J810" s="11"/>
      <c r="K810" s="11"/>
      <c r="L810" s="11"/>
      <c r="M810" s="11"/>
      <c r="N810" s="44" t="n">
        <v>14.2</v>
      </c>
      <c r="O810" s="11"/>
    </row>
    <row r="811" customFormat="false" ht="14.25" hidden="false" customHeight="true" outlineLevel="0" collapsed="false">
      <c r="C811" s="11"/>
      <c r="D811" s="11"/>
      <c r="E811" s="11"/>
      <c r="F811" s="11"/>
      <c r="G811" s="11"/>
      <c r="H811" s="11"/>
      <c r="I811" s="11"/>
      <c r="J811" s="11"/>
      <c r="K811" s="11"/>
      <c r="L811" s="11"/>
      <c r="M811" s="11"/>
      <c r="N811" s="44" t="n">
        <v>14.14</v>
      </c>
      <c r="O811" s="11"/>
    </row>
    <row r="812" customFormat="false" ht="14.25" hidden="false" customHeight="true" outlineLevel="0" collapsed="false">
      <c r="C812" s="11"/>
      <c r="D812" s="11"/>
      <c r="E812" s="11"/>
      <c r="F812" s="11"/>
      <c r="G812" s="11"/>
      <c r="H812" s="11"/>
      <c r="I812" s="11"/>
      <c r="J812" s="11"/>
      <c r="K812" s="11"/>
      <c r="L812" s="11"/>
      <c r="M812" s="11"/>
      <c r="N812" s="44" t="n">
        <v>14.01</v>
      </c>
      <c r="O812" s="11"/>
    </row>
    <row r="813" customFormat="false" ht="14.25" hidden="false" customHeight="true" outlineLevel="0" collapsed="false">
      <c r="C813" s="11"/>
      <c r="D813" s="11"/>
      <c r="E813" s="11"/>
      <c r="F813" s="11"/>
      <c r="G813" s="11"/>
      <c r="H813" s="11"/>
      <c r="I813" s="11"/>
      <c r="J813" s="11"/>
      <c r="K813" s="11"/>
      <c r="L813" s="11"/>
      <c r="M813" s="11"/>
      <c r="N813" s="44" t="n">
        <v>13.96</v>
      </c>
      <c r="O813" s="11"/>
    </row>
    <row r="814" customFormat="false" ht="14.25" hidden="false" customHeight="true" outlineLevel="0" collapsed="false">
      <c r="C814" s="11"/>
      <c r="D814" s="11"/>
      <c r="E814" s="11"/>
      <c r="F814" s="11"/>
      <c r="G814" s="11"/>
      <c r="H814" s="11"/>
      <c r="I814" s="11"/>
      <c r="J814" s="11"/>
      <c r="K814" s="11"/>
      <c r="L814" s="11"/>
      <c r="M814" s="11"/>
      <c r="N814" s="44" t="n">
        <v>13.98</v>
      </c>
      <c r="O814" s="11"/>
    </row>
    <row r="815" customFormat="false" ht="14.25" hidden="false" customHeight="true" outlineLevel="0" collapsed="false">
      <c r="C815" s="11"/>
      <c r="D815" s="11"/>
      <c r="E815" s="11"/>
      <c r="F815" s="11"/>
      <c r="G815" s="11"/>
      <c r="H815" s="11"/>
      <c r="I815" s="11"/>
      <c r="J815" s="11"/>
      <c r="K815" s="11"/>
      <c r="L815" s="11"/>
      <c r="M815" s="11"/>
      <c r="N815" s="44" t="n">
        <v>14.23</v>
      </c>
      <c r="O815" s="11"/>
    </row>
    <row r="816" customFormat="false" ht="14.25" hidden="false" customHeight="true" outlineLevel="0" collapsed="false">
      <c r="C816" s="11"/>
      <c r="D816" s="11"/>
      <c r="E816" s="11"/>
      <c r="F816" s="11"/>
      <c r="G816" s="11"/>
      <c r="H816" s="11"/>
      <c r="I816" s="11"/>
      <c r="J816" s="11"/>
      <c r="K816" s="11"/>
      <c r="L816" s="11"/>
      <c r="M816" s="11"/>
      <c r="N816" s="44" t="n">
        <v>14.43</v>
      </c>
      <c r="O816" s="11"/>
    </row>
    <row r="817" customFormat="false" ht="14.25" hidden="false" customHeight="true" outlineLevel="0" collapsed="false">
      <c r="C817" s="11"/>
      <c r="D817" s="11"/>
      <c r="E817" s="11"/>
      <c r="F817" s="11"/>
      <c r="G817" s="11"/>
      <c r="H817" s="11"/>
      <c r="I817" s="11"/>
      <c r="J817" s="11"/>
      <c r="K817" s="11"/>
      <c r="L817" s="11"/>
      <c r="M817" s="11"/>
      <c r="N817" s="44" t="n">
        <v>14.43</v>
      </c>
      <c r="O817" s="11"/>
    </row>
    <row r="818" customFormat="false" ht="14.25" hidden="false" customHeight="true" outlineLevel="0" collapsed="false">
      <c r="C818" s="11"/>
      <c r="D818" s="11"/>
      <c r="E818" s="11"/>
      <c r="F818" s="11"/>
      <c r="G818" s="11"/>
      <c r="H818" s="11"/>
      <c r="I818" s="11"/>
      <c r="J818" s="11"/>
      <c r="K818" s="11"/>
      <c r="L818" s="11"/>
      <c r="M818" s="11"/>
      <c r="N818" s="44" t="n">
        <v>14.16</v>
      </c>
      <c r="O818" s="11"/>
    </row>
    <row r="819" customFormat="false" ht="14.25" hidden="false" customHeight="true" outlineLevel="0" collapsed="false">
      <c r="C819" s="11"/>
      <c r="D819" s="11"/>
      <c r="E819" s="11"/>
      <c r="F819" s="11"/>
      <c r="G819" s="11"/>
      <c r="H819" s="11"/>
      <c r="I819" s="11"/>
      <c r="J819" s="11"/>
      <c r="K819" s="11"/>
      <c r="L819" s="11"/>
      <c r="M819" s="11"/>
      <c r="N819" s="44" t="n">
        <v>14.24</v>
      </c>
      <c r="O819" s="11"/>
    </row>
    <row r="820" customFormat="false" ht="14.25" hidden="false" customHeight="true" outlineLevel="0" collapsed="false">
      <c r="C820" s="11"/>
      <c r="D820" s="11"/>
      <c r="E820" s="11"/>
      <c r="F820" s="11"/>
      <c r="G820" s="11"/>
      <c r="H820" s="11"/>
      <c r="I820" s="11"/>
      <c r="J820" s="11"/>
      <c r="K820" s="11"/>
      <c r="L820" s="11"/>
      <c r="M820" s="11"/>
      <c r="N820" s="44" t="n">
        <v>14.34</v>
      </c>
      <c r="O820" s="11"/>
    </row>
    <row r="821" customFormat="false" ht="14.25" hidden="false" customHeight="true" outlineLevel="0" collapsed="false">
      <c r="C821" s="11"/>
      <c r="D821" s="11"/>
      <c r="E821" s="11"/>
      <c r="F821" s="11"/>
      <c r="G821" s="11"/>
      <c r="H821" s="11"/>
      <c r="I821" s="11"/>
      <c r="J821" s="11"/>
      <c r="K821" s="11"/>
      <c r="L821" s="11"/>
      <c r="M821" s="11"/>
      <c r="N821" s="44" t="n">
        <v>14.78</v>
      </c>
      <c r="O821" s="11"/>
    </row>
    <row r="822" customFormat="false" ht="14.25" hidden="false" customHeight="true" outlineLevel="0" collapsed="false">
      <c r="C822" s="11"/>
      <c r="D822" s="11"/>
      <c r="E822" s="11"/>
      <c r="F822" s="11"/>
      <c r="G822" s="11"/>
      <c r="H822" s="11"/>
      <c r="I822" s="11"/>
      <c r="J822" s="11"/>
      <c r="K822" s="11"/>
      <c r="L822" s="11"/>
      <c r="M822" s="11"/>
      <c r="N822" s="44" t="n">
        <v>14.9</v>
      </c>
      <c r="O822" s="11"/>
    </row>
    <row r="823" customFormat="false" ht="14.25" hidden="false" customHeight="true" outlineLevel="0" collapsed="false">
      <c r="C823" s="11"/>
      <c r="D823" s="11"/>
      <c r="E823" s="11"/>
      <c r="F823" s="11"/>
      <c r="G823" s="11"/>
      <c r="H823" s="11"/>
      <c r="I823" s="11"/>
      <c r="J823" s="11"/>
      <c r="K823" s="11"/>
      <c r="L823" s="11"/>
      <c r="M823" s="11"/>
      <c r="N823" s="44" t="n">
        <v>15.17</v>
      </c>
      <c r="O823" s="11"/>
    </row>
    <row r="824" customFormat="false" ht="14.25" hidden="false" customHeight="true" outlineLevel="0" collapsed="false">
      <c r="C824" s="11"/>
      <c r="D824" s="11"/>
      <c r="E824" s="11"/>
      <c r="F824" s="11"/>
      <c r="G824" s="11"/>
      <c r="H824" s="11"/>
      <c r="I824" s="11"/>
      <c r="J824" s="11"/>
      <c r="K824" s="11"/>
      <c r="L824" s="11"/>
      <c r="M824" s="11"/>
      <c r="N824" s="44" t="n">
        <v>15.3</v>
      </c>
      <c r="O824" s="11"/>
    </row>
    <row r="825" customFormat="false" ht="14.25" hidden="false" customHeight="true" outlineLevel="0" collapsed="false">
      <c r="C825" s="11"/>
      <c r="D825" s="11"/>
      <c r="E825" s="11"/>
      <c r="F825" s="11"/>
      <c r="G825" s="11"/>
      <c r="H825" s="11"/>
      <c r="I825" s="11"/>
      <c r="J825" s="11"/>
      <c r="K825" s="11"/>
      <c r="L825" s="11"/>
      <c r="M825" s="11"/>
      <c r="N825" s="44" t="n">
        <v>15.01</v>
      </c>
      <c r="O825" s="11"/>
    </row>
    <row r="826" customFormat="false" ht="14.25" hidden="false" customHeight="true" outlineLevel="0" collapsed="false">
      <c r="C826" s="11"/>
      <c r="D826" s="11"/>
      <c r="E826" s="11"/>
      <c r="F826" s="11"/>
      <c r="G826" s="11"/>
      <c r="H826" s="11"/>
      <c r="I826" s="11"/>
      <c r="J826" s="11"/>
      <c r="K826" s="11"/>
      <c r="L826" s="11"/>
      <c r="M826" s="11"/>
      <c r="N826" s="44" t="n">
        <v>14.95</v>
      </c>
      <c r="O826" s="11"/>
    </row>
    <row r="827" customFormat="false" ht="14.25" hidden="false" customHeight="true" outlineLevel="0" collapsed="false">
      <c r="C827" s="11"/>
      <c r="D827" s="11"/>
      <c r="E827" s="11"/>
      <c r="F827" s="11"/>
      <c r="G827" s="11"/>
      <c r="H827" s="11"/>
      <c r="I827" s="11"/>
      <c r="J827" s="11"/>
      <c r="K827" s="11"/>
      <c r="L827" s="11"/>
      <c r="M827" s="11"/>
      <c r="N827" s="44" t="n">
        <v>15.01</v>
      </c>
      <c r="O827" s="11"/>
    </row>
    <row r="828" customFormat="false" ht="14.25" hidden="false" customHeight="true" outlineLevel="0" collapsed="false">
      <c r="C828" s="11"/>
      <c r="D828" s="11"/>
      <c r="E828" s="11"/>
      <c r="F828" s="11"/>
      <c r="G828" s="11"/>
      <c r="H828" s="11"/>
      <c r="I828" s="11"/>
      <c r="J828" s="11"/>
      <c r="K828" s="11"/>
      <c r="L828" s="11"/>
      <c r="M828" s="11"/>
      <c r="N828" s="44" t="n">
        <v>15.01</v>
      </c>
      <c r="O828" s="11"/>
    </row>
    <row r="829" customFormat="false" ht="14.25" hidden="false" customHeight="true" outlineLevel="0" collapsed="false">
      <c r="C829" s="11"/>
      <c r="D829" s="11"/>
      <c r="E829" s="11"/>
      <c r="F829" s="11"/>
      <c r="G829" s="11"/>
      <c r="H829" s="11"/>
      <c r="I829" s="11"/>
      <c r="J829" s="11"/>
      <c r="K829" s="11"/>
      <c r="L829" s="11"/>
      <c r="M829" s="11"/>
      <c r="N829" s="44" t="n">
        <v>14.79</v>
      </c>
      <c r="O829" s="11"/>
    </row>
    <row r="830" customFormat="false" ht="14.25" hidden="false" customHeight="true" outlineLevel="0" collapsed="false">
      <c r="C830" s="11"/>
      <c r="D830" s="11"/>
      <c r="E830" s="11"/>
      <c r="F830" s="11"/>
      <c r="G830" s="11"/>
      <c r="H830" s="11"/>
      <c r="I830" s="11"/>
      <c r="J830" s="11"/>
      <c r="K830" s="11"/>
      <c r="L830" s="11"/>
      <c r="M830" s="11"/>
      <c r="N830" s="44" t="n">
        <v>14.63</v>
      </c>
      <c r="O830" s="11"/>
    </row>
    <row r="831" customFormat="false" ht="14.25" hidden="false" customHeight="true" outlineLevel="0" collapsed="false">
      <c r="C831" s="11"/>
      <c r="D831" s="11"/>
      <c r="E831" s="11"/>
      <c r="F831" s="11"/>
      <c r="G831" s="11"/>
      <c r="H831" s="11"/>
      <c r="I831" s="11"/>
      <c r="J831" s="11"/>
      <c r="K831" s="11"/>
      <c r="L831" s="11"/>
      <c r="M831" s="11"/>
      <c r="N831" s="44" t="n">
        <v>14.44</v>
      </c>
      <c r="O831" s="11"/>
    </row>
    <row r="832" customFormat="false" ht="14.25" hidden="false" customHeight="true" outlineLevel="0" collapsed="false">
      <c r="C832" s="11"/>
      <c r="D832" s="11"/>
      <c r="E832" s="11"/>
      <c r="F832" s="11"/>
      <c r="G832" s="11"/>
      <c r="H832" s="11"/>
      <c r="I832" s="11"/>
      <c r="J832" s="11"/>
      <c r="K832" s="11"/>
      <c r="L832" s="11"/>
      <c r="M832" s="11"/>
      <c r="N832" s="44" t="n">
        <v>14.56</v>
      </c>
      <c r="O832" s="11"/>
    </row>
    <row r="833" customFormat="false" ht="14.25" hidden="false" customHeight="true" outlineLevel="0" collapsed="false">
      <c r="C833" s="11"/>
      <c r="D833" s="11"/>
      <c r="E833" s="11"/>
      <c r="F833" s="11"/>
      <c r="G833" s="11"/>
      <c r="H833" s="11"/>
      <c r="I833" s="11"/>
      <c r="J833" s="11"/>
      <c r="K833" s="11"/>
      <c r="L833" s="11"/>
      <c r="M833" s="11"/>
      <c r="N833" s="44" t="n">
        <v>14.75</v>
      </c>
      <c r="O833" s="11"/>
    </row>
    <row r="834" customFormat="false" ht="14.25" hidden="false" customHeight="true" outlineLevel="0" collapsed="false">
      <c r="C834" s="11"/>
      <c r="D834" s="11"/>
      <c r="E834" s="11"/>
      <c r="F834" s="11"/>
      <c r="G834" s="11"/>
      <c r="H834" s="11"/>
      <c r="I834" s="11"/>
      <c r="J834" s="11"/>
      <c r="K834" s="11"/>
      <c r="L834" s="11"/>
      <c r="M834" s="11"/>
      <c r="N834" s="44" t="n">
        <v>14.86</v>
      </c>
      <c r="O834" s="11"/>
    </row>
    <row r="835" customFormat="false" ht="14.25" hidden="false" customHeight="true" outlineLevel="0" collapsed="false">
      <c r="C835" s="11"/>
      <c r="D835" s="11"/>
      <c r="E835" s="11"/>
      <c r="F835" s="11"/>
      <c r="G835" s="11"/>
      <c r="H835" s="11"/>
      <c r="I835" s="11"/>
      <c r="J835" s="11"/>
      <c r="K835" s="11"/>
      <c r="L835" s="11"/>
      <c r="M835" s="11"/>
      <c r="N835" s="44" t="n">
        <v>15.12</v>
      </c>
      <c r="O835" s="11"/>
    </row>
    <row r="836" customFormat="false" ht="14.25" hidden="false" customHeight="true" outlineLevel="0" collapsed="false">
      <c r="C836" s="11"/>
      <c r="D836" s="11"/>
      <c r="E836" s="11"/>
      <c r="F836" s="11"/>
      <c r="G836" s="11"/>
      <c r="H836" s="11"/>
      <c r="I836" s="11"/>
      <c r="J836" s="11"/>
      <c r="K836" s="11"/>
      <c r="L836" s="11"/>
      <c r="M836" s="11"/>
      <c r="N836" s="44" t="n">
        <v>15.38</v>
      </c>
      <c r="O836" s="11"/>
    </row>
    <row r="837" customFormat="false" ht="14.25" hidden="false" customHeight="true" outlineLevel="0" collapsed="false">
      <c r="C837" s="11"/>
      <c r="D837" s="11"/>
      <c r="E837" s="11"/>
      <c r="F837" s="11"/>
      <c r="G837" s="11"/>
      <c r="H837" s="11"/>
      <c r="I837" s="11"/>
      <c r="J837" s="11"/>
      <c r="K837" s="11"/>
      <c r="L837" s="11"/>
      <c r="M837" s="11"/>
      <c r="N837" s="44" t="n">
        <v>15.38</v>
      </c>
      <c r="O837" s="11"/>
    </row>
    <row r="838" customFormat="false" ht="14.25" hidden="false" customHeight="true" outlineLevel="0" collapsed="false">
      <c r="C838" s="11"/>
      <c r="D838" s="11"/>
      <c r="E838" s="11"/>
      <c r="F838" s="11"/>
      <c r="G838" s="11"/>
      <c r="H838" s="11"/>
      <c r="I838" s="11"/>
      <c r="J838" s="11"/>
      <c r="K838" s="11"/>
      <c r="L838" s="11"/>
      <c r="M838" s="11"/>
      <c r="N838" s="44" t="n">
        <v>15.46</v>
      </c>
      <c r="O838" s="11"/>
    </row>
    <row r="839" customFormat="false" ht="14.25" hidden="false" customHeight="true" outlineLevel="0" collapsed="false">
      <c r="C839" s="11"/>
      <c r="D839" s="11"/>
      <c r="E839" s="11"/>
      <c r="F839" s="11"/>
      <c r="G839" s="11"/>
      <c r="H839" s="11"/>
      <c r="I839" s="11"/>
      <c r="J839" s="11"/>
      <c r="K839" s="11"/>
      <c r="L839" s="11"/>
      <c r="M839" s="11"/>
      <c r="N839" s="44" t="n">
        <v>15.66</v>
      </c>
      <c r="O839" s="11"/>
    </row>
    <row r="840" customFormat="false" ht="14.25" hidden="false" customHeight="true" outlineLevel="0" collapsed="false">
      <c r="C840" s="11"/>
      <c r="D840" s="11"/>
      <c r="E840" s="11"/>
      <c r="F840" s="11"/>
      <c r="G840" s="11"/>
      <c r="H840" s="11"/>
      <c r="I840" s="11"/>
      <c r="J840" s="11"/>
      <c r="K840" s="11"/>
      <c r="L840" s="11"/>
      <c r="M840" s="11"/>
      <c r="N840" s="44" t="n">
        <v>15.25</v>
      </c>
      <c r="O840" s="11"/>
    </row>
    <row r="841" customFormat="false" ht="14.25" hidden="false" customHeight="true" outlineLevel="0" collapsed="false">
      <c r="C841" s="11"/>
      <c r="D841" s="11"/>
      <c r="E841" s="11"/>
      <c r="F841" s="11"/>
      <c r="G841" s="11"/>
      <c r="H841" s="11"/>
      <c r="I841" s="11"/>
      <c r="J841" s="11"/>
      <c r="K841" s="11"/>
      <c r="L841" s="11"/>
      <c r="M841" s="11"/>
      <c r="N841" s="44" t="n">
        <v>15.36</v>
      </c>
      <c r="O841" s="11"/>
    </row>
    <row r="842" customFormat="false" ht="14.25" hidden="false" customHeight="true" outlineLevel="0" collapsed="false">
      <c r="C842" s="11"/>
      <c r="D842" s="11"/>
      <c r="E842" s="11"/>
      <c r="F842" s="11"/>
      <c r="G842" s="11"/>
      <c r="H842" s="11"/>
      <c r="I842" s="11"/>
      <c r="J842" s="11"/>
      <c r="K842" s="11"/>
      <c r="L842" s="11"/>
      <c r="M842" s="11"/>
      <c r="N842" s="44" t="n">
        <v>15.54</v>
      </c>
      <c r="O842" s="11"/>
    </row>
    <row r="843" customFormat="false" ht="14.25" hidden="false" customHeight="true" outlineLevel="0" collapsed="false">
      <c r="C843" s="11"/>
      <c r="D843" s="11"/>
      <c r="E843" s="11"/>
      <c r="F843" s="11"/>
      <c r="G843" s="11"/>
      <c r="H843" s="11"/>
      <c r="I843" s="11"/>
      <c r="J843" s="11"/>
      <c r="K843" s="11"/>
      <c r="L843" s="11"/>
      <c r="M843" s="11"/>
      <c r="N843" s="44" t="n">
        <v>15.47</v>
      </c>
      <c r="O843" s="11"/>
    </row>
    <row r="844" customFormat="false" ht="14.25" hidden="false" customHeight="true" outlineLevel="0" collapsed="false">
      <c r="C844" s="11"/>
      <c r="D844" s="11"/>
      <c r="E844" s="11"/>
      <c r="F844" s="11"/>
      <c r="G844" s="11"/>
      <c r="H844" s="11"/>
      <c r="I844" s="11"/>
      <c r="J844" s="11"/>
      <c r="K844" s="11"/>
      <c r="L844" s="11"/>
      <c r="M844" s="11"/>
      <c r="N844" s="44" t="n">
        <v>15.53</v>
      </c>
      <c r="O844" s="11"/>
    </row>
    <row r="845" customFormat="false" ht="14.25" hidden="false" customHeight="true" outlineLevel="0" collapsed="false">
      <c r="C845" s="11"/>
      <c r="D845" s="11"/>
      <c r="E845" s="11"/>
      <c r="F845" s="11"/>
      <c r="G845" s="11"/>
      <c r="H845" s="11"/>
      <c r="I845" s="11"/>
      <c r="J845" s="11"/>
      <c r="K845" s="11"/>
      <c r="L845" s="11"/>
      <c r="M845" s="11"/>
      <c r="N845" s="44" t="n">
        <v>15.72</v>
      </c>
      <c r="O845" s="11"/>
    </row>
    <row r="846" customFormat="false" ht="14.25" hidden="false" customHeight="true" outlineLevel="0" collapsed="false">
      <c r="C846" s="11"/>
      <c r="D846" s="11"/>
      <c r="E846" s="11"/>
      <c r="F846" s="11"/>
      <c r="G846" s="11"/>
      <c r="H846" s="11"/>
      <c r="I846" s="11"/>
      <c r="J846" s="11"/>
      <c r="K846" s="11"/>
      <c r="L846" s="11"/>
      <c r="M846" s="11"/>
      <c r="N846" s="44" t="n">
        <v>15.35</v>
      </c>
      <c r="O846" s="11"/>
    </row>
    <row r="847" customFormat="false" ht="14.25" hidden="false" customHeight="true" outlineLevel="0" collapsed="false">
      <c r="C847" s="11"/>
      <c r="D847" s="11"/>
      <c r="E847" s="11"/>
      <c r="F847" s="11"/>
      <c r="G847" s="11"/>
      <c r="H847" s="11"/>
      <c r="I847" s="11"/>
      <c r="J847" s="11"/>
      <c r="K847" s="11"/>
      <c r="L847" s="11"/>
      <c r="M847" s="11"/>
      <c r="N847" s="44" t="n">
        <v>15.32</v>
      </c>
      <c r="O847" s="11"/>
    </row>
    <row r="848" customFormat="false" ht="14.25" hidden="false" customHeight="true" outlineLevel="0" collapsed="false">
      <c r="C848" s="11"/>
      <c r="D848" s="11"/>
      <c r="E848" s="11"/>
      <c r="F848" s="11"/>
      <c r="G848" s="11"/>
      <c r="H848" s="11"/>
      <c r="I848" s="11"/>
      <c r="J848" s="11"/>
      <c r="K848" s="11"/>
      <c r="L848" s="11"/>
      <c r="M848" s="11"/>
      <c r="N848" s="44" t="n">
        <v>15.16</v>
      </c>
      <c r="O848" s="11"/>
    </row>
    <row r="849" customFormat="false" ht="14.25" hidden="false" customHeight="true" outlineLevel="0" collapsed="false">
      <c r="C849" s="11"/>
      <c r="D849" s="11"/>
      <c r="E849" s="11"/>
      <c r="F849" s="11"/>
      <c r="G849" s="11"/>
      <c r="H849" s="11"/>
      <c r="I849" s="11"/>
      <c r="J849" s="11"/>
      <c r="K849" s="11"/>
      <c r="L849" s="11"/>
      <c r="M849" s="11"/>
      <c r="N849" s="44" t="n">
        <v>14.9</v>
      </c>
      <c r="O849" s="11"/>
    </row>
    <row r="850" customFormat="false" ht="14.25" hidden="false" customHeight="true" outlineLevel="0" collapsed="false">
      <c r="C850" s="11"/>
      <c r="D850" s="11"/>
      <c r="E850" s="11"/>
      <c r="F850" s="11"/>
      <c r="G850" s="11"/>
      <c r="H850" s="11"/>
      <c r="I850" s="11"/>
      <c r="J850" s="11"/>
      <c r="K850" s="11"/>
      <c r="L850" s="11"/>
      <c r="M850" s="11"/>
      <c r="N850" s="44" t="n">
        <v>14.91</v>
      </c>
      <c r="O850" s="11"/>
    </row>
    <row r="851" customFormat="false" ht="14.25" hidden="false" customHeight="true" outlineLevel="0" collapsed="false">
      <c r="C851" s="11"/>
      <c r="D851" s="11"/>
      <c r="E851" s="11"/>
      <c r="F851" s="11"/>
      <c r="G851" s="11"/>
      <c r="H851" s="11"/>
      <c r="I851" s="11"/>
      <c r="J851" s="11"/>
      <c r="K851" s="11"/>
      <c r="L851" s="11"/>
      <c r="M851" s="11"/>
      <c r="N851" s="44" t="n">
        <v>14.86</v>
      </c>
      <c r="O851" s="11"/>
    </row>
    <row r="852" customFormat="false" ht="14.25" hidden="false" customHeight="true" outlineLevel="0" collapsed="false">
      <c r="C852" s="11"/>
      <c r="D852" s="11"/>
      <c r="E852" s="11"/>
      <c r="F852" s="11"/>
      <c r="G852" s="11"/>
      <c r="H852" s="11"/>
      <c r="I852" s="11"/>
      <c r="J852" s="11"/>
      <c r="K852" s="11"/>
      <c r="L852" s="11"/>
      <c r="M852" s="11"/>
      <c r="N852" s="44" t="n">
        <v>15.01</v>
      </c>
      <c r="O852" s="11"/>
    </row>
    <row r="853" customFormat="false" ht="14.25" hidden="false" customHeight="true" outlineLevel="0" collapsed="false">
      <c r="C853" s="11"/>
      <c r="D853" s="11"/>
      <c r="E853" s="11"/>
      <c r="F853" s="11"/>
      <c r="G853" s="11"/>
      <c r="H853" s="11"/>
      <c r="I853" s="11"/>
      <c r="J853" s="11"/>
      <c r="K853" s="11"/>
      <c r="L853" s="11"/>
      <c r="M853" s="11"/>
      <c r="N853" s="44" t="n">
        <v>15.01</v>
      </c>
      <c r="O853" s="11"/>
    </row>
    <row r="854" customFormat="false" ht="14.25" hidden="false" customHeight="true" outlineLevel="0" collapsed="false">
      <c r="C854" s="11"/>
      <c r="D854" s="11"/>
      <c r="E854" s="11"/>
      <c r="F854" s="11"/>
      <c r="G854" s="11"/>
      <c r="H854" s="11"/>
      <c r="I854" s="11"/>
      <c r="J854" s="11"/>
      <c r="K854" s="11"/>
      <c r="L854" s="11"/>
      <c r="M854" s="11"/>
      <c r="N854" s="44" t="n">
        <v>15.13</v>
      </c>
      <c r="O854" s="11"/>
    </row>
    <row r="855" customFormat="false" ht="14.25" hidden="false" customHeight="true" outlineLevel="0" collapsed="false">
      <c r="C855" s="11"/>
      <c r="D855" s="11"/>
      <c r="E855" s="11"/>
      <c r="F855" s="11"/>
      <c r="G855" s="11"/>
      <c r="H855" s="11"/>
      <c r="I855" s="11"/>
      <c r="J855" s="11"/>
      <c r="K855" s="11"/>
      <c r="L855" s="11"/>
      <c r="M855" s="11"/>
      <c r="N855" s="44" t="n">
        <v>14.88</v>
      </c>
      <c r="O855" s="11"/>
    </row>
    <row r="856" customFormat="false" ht="14.25" hidden="false" customHeight="true" outlineLevel="0" collapsed="false">
      <c r="C856" s="11"/>
      <c r="D856" s="11"/>
      <c r="E856" s="11"/>
      <c r="F856" s="11"/>
      <c r="G856" s="11"/>
      <c r="H856" s="11"/>
      <c r="I856" s="11"/>
      <c r="J856" s="11"/>
      <c r="K856" s="11"/>
      <c r="L856" s="11"/>
      <c r="M856" s="11"/>
      <c r="N856" s="44" t="n">
        <v>14.87</v>
      </c>
      <c r="O856" s="11"/>
    </row>
    <row r="857" customFormat="false" ht="14.25" hidden="false" customHeight="true" outlineLevel="0" collapsed="false">
      <c r="C857" s="11"/>
      <c r="D857" s="11"/>
      <c r="E857" s="11"/>
      <c r="F857" s="11"/>
      <c r="G857" s="11"/>
      <c r="H857" s="11"/>
      <c r="I857" s="11"/>
      <c r="J857" s="11"/>
      <c r="K857" s="11"/>
      <c r="L857" s="11"/>
      <c r="M857" s="11"/>
      <c r="N857" s="44" t="n">
        <v>15.14</v>
      </c>
      <c r="O857" s="11"/>
    </row>
    <row r="858" customFormat="false" ht="14.25" hidden="false" customHeight="true" outlineLevel="0" collapsed="false">
      <c r="C858" s="11"/>
      <c r="D858" s="11"/>
      <c r="E858" s="11"/>
      <c r="F858" s="11"/>
      <c r="G858" s="11"/>
      <c r="H858" s="11"/>
      <c r="I858" s="11"/>
      <c r="J858" s="11"/>
      <c r="K858" s="11"/>
      <c r="L858" s="11"/>
      <c r="M858" s="11"/>
      <c r="N858" s="44" t="n">
        <v>15.11</v>
      </c>
      <c r="O858" s="11"/>
    </row>
    <row r="859" customFormat="false" ht="14.25" hidden="false" customHeight="true" outlineLevel="0" collapsed="false">
      <c r="C859" s="11"/>
      <c r="D859" s="11"/>
      <c r="E859" s="11"/>
      <c r="F859" s="11"/>
      <c r="G859" s="11"/>
      <c r="H859" s="11"/>
      <c r="I859" s="11"/>
      <c r="J859" s="11"/>
      <c r="K859" s="11"/>
      <c r="L859" s="11"/>
      <c r="M859" s="11"/>
      <c r="N859" s="44" t="n">
        <v>15.06</v>
      </c>
      <c r="O859" s="11"/>
    </row>
    <row r="860" customFormat="false" ht="14.25" hidden="false" customHeight="true" outlineLevel="0" collapsed="false">
      <c r="C860" s="11"/>
      <c r="D860" s="11"/>
      <c r="E860" s="11"/>
      <c r="F860" s="11"/>
      <c r="G860" s="11"/>
      <c r="H860" s="11"/>
      <c r="I860" s="11"/>
      <c r="J860" s="11"/>
      <c r="K860" s="11"/>
      <c r="L860" s="11"/>
      <c r="M860" s="11"/>
      <c r="N860" s="44" t="n">
        <v>15.36</v>
      </c>
      <c r="O860" s="11"/>
    </row>
    <row r="861" customFormat="false" ht="14.25" hidden="false" customHeight="true" outlineLevel="0" collapsed="false">
      <c r="C861" s="11"/>
      <c r="D861" s="11"/>
      <c r="E861" s="11"/>
      <c r="F861" s="11"/>
      <c r="G861" s="11"/>
      <c r="H861" s="11"/>
      <c r="I861" s="11"/>
      <c r="J861" s="11"/>
      <c r="K861" s="11"/>
      <c r="L861" s="11"/>
      <c r="M861" s="11"/>
      <c r="N861" s="44" t="n">
        <v>14.25</v>
      </c>
      <c r="O861" s="11"/>
    </row>
    <row r="862" customFormat="false" ht="14.25" hidden="false" customHeight="true" outlineLevel="0" collapsed="false">
      <c r="C862" s="11"/>
      <c r="D862" s="11"/>
      <c r="E862" s="11"/>
      <c r="F862" s="11"/>
      <c r="G862" s="11"/>
      <c r="H862" s="11"/>
      <c r="I862" s="11"/>
      <c r="J862" s="11"/>
      <c r="K862" s="11"/>
      <c r="L862" s="11"/>
      <c r="M862" s="11"/>
      <c r="N862" s="44" t="n">
        <v>14.19</v>
      </c>
      <c r="O862" s="11"/>
    </row>
    <row r="863" customFormat="false" ht="14.25" hidden="false" customHeight="true" outlineLevel="0" collapsed="false">
      <c r="C863" s="11"/>
      <c r="D863" s="11"/>
      <c r="E863" s="11"/>
      <c r="F863" s="11"/>
      <c r="G863" s="11"/>
      <c r="H863" s="11"/>
      <c r="I863" s="11"/>
      <c r="J863" s="11"/>
      <c r="K863" s="11"/>
      <c r="L863" s="11"/>
      <c r="M863" s="11"/>
      <c r="N863" s="44" t="n">
        <v>14.66</v>
      </c>
      <c r="O863" s="11"/>
    </row>
    <row r="864" customFormat="false" ht="14.25" hidden="false" customHeight="true" outlineLevel="0" collapsed="false">
      <c r="C864" s="11"/>
      <c r="D864" s="11"/>
      <c r="E864" s="11"/>
      <c r="F864" s="11"/>
      <c r="G864" s="11"/>
      <c r="H864" s="11"/>
      <c r="I864" s="11"/>
      <c r="J864" s="11"/>
      <c r="K864" s="11"/>
      <c r="L864" s="11"/>
      <c r="M864" s="11"/>
      <c r="N864" s="44" t="n">
        <v>14.82</v>
      </c>
      <c r="O864" s="11"/>
    </row>
    <row r="865" customFormat="false" ht="14.25" hidden="false" customHeight="true" outlineLevel="0" collapsed="false">
      <c r="C865" s="11"/>
      <c r="D865" s="11"/>
      <c r="E865" s="11"/>
      <c r="F865" s="11"/>
      <c r="G865" s="11"/>
      <c r="H865" s="11"/>
      <c r="I865" s="11"/>
      <c r="J865" s="11"/>
      <c r="K865" s="11"/>
      <c r="L865" s="11"/>
      <c r="M865" s="11"/>
      <c r="N865" s="44" t="n">
        <v>14.85</v>
      </c>
      <c r="O865" s="11"/>
    </row>
    <row r="866" customFormat="false" ht="14.25" hidden="false" customHeight="true" outlineLevel="0" collapsed="false">
      <c r="C866" s="11"/>
      <c r="D866" s="11"/>
      <c r="E866" s="11"/>
      <c r="F866" s="11"/>
      <c r="G866" s="11"/>
      <c r="H866" s="11"/>
      <c r="I866" s="11"/>
      <c r="J866" s="11"/>
      <c r="K866" s="11"/>
      <c r="L866" s="11"/>
      <c r="M866" s="11"/>
      <c r="N866" s="44" t="n">
        <v>15.06</v>
      </c>
      <c r="O866" s="11"/>
    </row>
    <row r="867" customFormat="false" ht="14.25" hidden="false" customHeight="true" outlineLevel="0" collapsed="false">
      <c r="C867" s="11"/>
      <c r="D867" s="11"/>
      <c r="E867" s="11"/>
      <c r="F867" s="11"/>
      <c r="G867" s="11"/>
      <c r="H867" s="11"/>
      <c r="I867" s="11"/>
      <c r="J867" s="11"/>
      <c r="K867" s="11"/>
      <c r="L867" s="11"/>
      <c r="M867" s="11"/>
      <c r="N867" s="44" t="n">
        <v>15.32</v>
      </c>
      <c r="O867" s="11"/>
    </row>
    <row r="868" customFormat="false" ht="14.25" hidden="false" customHeight="true" outlineLevel="0" collapsed="false">
      <c r="C868" s="11"/>
      <c r="D868" s="11"/>
      <c r="E868" s="11"/>
      <c r="F868" s="11"/>
      <c r="G868" s="11"/>
      <c r="H868" s="11"/>
      <c r="I868" s="11"/>
      <c r="J868" s="11"/>
      <c r="K868" s="11"/>
      <c r="L868" s="11"/>
      <c r="M868" s="11"/>
      <c r="N868" s="44" t="n">
        <v>15.24</v>
      </c>
      <c r="O868" s="11"/>
    </row>
    <row r="869" customFormat="false" ht="14.25" hidden="false" customHeight="true" outlineLevel="0" collapsed="false">
      <c r="C869" s="11"/>
      <c r="D869" s="11"/>
      <c r="E869" s="11"/>
      <c r="F869" s="11"/>
      <c r="G869" s="11"/>
      <c r="H869" s="11"/>
      <c r="I869" s="11"/>
      <c r="J869" s="11"/>
      <c r="K869" s="11"/>
      <c r="L869" s="11"/>
      <c r="M869" s="11"/>
      <c r="N869" s="44" t="n">
        <v>15.28</v>
      </c>
      <c r="O869" s="11"/>
    </row>
    <row r="870" customFormat="false" ht="14.25" hidden="false" customHeight="true" outlineLevel="0" collapsed="false">
      <c r="C870" s="11"/>
      <c r="D870" s="11"/>
      <c r="E870" s="11"/>
      <c r="F870" s="11"/>
      <c r="G870" s="11"/>
      <c r="H870" s="11"/>
      <c r="I870" s="11"/>
      <c r="J870" s="11"/>
      <c r="K870" s="11"/>
      <c r="L870" s="11"/>
      <c r="M870" s="11"/>
      <c r="N870" s="44" t="n">
        <v>15.47</v>
      </c>
      <c r="O870" s="11"/>
    </row>
    <row r="871" customFormat="false" ht="14.25" hidden="false" customHeight="true" outlineLevel="0" collapsed="false">
      <c r="C871" s="11"/>
      <c r="D871" s="11"/>
      <c r="E871" s="11"/>
      <c r="F871" s="11"/>
      <c r="G871" s="11"/>
      <c r="H871" s="11"/>
      <c r="I871" s="11"/>
      <c r="J871" s="11"/>
      <c r="K871" s="11"/>
      <c r="L871" s="11"/>
      <c r="M871" s="11"/>
      <c r="N871" s="44" t="n">
        <v>15.55</v>
      </c>
      <c r="O871" s="11"/>
    </row>
    <row r="872" customFormat="false" ht="14.25" hidden="false" customHeight="true" outlineLevel="0" collapsed="false">
      <c r="C872" s="11"/>
      <c r="D872" s="11"/>
      <c r="E872" s="11"/>
      <c r="F872" s="11"/>
      <c r="G872" s="11"/>
      <c r="H872" s="11"/>
      <c r="I872" s="11"/>
      <c r="J872" s="11"/>
      <c r="K872" s="11"/>
      <c r="L872" s="11"/>
      <c r="M872" s="11"/>
      <c r="N872" s="44" t="n">
        <v>15.35</v>
      </c>
      <c r="O872" s="11"/>
    </row>
    <row r="873" customFormat="false" ht="14.25" hidden="false" customHeight="true" outlineLevel="0" collapsed="false">
      <c r="C873" s="11"/>
      <c r="D873" s="11"/>
      <c r="E873" s="11"/>
      <c r="F873" s="11"/>
      <c r="G873" s="11"/>
      <c r="H873" s="11"/>
      <c r="I873" s="11"/>
      <c r="J873" s="11"/>
      <c r="K873" s="11"/>
      <c r="L873" s="11"/>
      <c r="M873" s="11"/>
      <c r="N873" s="44" t="n">
        <v>15.05</v>
      </c>
      <c r="O873" s="11"/>
    </row>
    <row r="874" customFormat="false" ht="14.25" hidden="false" customHeight="true" outlineLevel="0" collapsed="false">
      <c r="C874" s="11"/>
      <c r="D874" s="11"/>
      <c r="E874" s="11"/>
      <c r="F874" s="11"/>
      <c r="G874" s="11"/>
      <c r="H874" s="11"/>
      <c r="I874" s="11"/>
      <c r="J874" s="11"/>
      <c r="K874" s="11"/>
      <c r="L874" s="11"/>
      <c r="M874" s="11"/>
      <c r="N874" s="44" t="n">
        <v>15.21</v>
      </c>
      <c r="O874" s="11"/>
    </row>
    <row r="875" customFormat="false" ht="14.25" hidden="false" customHeight="true" outlineLevel="0" collapsed="false">
      <c r="C875" s="11"/>
      <c r="D875" s="11"/>
      <c r="E875" s="11"/>
      <c r="F875" s="11"/>
      <c r="G875" s="11"/>
      <c r="H875" s="11"/>
      <c r="I875" s="11"/>
      <c r="J875" s="11"/>
      <c r="K875" s="11"/>
      <c r="L875" s="11"/>
      <c r="M875" s="11"/>
      <c r="N875" s="44" t="n">
        <v>15.32</v>
      </c>
      <c r="O875" s="11"/>
    </row>
    <row r="876" customFormat="false" ht="14.25" hidden="false" customHeight="true" outlineLevel="0" collapsed="false">
      <c r="C876" s="11"/>
      <c r="D876" s="11"/>
      <c r="E876" s="11"/>
      <c r="F876" s="11"/>
      <c r="G876" s="11"/>
      <c r="H876" s="11"/>
      <c r="I876" s="11"/>
      <c r="J876" s="11"/>
      <c r="K876" s="11"/>
      <c r="L876" s="11"/>
      <c r="M876" s="11"/>
      <c r="N876" s="44" t="n">
        <v>15.73</v>
      </c>
      <c r="O876" s="11"/>
    </row>
    <row r="877" customFormat="false" ht="14.25" hidden="false" customHeight="true" outlineLevel="0" collapsed="false">
      <c r="C877" s="11"/>
      <c r="D877" s="11"/>
      <c r="E877" s="11"/>
      <c r="F877" s="11"/>
      <c r="G877" s="11"/>
      <c r="H877" s="11"/>
      <c r="I877" s="11"/>
      <c r="J877" s="11"/>
      <c r="K877" s="11"/>
      <c r="L877" s="11"/>
      <c r="M877" s="11"/>
      <c r="N877" s="44" t="n">
        <v>15.28</v>
      </c>
      <c r="O877" s="11"/>
    </row>
    <row r="878" customFormat="false" ht="14.25" hidden="false" customHeight="true" outlineLevel="0" collapsed="false">
      <c r="C878" s="11"/>
      <c r="D878" s="11"/>
      <c r="E878" s="11"/>
      <c r="F878" s="11"/>
      <c r="G878" s="11"/>
      <c r="H878" s="11"/>
      <c r="I878" s="11"/>
      <c r="J878" s="11"/>
      <c r="K878" s="11"/>
      <c r="L878" s="11"/>
      <c r="M878" s="11"/>
      <c r="N878" s="44" t="n">
        <v>15.47</v>
      </c>
      <c r="O878" s="11"/>
    </row>
    <row r="879" customFormat="false" ht="14.25" hidden="false" customHeight="true" outlineLevel="0" collapsed="false">
      <c r="C879" s="11"/>
      <c r="D879" s="11"/>
      <c r="E879" s="11"/>
      <c r="F879" s="11"/>
      <c r="G879" s="11"/>
      <c r="H879" s="11"/>
      <c r="I879" s="11"/>
      <c r="J879" s="11"/>
      <c r="K879" s="11"/>
      <c r="L879" s="11"/>
      <c r="M879" s="11"/>
      <c r="N879" s="44" t="n">
        <v>15.32</v>
      </c>
      <c r="O879" s="11"/>
    </row>
    <row r="880" customFormat="false" ht="14.25" hidden="false" customHeight="true" outlineLevel="0" collapsed="false">
      <c r="C880" s="11"/>
      <c r="D880" s="11"/>
      <c r="E880" s="11"/>
      <c r="F880" s="11"/>
      <c r="G880" s="11"/>
      <c r="H880" s="11"/>
      <c r="I880" s="11"/>
      <c r="J880" s="11"/>
      <c r="K880" s="11"/>
      <c r="L880" s="11"/>
      <c r="M880" s="11"/>
      <c r="N880" s="44" t="n">
        <v>15.49</v>
      </c>
      <c r="O880" s="11"/>
    </row>
    <row r="881" customFormat="false" ht="14.25" hidden="false" customHeight="true" outlineLevel="0" collapsed="false">
      <c r="C881" s="11"/>
      <c r="D881" s="11"/>
      <c r="E881" s="11"/>
      <c r="F881" s="11"/>
      <c r="G881" s="11"/>
      <c r="H881" s="11"/>
      <c r="I881" s="11"/>
      <c r="J881" s="11"/>
      <c r="K881" s="11"/>
      <c r="L881" s="11"/>
      <c r="M881" s="11"/>
      <c r="N881" s="44" t="n">
        <v>15.49</v>
      </c>
      <c r="O881" s="11"/>
    </row>
    <row r="882" customFormat="false" ht="14.25" hidden="false" customHeight="true" outlineLevel="0" collapsed="false">
      <c r="C882" s="11"/>
      <c r="D882" s="11"/>
      <c r="E882" s="11"/>
      <c r="F882" s="11"/>
      <c r="G882" s="11"/>
      <c r="H882" s="11"/>
      <c r="I882" s="11"/>
      <c r="J882" s="11"/>
      <c r="K882" s="11"/>
      <c r="L882" s="11"/>
      <c r="M882" s="11"/>
      <c r="N882" s="44" t="n">
        <v>15.28</v>
      </c>
      <c r="O882" s="11"/>
    </row>
    <row r="883" customFormat="false" ht="14.25" hidden="false" customHeight="true" outlineLevel="0" collapsed="false">
      <c r="C883" s="11"/>
      <c r="D883" s="11"/>
      <c r="E883" s="11"/>
      <c r="F883" s="11"/>
      <c r="G883" s="11"/>
      <c r="H883" s="11"/>
      <c r="I883" s="11"/>
      <c r="J883" s="11"/>
      <c r="K883" s="11"/>
      <c r="L883" s="11"/>
      <c r="M883" s="11"/>
      <c r="N883" s="44" t="n">
        <v>15.46</v>
      </c>
      <c r="O883" s="11"/>
    </row>
    <row r="884" customFormat="false" ht="14.25" hidden="false" customHeight="true" outlineLevel="0" collapsed="false">
      <c r="C884" s="11"/>
      <c r="D884" s="11"/>
      <c r="E884" s="11"/>
      <c r="F884" s="11"/>
      <c r="G884" s="11"/>
      <c r="H884" s="11"/>
      <c r="I884" s="11"/>
      <c r="J884" s="11"/>
      <c r="K884" s="11"/>
      <c r="L884" s="11"/>
      <c r="M884" s="11"/>
      <c r="N884" s="44" t="n">
        <v>15.52</v>
      </c>
      <c r="O884" s="11"/>
    </row>
    <row r="885" customFormat="false" ht="14.25" hidden="false" customHeight="true" outlineLevel="0" collapsed="false">
      <c r="C885" s="11"/>
      <c r="D885" s="11"/>
      <c r="E885" s="11"/>
      <c r="F885" s="11"/>
      <c r="G885" s="11"/>
      <c r="H885" s="11"/>
      <c r="I885" s="11"/>
      <c r="J885" s="11"/>
      <c r="K885" s="11"/>
      <c r="L885" s="11"/>
      <c r="M885" s="11"/>
      <c r="N885" s="44" t="n">
        <v>14.89</v>
      </c>
      <c r="O885" s="11"/>
    </row>
    <row r="886" customFormat="false" ht="14.25" hidden="false" customHeight="true" outlineLevel="0" collapsed="false">
      <c r="C886" s="11"/>
      <c r="D886" s="11"/>
      <c r="E886" s="11"/>
      <c r="F886" s="11"/>
      <c r="G886" s="11"/>
      <c r="H886" s="11"/>
      <c r="I886" s="11"/>
      <c r="J886" s="11"/>
      <c r="K886" s="11"/>
      <c r="L886" s="11"/>
      <c r="M886" s="11"/>
      <c r="N886" s="44" t="n">
        <v>15.28</v>
      </c>
      <c r="O886" s="11"/>
    </row>
    <row r="887" customFormat="false" ht="14.25" hidden="false" customHeight="true" outlineLevel="0" collapsed="false">
      <c r="C887" s="11"/>
      <c r="D887" s="11"/>
      <c r="E887" s="11"/>
      <c r="F887" s="11"/>
      <c r="G887" s="11"/>
      <c r="H887" s="11"/>
      <c r="I887" s="11"/>
      <c r="J887" s="11"/>
      <c r="K887" s="11"/>
      <c r="L887" s="11"/>
      <c r="M887" s="11"/>
      <c r="N887" s="44" t="n">
        <v>15.25</v>
      </c>
      <c r="O887" s="11"/>
    </row>
    <row r="888" customFormat="false" ht="14.25" hidden="false" customHeight="true" outlineLevel="0" collapsed="false">
      <c r="C888" s="11"/>
      <c r="D888" s="11"/>
      <c r="E888" s="11"/>
      <c r="F888" s="11"/>
      <c r="G888" s="11"/>
      <c r="H888" s="11"/>
      <c r="I888" s="11"/>
      <c r="J888" s="11"/>
      <c r="K888" s="11"/>
      <c r="L888" s="11"/>
      <c r="M888" s="11"/>
      <c r="N888" s="44" t="n">
        <v>15.16</v>
      </c>
      <c r="O888" s="11"/>
    </row>
    <row r="889" customFormat="false" ht="14.25" hidden="false" customHeight="true" outlineLevel="0" collapsed="false">
      <c r="C889" s="11"/>
      <c r="D889" s="11"/>
      <c r="E889" s="11"/>
      <c r="F889" s="11"/>
      <c r="G889" s="11"/>
      <c r="H889" s="11"/>
      <c r="I889" s="11"/>
      <c r="J889" s="11"/>
      <c r="K889" s="11"/>
      <c r="L889" s="11"/>
      <c r="M889" s="11"/>
      <c r="N889" s="44" t="n">
        <v>15.13</v>
      </c>
      <c r="O889" s="11"/>
    </row>
    <row r="890" customFormat="false" ht="14.25" hidden="false" customHeight="true" outlineLevel="0" collapsed="false">
      <c r="C890" s="11"/>
      <c r="D890" s="11"/>
      <c r="E890" s="11"/>
      <c r="F890" s="11"/>
      <c r="G890" s="11"/>
      <c r="H890" s="11"/>
      <c r="I890" s="11"/>
      <c r="J890" s="11"/>
      <c r="K890" s="11"/>
      <c r="L890" s="11"/>
      <c r="M890" s="11"/>
      <c r="N890" s="44" t="n">
        <v>15.05</v>
      </c>
      <c r="O890" s="11"/>
    </row>
    <row r="891" customFormat="false" ht="14.25" hidden="false" customHeight="true" outlineLevel="0" collapsed="false">
      <c r="C891" s="11"/>
      <c r="D891" s="11"/>
      <c r="E891" s="11"/>
      <c r="F891" s="11"/>
      <c r="G891" s="11"/>
      <c r="H891" s="11"/>
      <c r="I891" s="11"/>
      <c r="J891" s="11"/>
      <c r="K891" s="11"/>
      <c r="L891" s="11"/>
      <c r="M891" s="11"/>
      <c r="N891" s="44" t="n">
        <v>15.38</v>
      </c>
      <c r="O891" s="11"/>
    </row>
    <row r="892" customFormat="false" ht="14.25" hidden="false" customHeight="true" outlineLevel="0" collapsed="false">
      <c r="C892" s="11"/>
      <c r="D892" s="11"/>
      <c r="E892" s="11"/>
      <c r="F892" s="11"/>
      <c r="G892" s="11"/>
      <c r="H892" s="11"/>
      <c r="I892" s="11"/>
      <c r="J892" s="11"/>
      <c r="K892" s="11"/>
      <c r="L892" s="11"/>
      <c r="M892" s="11"/>
      <c r="N892" s="44" t="n">
        <v>15.21</v>
      </c>
      <c r="O892" s="11"/>
    </row>
    <row r="893" customFormat="false" ht="14.25" hidden="false" customHeight="true" outlineLevel="0" collapsed="false">
      <c r="C893" s="11"/>
      <c r="D893" s="11"/>
      <c r="E893" s="11"/>
      <c r="F893" s="11"/>
      <c r="G893" s="11"/>
      <c r="H893" s="11"/>
      <c r="I893" s="11"/>
      <c r="J893" s="11"/>
      <c r="K893" s="11"/>
      <c r="L893" s="11"/>
      <c r="M893" s="11"/>
      <c r="N893" s="44" t="n">
        <v>14.8</v>
      </c>
      <c r="O893" s="11"/>
    </row>
    <row r="894" customFormat="false" ht="14.25" hidden="false" customHeight="true" outlineLevel="0" collapsed="false">
      <c r="C894" s="11"/>
      <c r="D894" s="11"/>
      <c r="E894" s="11"/>
      <c r="F894" s="11"/>
      <c r="G894" s="11"/>
      <c r="H894" s="11"/>
      <c r="I894" s="11"/>
      <c r="J894" s="11"/>
      <c r="K894" s="11"/>
      <c r="L894" s="11"/>
      <c r="M894" s="11"/>
      <c r="N894" s="44" t="n">
        <v>14.74</v>
      </c>
      <c r="O894" s="11"/>
    </row>
    <row r="895" customFormat="false" ht="14.25" hidden="false" customHeight="true" outlineLevel="0" collapsed="false">
      <c r="C895" s="11"/>
      <c r="D895" s="11"/>
      <c r="E895" s="11"/>
      <c r="F895" s="11"/>
      <c r="G895" s="11"/>
      <c r="H895" s="11"/>
      <c r="I895" s="11"/>
      <c r="J895" s="11"/>
      <c r="K895" s="11"/>
      <c r="L895" s="11"/>
      <c r="M895" s="11"/>
      <c r="N895" s="44" t="n">
        <v>14.85</v>
      </c>
      <c r="O895" s="11"/>
    </row>
    <row r="896" customFormat="false" ht="14.25" hidden="false" customHeight="true" outlineLevel="0" collapsed="false">
      <c r="C896" s="11"/>
      <c r="D896" s="11"/>
      <c r="E896" s="11"/>
      <c r="F896" s="11"/>
      <c r="G896" s="11"/>
      <c r="H896" s="11"/>
      <c r="I896" s="11"/>
      <c r="J896" s="11"/>
      <c r="K896" s="11"/>
      <c r="L896" s="11"/>
      <c r="M896" s="11"/>
      <c r="N896" s="44" t="n">
        <v>14.96</v>
      </c>
      <c r="O896" s="11"/>
    </row>
    <row r="897" customFormat="false" ht="14.25" hidden="false" customHeight="true" outlineLevel="0" collapsed="false">
      <c r="C897" s="11"/>
      <c r="D897" s="11"/>
      <c r="E897" s="11"/>
      <c r="F897" s="11"/>
      <c r="G897" s="11"/>
      <c r="H897" s="11"/>
      <c r="I897" s="11"/>
      <c r="J897" s="11"/>
      <c r="K897" s="11"/>
      <c r="L897" s="11"/>
      <c r="M897" s="11"/>
      <c r="N897" s="44" t="n">
        <v>14.81</v>
      </c>
      <c r="O897" s="11"/>
    </row>
    <row r="898" customFormat="false" ht="14.25" hidden="false" customHeight="true" outlineLevel="0" collapsed="false">
      <c r="C898" s="11"/>
      <c r="D898" s="11"/>
      <c r="E898" s="11"/>
      <c r="F898" s="11"/>
      <c r="G898" s="11"/>
      <c r="H898" s="11"/>
      <c r="I898" s="11"/>
      <c r="J898" s="11"/>
      <c r="K898" s="11"/>
      <c r="L898" s="11"/>
      <c r="M898" s="11"/>
      <c r="N898" s="44" t="n">
        <v>15.04</v>
      </c>
      <c r="O898" s="11"/>
    </row>
    <row r="899" customFormat="false" ht="14.25" hidden="false" customHeight="true" outlineLevel="0" collapsed="false">
      <c r="C899" s="11"/>
      <c r="D899" s="11"/>
      <c r="E899" s="11"/>
      <c r="F899" s="11"/>
      <c r="G899" s="11"/>
      <c r="H899" s="11"/>
      <c r="I899" s="11"/>
      <c r="J899" s="11"/>
      <c r="K899" s="11"/>
      <c r="L899" s="11"/>
      <c r="M899" s="11"/>
      <c r="N899" s="44" t="n">
        <v>15.18</v>
      </c>
      <c r="O899" s="11"/>
    </row>
    <row r="900" customFormat="false" ht="14.25" hidden="false" customHeight="true" outlineLevel="0" collapsed="false">
      <c r="C900" s="11"/>
      <c r="D900" s="11"/>
      <c r="E900" s="11"/>
      <c r="F900" s="11"/>
      <c r="G900" s="11"/>
      <c r="H900" s="11"/>
      <c r="I900" s="11"/>
      <c r="J900" s="11"/>
      <c r="K900" s="11"/>
      <c r="L900" s="11"/>
      <c r="M900" s="11"/>
      <c r="N900" s="44" t="n">
        <v>15.22</v>
      </c>
      <c r="O900" s="11"/>
    </row>
    <row r="901" customFormat="false" ht="14.25" hidden="false" customHeight="true" outlineLevel="0" collapsed="false">
      <c r="C901" s="11"/>
      <c r="D901" s="11"/>
      <c r="E901" s="11"/>
      <c r="F901" s="11"/>
      <c r="G901" s="11"/>
      <c r="H901" s="11"/>
      <c r="I901" s="11"/>
      <c r="J901" s="11"/>
      <c r="K901" s="11"/>
      <c r="L901" s="11"/>
      <c r="M901" s="11"/>
      <c r="N901" s="44" t="n">
        <v>15.12</v>
      </c>
      <c r="O901" s="11"/>
    </row>
    <row r="902" customFormat="false" ht="14.25" hidden="false" customHeight="true" outlineLevel="0" collapsed="false">
      <c r="C902" s="11"/>
      <c r="D902" s="11"/>
      <c r="E902" s="11"/>
      <c r="F902" s="11"/>
      <c r="G902" s="11"/>
      <c r="H902" s="11"/>
      <c r="I902" s="11"/>
      <c r="J902" s="11"/>
      <c r="K902" s="11"/>
      <c r="L902" s="11"/>
      <c r="M902" s="11"/>
      <c r="N902" s="44" t="n">
        <v>14.87</v>
      </c>
      <c r="O902" s="11"/>
    </row>
    <row r="903" customFormat="false" ht="14.25" hidden="false" customHeight="true" outlineLevel="0" collapsed="false">
      <c r="C903" s="11"/>
      <c r="D903" s="11"/>
      <c r="E903" s="11"/>
      <c r="F903" s="11"/>
      <c r="G903" s="11"/>
      <c r="H903" s="11"/>
      <c r="I903" s="11"/>
      <c r="J903" s="11"/>
      <c r="K903" s="11"/>
      <c r="L903" s="11"/>
      <c r="M903" s="11"/>
      <c r="N903" s="44" t="n">
        <v>15.04</v>
      </c>
      <c r="O903" s="11"/>
    </row>
    <row r="904" customFormat="false" ht="14.25" hidden="false" customHeight="true" outlineLevel="0" collapsed="false">
      <c r="C904" s="11"/>
      <c r="D904" s="11"/>
      <c r="E904" s="11"/>
      <c r="F904" s="11"/>
      <c r="G904" s="11"/>
      <c r="H904" s="11"/>
      <c r="I904" s="11"/>
      <c r="J904" s="11"/>
      <c r="K904" s="11"/>
      <c r="L904" s="11"/>
      <c r="M904" s="11"/>
      <c r="N904" s="44" t="n">
        <v>14.74</v>
      </c>
      <c r="O904" s="11"/>
    </row>
    <row r="905" customFormat="false" ht="14.25" hidden="false" customHeight="true" outlineLevel="0" collapsed="false">
      <c r="C905" s="11"/>
      <c r="D905" s="11"/>
      <c r="E905" s="11"/>
      <c r="F905" s="11"/>
      <c r="G905" s="11"/>
      <c r="H905" s="11"/>
      <c r="I905" s="11"/>
      <c r="J905" s="11"/>
      <c r="K905" s="11"/>
      <c r="L905" s="11"/>
      <c r="M905" s="11"/>
      <c r="N905" s="44" t="n">
        <v>14.42</v>
      </c>
      <c r="O905" s="11"/>
    </row>
    <row r="906" customFormat="false" ht="14.25" hidden="false" customHeight="true" outlineLevel="0" collapsed="false">
      <c r="C906" s="11"/>
      <c r="D906" s="11"/>
      <c r="E906" s="11"/>
      <c r="F906" s="11"/>
      <c r="G906" s="11"/>
      <c r="H906" s="11"/>
      <c r="I906" s="11"/>
      <c r="J906" s="11"/>
      <c r="K906" s="11"/>
      <c r="L906" s="11"/>
      <c r="M906" s="11"/>
      <c r="N906" s="44" t="n">
        <v>14.38</v>
      </c>
      <c r="O906" s="11"/>
    </row>
    <row r="907" customFormat="false" ht="14.25" hidden="false" customHeight="true" outlineLevel="0" collapsed="false">
      <c r="C907" s="11"/>
      <c r="D907" s="11"/>
      <c r="E907" s="11"/>
      <c r="F907" s="11"/>
      <c r="G907" s="11"/>
      <c r="H907" s="11"/>
      <c r="I907" s="11"/>
      <c r="J907" s="11"/>
      <c r="K907" s="11"/>
      <c r="L907" s="11"/>
      <c r="M907" s="11"/>
      <c r="N907" s="44" t="n">
        <v>14.37</v>
      </c>
      <c r="O907" s="11"/>
    </row>
    <row r="908" customFormat="false" ht="14.25" hidden="false" customHeight="true" outlineLevel="0" collapsed="false">
      <c r="C908" s="11"/>
      <c r="D908" s="11"/>
      <c r="E908" s="11"/>
      <c r="F908" s="11"/>
      <c r="G908" s="11"/>
      <c r="H908" s="11"/>
      <c r="I908" s="11"/>
      <c r="J908" s="11"/>
      <c r="K908" s="11"/>
      <c r="L908" s="11"/>
      <c r="M908" s="11"/>
      <c r="N908" s="44" t="n">
        <v>14.39</v>
      </c>
      <c r="O908" s="11"/>
    </row>
    <row r="909" customFormat="false" ht="14.25" hidden="false" customHeight="true" outlineLevel="0" collapsed="false">
      <c r="C909" s="11"/>
      <c r="D909" s="11"/>
      <c r="E909" s="11"/>
      <c r="F909" s="11"/>
      <c r="G909" s="11"/>
      <c r="H909" s="11"/>
      <c r="I909" s="11"/>
      <c r="J909" s="11"/>
      <c r="K909" s="11"/>
      <c r="L909" s="11"/>
      <c r="M909" s="11"/>
      <c r="N909" s="44" t="n">
        <v>14.22</v>
      </c>
      <c r="O909" s="11"/>
    </row>
    <row r="910" customFormat="false" ht="14.25" hidden="false" customHeight="true" outlineLevel="0" collapsed="false">
      <c r="C910" s="11"/>
      <c r="D910" s="11"/>
      <c r="E910" s="11"/>
      <c r="F910" s="11"/>
      <c r="G910" s="11"/>
      <c r="H910" s="11"/>
      <c r="I910" s="11"/>
      <c r="J910" s="11"/>
      <c r="K910" s="11"/>
      <c r="L910" s="11"/>
      <c r="M910" s="11"/>
      <c r="N910" s="44" t="n">
        <v>14.15</v>
      </c>
      <c r="O910" s="11"/>
    </row>
    <row r="911" customFormat="false" ht="14.25" hidden="false" customHeight="true" outlineLevel="0" collapsed="false">
      <c r="C911" s="11"/>
      <c r="D911" s="11"/>
      <c r="E911" s="11"/>
      <c r="F911" s="11"/>
      <c r="G911" s="11"/>
      <c r="H911" s="11"/>
      <c r="I911" s="11"/>
      <c r="J911" s="11"/>
      <c r="K911" s="11"/>
      <c r="L911" s="11"/>
      <c r="M911" s="11"/>
      <c r="N911" s="44" t="n">
        <v>13.69</v>
      </c>
      <c r="O911" s="11"/>
    </row>
    <row r="912" customFormat="false" ht="14.25" hidden="false" customHeight="true" outlineLevel="0" collapsed="false">
      <c r="C912" s="11"/>
      <c r="D912" s="11"/>
      <c r="E912" s="11"/>
      <c r="F912" s="11"/>
      <c r="G912" s="11"/>
      <c r="H912" s="11"/>
      <c r="I912" s="11"/>
      <c r="J912" s="11"/>
      <c r="K912" s="11"/>
      <c r="L912" s="11"/>
      <c r="M912" s="11"/>
      <c r="N912" s="44" t="n">
        <v>13.89</v>
      </c>
      <c r="O912" s="11"/>
    </row>
    <row r="913" customFormat="false" ht="14.25" hidden="false" customHeight="true" outlineLevel="0" collapsed="false">
      <c r="C913" s="11"/>
      <c r="D913" s="11"/>
      <c r="E913" s="11"/>
      <c r="F913" s="11"/>
      <c r="G913" s="11"/>
      <c r="H913" s="11"/>
      <c r="I913" s="11"/>
      <c r="J913" s="11"/>
      <c r="K913" s="11"/>
      <c r="L913" s="11"/>
      <c r="M913" s="11"/>
      <c r="N913" s="44" t="n">
        <v>14.44</v>
      </c>
      <c r="O913" s="11"/>
    </row>
    <row r="914" customFormat="false" ht="14.25" hidden="false" customHeight="true" outlineLevel="0" collapsed="false">
      <c r="C914" s="11"/>
      <c r="D914" s="11"/>
      <c r="E914" s="11"/>
      <c r="F914" s="11"/>
      <c r="G914" s="11"/>
      <c r="H914" s="11"/>
      <c r="I914" s="11"/>
      <c r="J914" s="11"/>
      <c r="K914" s="11"/>
      <c r="L914" s="11"/>
      <c r="M914" s="11"/>
      <c r="N914" s="44" t="n">
        <v>14.38</v>
      </c>
      <c r="O914" s="11"/>
    </row>
    <row r="915" customFormat="false" ht="14.25" hidden="false" customHeight="true" outlineLevel="0" collapsed="false">
      <c r="C915" s="11"/>
      <c r="D915" s="11"/>
      <c r="E915" s="11"/>
      <c r="F915" s="11"/>
      <c r="G915" s="11"/>
      <c r="H915" s="11"/>
      <c r="I915" s="11"/>
      <c r="J915" s="11"/>
      <c r="K915" s="11"/>
      <c r="L915" s="11"/>
      <c r="M915" s="11"/>
      <c r="N915" s="44" t="n">
        <v>14.42</v>
      </c>
      <c r="O915" s="11"/>
    </row>
    <row r="916" customFormat="false" ht="14.25" hidden="false" customHeight="true" outlineLevel="0" collapsed="false">
      <c r="C916" s="11"/>
      <c r="D916" s="11"/>
      <c r="E916" s="11"/>
      <c r="F916" s="11"/>
      <c r="G916" s="11"/>
      <c r="H916" s="11"/>
      <c r="I916" s="11"/>
      <c r="J916" s="11"/>
      <c r="K916" s="11"/>
      <c r="L916" s="11"/>
      <c r="M916" s="11"/>
      <c r="N916" s="44" t="n">
        <v>14.57</v>
      </c>
      <c r="O916" s="11"/>
    </row>
    <row r="917" customFormat="false" ht="14.25" hidden="false" customHeight="true" outlineLevel="0" collapsed="false">
      <c r="C917" s="11"/>
      <c r="D917" s="11"/>
      <c r="E917" s="11"/>
      <c r="F917" s="11"/>
      <c r="G917" s="11"/>
      <c r="H917" s="11"/>
      <c r="I917" s="11"/>
      <c r="J917" s="11"/>
      <c r="K917" s="11"/>
      <c r="L917" s="11"/>
      <c r="M917" s="11"/>
      <c r="N917" s="44" t="n">
        <v>14.74</v>
      </c>
      <c r="O917" s="11"/>
    </row>
    <row r="918" customFormat="false" ht="14.25" hidden="false" customHeight="true" outlineLevel="0" collapsed="false">
      <c r="C918" s="11"/>
      <c r="D918" s="11"/>
      <c r="E918" s="11"/>
      <c r="F918" s="11"/>
      <c r="G918" s="11"/>
      <c r="H918" s="11"/>
      <c r="I918" s="11"/>
      <c r="J918" s="11"/>
      <c r="K918" s="11"/>
      <c r="L918" s="11"/>
      <c r="M918" s="11"/>
      <c r="N918" s="44" t="n">
        <v>14.75</v>
      </c>
      <c r="O918" s="11"/>
    </row>
    <row r="919" customFormat="false" ht="14.25" hidden="false" customHeight="true" outlineLevel="0" collapsed="false">
      <c r="C919" s="11"/>
      <c r="D919" s="11"/>
      <c r="E919" s="11"/>
      <c r="F919" s="11"/>
      <c r="G919" s="11"/>
      <c r="H919" s="11"/>
      <c r="I919" s="11"/>
      <c r="J919" s="11"/>
      <c r="K919" s="11"/>
      <c r="L919" s="11"/>
      <c r="M919" s="11"/>
      <c r="N919" s="44" t="n">
        <v>14.66</v>
      </c>
      <c r="O919" s="11"/>
    </row>
    <row r="920" customFormat="false" ht="14.25" hidden="false" customHeight="true" outlineLevel="0" collapsed="false">
      <c r="C920" s="11"/>
      <c r="D920" s="11"/>
      <c r="E920" s="11"/>
      <c r="F920" s="11"/>
      <c r="G920" s="11"/>
      <c r="H920" s="11"/>
      <c r="I920" s="11"/>
      <c r="J920" s="11"/>
      <c r="K920" s="11"/>
      <c r="L920" s="11"/>
      <c r="M920" s="11"/>
      <c r="N920" s="44" t="n">
        <v>14.65</v>
      </c>
      <c r="O920" s="11"/>
    </row>
    <row r="921" customFormat="false" ht="14.25" hidden="false" customHeight="true" outlineLevel="0" collapsed="false">
      <c r="C921" s="11"/>
      <c r="D921" s="11"/>
      <c r="E921" s="11"/>
      <c r="F921" s="11"/>
      <c r="G921" s="11"/>
      <c r="H921" s="11"/>
      <c r="I921" s="11"/>
      <c r="J921" s="11"/>
      <c r="K921" s="11"/>
      <c r="L921" s="11"/>
      <c r="M921" s="11"/>
      <c r="N921" s="44" t="n">
        <v>14.49</v>
      </c>
      <c r="O921" s="11"/>
    </row>
    <row r="922" customFormat="false" ht="14.25" hidden="false" customHeight="true" outlineLevel="0" collapsed="false">
      <c r="C922" s="11"/>
      <c r="D922" s="11"/>
      <c r="E922" s="11"/>
      <c r="F922" s="11"/>
      <c r="G922" s="11"/>
      <c r="H922" s="11"/>
      <c r="I922" s="11"/>
      <c r="J922" s="11"/>
      <c r="K922" s="11"/>
      <c r="L922" s="11"/>
      <c r="M922" s="11"/>
      <c r="N922" s="44" t="n">
        <v>14.24</v>
      </c>
      <c r="O922" s="11"/>
    </row>
    <row r="923" customFormat="false" ht="14.25" hidden="false" customHeight="true" outlineLevel="0" collapsed="false">
      <c r="C923" s="11"/>
      <c r="D923" s="11"/>
      <c r="E923" s="11"/>
      <c r="F923" s="11"/>
      <c r="G923" s="11"/>
      <c r="H923" s="11"/>
      <c r="I923" s="11"/>
      <c r="J923" s="11"/>
      <c r="K923" s="11"/>
      <c r="L923" s="11"/>
      <c r="M923" s="11"/>
      <c r="N923" s="44" t="n">
        <v>14.78</v>
      </c>
      <c r="O923" s="11"/>
    </row>
    <row r="924" customFormat="false" ht="14.25" hidden="false" customHeight="true" outlineLevel="0" collapsed="false">
      <c r="C924" s="11"/>
      <c r="D924" s="11"/>
      <c r="E924" s="11"/>
      <c r="F924" s="11"/>
      <c r="G924" s="11"/>
      <c r="H924" s="11"/>
      <c r="I924" s="11"/>
      <c r="J924" s="11"/>
      <c r="K924" s="11"/>
      <c r="L924" s="11"/>
      <c r="M924" s="11"/>
      <c r="N924" s="44" t="n">
        <v>14.88</v>
      </c>
      <c r="O924" s="11"/>
    </row>
    <row r="925" customFormat="false" ht="14.25" hidden="false" customHeight="true" outlineLevel="0" collapsed="false">
      <c r="C925" s="11"/>
      <c r="D925" s="11"/>
      <c r="E925" s="11"/>
      <c r="F925" s="11"/>
      <c r="G925" s="11"/>
      <c r="H925" s="11"/>
      <c r="I925" s="11"/>
      <c r="J925" s="11"/>
      <c r="K925" s="11"/>
      <c r="L925" s="11"/>
      <c r="M925" s="11"/>
      <c r="N925" s="44" t="n">
        <v>15.17</v>
      </c>
      <c r="O925" s="11"/>
    </row>
    <row r="926" customFormat="false" ht="14.25" hidden="false" customHeight="true" outlineLevel="0" collapsed="false">
      <c r="C926" s="11"/>
      <c r="D926" s="11"/>
      <c r="E926" s="11"/>
      <c r="F926" s="11"/>
      <c r="G926" s="11"/>
      <c r="H926" s="11"/>
      <c r="I926" s="11"/>
      <c r="J926" s="11"/>
      <c r="K926" s="11"/>
      <c r="L926" s="11"/>
      <c r="M926" s="11"/>
      <c r="N926" s="44" t="n">
        <v>15.16</v>
      </c>
      <c r="O926" s="11"/>
    </row>
    <row r="927" customFormat="false" ht="14.25" hidden="false" customHeight="true" outlineLevel="0" collapsed="false">
      <c r="C927" s="11"/>
      <c r="D927" s="11"/>
      <c r="E927" s="11"/>
      <c r="F927" s="11"/>
      <c r="G927" s="11"/>
      <c r="H927" s="11"/>
      <c r="I927" s="11"/>
      <c r="J927" s="11"/>
      <c r="K927" s="11"/>
      <c r="L927" s="11"/>
      <c r="M927" s="11"/>
      <c r="N927" s="44" t="n">
        <v>14.75</v>
      </c>
      <c r="O927" s="11"/>
    </row>
    <row r="928" customFormat="false" ht="14.25" hidden="false" customHeight="true" outlineLevel="0" collapsed="false">
      <c r="C928" s="11"/>
      <c r="D928" s="11"/>
      <c r="E928" s="11"/>
      <c r="F928" s="11"/>
      <c r="G928" s="11"/>
      <c r="H928" s="11"/>
      <c r="I928" s="11"/>
      <c r="J928" s="11"/>
      <c r="K928" s="11"/>
      <c r="L928" s="11"/>
      <c r="M928" s="11"/>
      <c r="N928" s="44" t="n">
        <v>14.81</v>
      </c>
      <c r="O928" s="11"/>
    </row>
    <row r="929" customFormat="false" ht="14.25" hidden="false" customHeight="true" outlineLevel="0" collapsed="false">
      <c r="C929" s="11"/>
      <c r="D929" s="11"/>
      <c r="E929" s="11"/>
      <c r="F929" s="11"/>
      <c r="G929" s="11"/>
      <c r="H929" s="11"/>
      <c r="I929" s="11"/>
      <c r="J929" s="11"/>
      <c r="K929" s="11"/>
      <c r="L929" s="11"/>
      <c r="M929" s="11"/>
      <c r="N929" s="44" t="n">
        <v>14.93</v>
      </c>
      <c r="O929" s="11"/>
    </row>
    <row r="930" customFormat="false" ht="14.25" hidden="false" customHeight="true" outlineLevel="0" collapsed="false">
      <c r="C930" s="11"/>
      <c r="D930" s="11"/>
      <c r="E930" s="11"/>
      <c r="F930" s="11"/>
      <c r="G930" s="11"/>
      <c r="H930" s="11"/>
      <c r="I930" s="11"/>
      <c r="J930" s="11"/>
      <c r="K930" s="11"/>
      <c r="L930" s="11"/>
      <c r="M930" s="11"/>
      <c r="N930" s="44" t="n">
        <v>15.2</v>
      </c>
      <c r="O930" s="11"/>
    </row>
    <row r="931" customFormat="false" ht="14.25" hidden="false" customHeight="true" outlineLevel="0" collapsed="false">
      <c r="C931" s="11"/>
      <c r="D931" s="11"/>
      <c r="E931" s="11"/>
      <c r="F931" s="11"/>
      <c r="G931" s="11"/>
      <c r="H931" s="11"/>
      <c r="I931" s="11"/>
      <c r="J931" s="11"/>
      <c r="K931" s="11"/>
      <c r="L931" s="11"/>
      <c r="M931" s="11"/>
      <c r="N931" s="44" t="n">
        <v>15.51</v>
      </c>
      <c r="O931" s="11"/>
    </row>
    <row r="932" customFormat="false" ht="14.25" hidden="false" customHeight="true" outlineLevel="0" collapsed="false">
      <c r="C932" s="11"/>
      <c r="D932" s="11"/>
      <c r="E932" s="11"/>
      <c r="F932" s="11"/>
      <c r="G932" s="11"/>
      <c r="H932" s="11"/>
      <c r="I932" s="11"/>
      <c r="J932" s="11"/>
      <c r="K932" s="11"/>
      <c r="L932" s="11"/>
      <c r="M932" s="11"/>
      <c r="N932" s="44" t="n">
        <v>15.44</v>
      </c>
      <c r="O932" s="11"/>
    </row>
    <row r="933" customFormat="false" ht="14.25" hidden="false" customHeight="true" outlineLevel="0" collapsed="false">
      <c r="C933" s="11"/>
      <c r="D933" s="11"/>
      <c r="E933" s="11"/>
      <c r="F933" s="11"/>
      <c r="G933" s="11"/>
      <c r="H933" s="11"/>
      <c r="I933" s="11"/>
      <c r="J933" s="11"/>
      <c r="K933" s="11"/>
      <c r="L933" s="11"/>
      <c r="M933" s="11"/>
      <c r="N933" s="44" t="n">
        <v>15.1</v>
      </c>
      <c r="O933" s="11"/>
    </row>
    <row r="934" customFormat="false" ht="14.25" hidden="false" customHeight="true" outlineLevel="0" collapsed="false">
      <c r="C934" s="11"/>
      <c r="D934" s="11"/>
      <c r="E934" s="11"/>
      <c r="F934" s="11"/>
      <c r="G934" s="11"/>
      <c r="H934" s="11"/>
      <c r="I934" s="11"/>
      <c r="J934" s="11"/>
      <c r="K934" s="11"/>
      <c r="L934" s="11"/>
      <c r="M934" s="11"/>
      <c r="N934" s="44" t="n">
        <v>15.13</v>
      </c>
      <c r="O934" s="11"/>
    </row>
    <row r="935" customFormat="false" ht="14.25" hidden="false" customHeight="true" outlineLevel="0" collapsed="false">
      <c r="C935" s="11"/>
      <c r="D935" s="11"/>
      <c r="E935" s="11"/>
      <c r="F935" s="11"/>
      <c r="G935" s="11"/>
      <c r="H935" s="11"/>
      <c r="I935" s="11"/>
      <c r="J935" s="11"/>
      <c r="K935" s="11"/>
      <c r="L935" s="11"/>
      <c r="M935" s="11"/>
      <c r="N935" s="44" t="n">
        <v>15.13</v>
      </c>
      <c r="O935" s="11"/>
    </row>
    <row r="936" customFormat="false" ht="14.25" hidden="false" customHeight="true" outlineLevel="0" collapsed="false">
      <c r="C936" s="11"/>
      <c r="D936" s="11"/>
      <c r="E936" s="11"/>
      <c r="F936" s="11"/>
      <c r="G936" s="11"/>
      <c r="H936" s="11"/>
      <c r="I936" s="11"/>
      <c r="J936" s="11"/>
      <c r="K936" s="11"/>
      <c r="L936" s="11"/>
      <c r="M936" s="11"/>
      <c r="N936" s="44" t="n">
        <v>15.23</v>
      </c>
      <c r="O936" s="11"/>
    </row>
    <row r="937" customFormat="false" ht="14.25" hidden="false" customHeight="true" outlineLevel="0" collapsed="false">
      <c r="C937" s="11"/>
      <c r="D937" s="11"/>
      <c r="E937" s="11"/>
      <c r="F937" s="11"/>
      <c r="G937" s="11"/>
      <c r="H937" s="11"/>
      <c r="I937" s="11"/>
      <c r="J937" s="11"/>
      <c r="K937" s="11"/>
      <c r="L937" s="11"/>
      <c r="M937" s="11"/>
      <c r="N937" s="44" t="n">
        <v>14.99</v>
      </c>
      <c r="O937" s="11"/>
    </row>
    <row r="938" customFormat="false" ht="14.25" hidden="false" customHeight="true" outlineLevel="0" collapsed="false">
      <c r="C938" s="11"/>
      <c r="D938" s="11"/>
      <c r="E938" s="11"/>
      <c r="F938" s="11"/>
      <c r="G938" s="11"/>
      <c r="H938" s="11"/>
      <c r="I938" s="11"/>
      <c r="J938" s="11"/>
      <c r="K938" s="11"/>
      <c r="L938" s="11"/>
      <c r="M938" s="11"/>
      <c r="N938" s="44" t="n">
        <v>14.74</v>
      </c>
      <c r="O938" s="11"/>
    </row>
    <row r="939" customFormat="false" ht="14.25" hidden="false" customHeight="true" outlineLevel="0" collapsed="false">
      <c r="C939" s="11"/>
      <c r="D939" s="11"/>
      <c r="E939" s="11"/>
      <c r="F939" s="11"/>
      <c r="G939" s="11"/>
      <c r="H939" s="11"/>
      <c r="I939" s="11"/>
      <c r="J939" s="11"/>
      <c r="K939" s="11"/>
      <c r="L939" s="11"/>
      <c r="M939" s="11"/>
      <c r="N939" s="44" t="n">
        <v>14.65</v>
      </c>
      <c r="O939" s="11"/>
    </row>
    <row r="940" customFormat="false" ht="14.25" hidden="false" customHeight="true" outlineLevel="0" collapsed="false">
      <c r="C940" s="11"/>
      <c r="D940" s="11"/>
      <c r="E940" s="11"/>
      <c r="F940" s="11"/>
      <c r="G940" s="11"/>
      <c r="H940" s="11"/>
      <c r="I940" s="11"/>
      <c r="J940" s="11"/>
      <c r="K940" s="11"/>
      <c r="L940" s="11"/>
      <c r="M940" s="11"/>
      <c r="N940" s="44" t="n">
        <v>14.75</v>
      </c>
      <c r="O940" s="11"/>
    </row>
    <row r="941" customFormat="false" ht="14.25" hidden="false" customHeight="true" outlineLevel="0" collapsed="false">
      <c r="C941" s="11"/>
      <c r="D941" s="11"/>
      <c r="E941" s="11"/>
      <c r="F941" s="11"/>
      <c r="G941" s="11"/>
      <c r="H941" s="11"/>
      <c r="I941" s="11"/>
      <c r="J941" s="11"/>
      <c r="K941" s="11"/>
      <c r="L941" s="11"/>
      <c r="M941" s="11"/>
      <c r="N941" s="44" t="n">
        <v>15.08</v>
      </c>
      <c r="O941" s="11"/>
    </row>
    <row r="942" customFormat="false" ht="14.25" hidden="false" customHeight="true" outlineLevel="0" collapsed="false">
      <c r="C942" s="11"/>
      <c r="D942" s="11"/>
      <c r="E942" s="11"/>
      <c r="F942" s="11"/>
      <c r="G942" s="11"/>
      <c r="H942" s="11"/>
      <c r="I942" s="11"/>
      <c r="J942" s="11"/>
      <c r="K942" s="11"/>
      <c r="L942" s="11"/>
      <c r="M942" s="11"/>
      <c r="N942" s="44" t="n">
        <v>14.81</v>
      </c>
      <c r="O942" s="11"/>
    </row>
    <row r="943" customFormat="false" ht="14.25" hidden="false" customHeight="true" outlineLevel="0" collapsed="false">
      <c r="C943" s="11"/>
      <c r="D943" s="11"/>
      <c r="E943" s="11"/>
      <c r="F943" s="11"/>
      <c r="G943" s="11"/>
      <c r="H943" s="11"/>
      <c r="I943" s="11"/>
      <c r="J943" s="11"/>
      <c r="K943" s="11"/>
      <c r="L943" s="11"/>
      <c r="M943" s="11"/>
      <c r="N943" s="44" t="n">
        <v>14.99</v>
      </c>
      <c r="O943" s="11"/>
    </row>
    <row r="944" customFormat="false" ht="14.25" hidden="false" customHeight="true" outlineLevel="0" collapsed="false">
      <c r="C944" s="11"/>
      <c r="D944" s="11"/>
      <c r="E944" s="11"/>
      <c r="F944" s="11"/>
      <c r="G944" s="11"/>
      <c r="H944" s="11"/>
      <c r="I944" s="11"/>
      <c r="J944" s="11"/>
      <c r="K944" s="11"/>
      <c r="L944" s="11"/>
      <c r="M944" s="11"/>
      <c r="N944" s="44" t="n">
        <v>14.87</v>
      </c>
      <c r="O944" s="11"/>
    </row>
    <row r="945" customFormat="false" ht="14.25" hidden="false" customHeight="true" outlineLevel="0" collapsed="false">
      <c r="C945" s="11"/>
      <c r="D945" s="11"/>
      <c r="E945" s="11"/>
      <c r="F945" s="11"/>
      <c r="G945" s="11"/>
      <c r="H945" s="11"/>
      <c r="I945" s="11"/>
      <c r="J945" s="11"/>
      <c r="K945" s="11"/>
      <c r="L945" s="11"/>
      <c r="M945" s="11"/>
      <c r="N945" s="44" t="n">
        <v>15.09</v>
      </c>
      <c r="O945" s="11"/>
    </row>
    <row r="946" customFormat="false" ht="14.25" hidden="false" customHeight="true" outlineLevel="0" collapsed="false">
      <c r="C946" s="11"/>
      <c r="D946" s="11"/>
      <c r="E946" s="11"/>
      <c r="F946" s="11"/>
      <c r="G946" s="11"/>
      <c r="H946" s="11"/>
      <c r="I946" s="11"/>
      <c r="J946" s="11"/>
      <c r="K946" s="11"/>
      <c r="L946" s="11"/>
      <c r="M946" s="11"/>
      <c r="N946" s="44" t="n">
        <v>14.55</v>
      </c>
      <c r="O946" s="11"/>
    </row>
    <row r="947" customFormat="false" ht="14.25" hidden="false" customHeight="true" outlineLevel="0" collapsed="false">
      <c r="C947" s="11"/>
      <c r="D947" s="11"/>
      <c r="E947" s="11"/>
      <c r="F947" s="11"/>
      <c r="G947" s="11"/>
      <c r="H947" s="11"/>
      <c r="I947" s="11"/>
      <c r="J947" s="11"/>
      <c r="K947" s="11"/>
      <c r="L947" s="11"/>
      <c r="M947" s="11"/>
      <c r="N947" s="44" t="n">
        <v>14.79</v>
      </c>
      <c r="O947" s="11"/>
    </row>
    <row r="948" customFormat="false" ht="14.25" hidden="false" customHeight="true" outlineLevel="0" collapsed="false">
      <c r="C948" s="11"/>
      <c r="D948" s="11"/>
      <c r="E948" s="11"/>
      <c r="F948" s="11"/>
      <c r="G948" s="11"/>
      <c r="H948" s="11"/>
      <c r="I948" s="11"/>
      <c r="J948" s="11"/>
      <c r="K948" s="11"/>
      <c r="L948" s="11"/>
      <c r="M948" s="11"/>
      <c r="N948" s="44" t="n">
        <v>14.84</v>
      </c>
      <c r="O948" s="11"/>
    </row>
    <row r="949" customFormat="false" ht="14.25" hidden="false" customHeight="true" outlineLevel="0" collapsed="false">
      <c r="C949" s="11"/>
      <c r="D949" s="11"/>
      <c r="E949" s="11"/>
      <c r="F949" s="11"/>
      <c r="G949" s="11"/>
      <c r="H949" s="11"/>
      <c r="I949" s="11"/>
      <c r="J949" s="11"/>
      <c r="K949" s="11"/>
      <c r="L949" s="11"/>
      <c r="M949" s="11"/>
      <c r="N949" s="44" t="n">
        <v>15.07</v>
      </c>
      <c r="O949" s="11"/>
    </row>
    <row r="950" customFormat="false" ht="14.25" hidden="false" customHeight="true" outlineLevel="0" collapsed="false">
      <c r="C950" s="11"/>
      <c r="D950" s="11"/>
      <c r="E950" s="11"/>
      <c r="F950" s="11"/>
      <c r="G950" s="11"/>
      <c r="H950" s="11"/>
      <c r="I950" s="11"/>
      <c r="J950" s="11"/>
      <c r="K950" s="11"/>
      <c r="L950" s="11"/>
      <c r="M950" s="11"/>
      <c r="N950" s="44" t="n">
        <v>14.82</v>
      </c>
      <c r="O950" s="11"/>
    </row>
    <row r="951" customFormat="false" ht="14.25" hidden="false" customHeight="true" outlineLevel="0" collapsed="false">
      <c r="C951" s="11"/>
      <c r="D951" s="11"/>
      <c r="E951" s="11"/>
      <c r="F951" s="11"/>
      <c r="G951" s="11"/>
      <c r="H951" s="11"/>
      <c r="I951" s="11"/>
      <c r="J951" s="11"/>
      <c r="K951" s="11"/>
      <c r="L951" s="11"/>
      <c r="M951" s="11"/>
      <c r="N951" s="44" t="n">
        <v>14.93</v>
      </c>
      <c r="O951" s="11"/>
    </row>
    <row r="952" customFormat="false" ht="14.25" hidden="false" customHeight="true" outlineLevel="0" collapsed="false">
      <c r="C952" s="11"/>
      <c r="D952" s="11"/>
      <c r="E952" s="11"/>
      <c r="F952" s="11"/>
      <c r="G952" s="11"/>
      <c r="H952" s="11"/>
      <c r="I952" s="11"/>
      <c r="J952" s="11"/>
      <c r="K952" s="11"/>
      <c r="L952" s="11"/>
      <c r="M952" s="11"/>
      <c r="N952" s="44" t="n">
        <v>14.91</v>
      </c>
      <c r="O952" s="11"/>
    </row>
    <row r="953" customFormat="false" ht="14.25" hidden="false" customHeight="true" outlineLevel="0" collapsed="false">
      <c r="C953" s="11"/>
      <c r="D953" s="11"/>
      <c r="E953" s="11"/>
      <c r="F953" s="11"/>
      <c r="G953" s="11"/>
      <c r="H953" s="11"/>
      <c r="I953" s="11"/>
      <c r="J953" s="11"/>
      <c r="K953" s="11"/>
      <c r="L953" s="11"/>
      <c r="M953" s="11"/>
      <c r="N953" s="44" t="n">
        <v>15.12</v>
      </c>
      <c r="O953" s="11"/>
    </row>
    <row r="954" customFormat="false" ht="14.25" hidden="false" customHeight="true" outlineLevel="0" collapsed="false">
      <c r="C954" s="11"/>
      <c r="D954" s="11"/>
      <c r="E954" s="11"/>
      <c r="F954" s="11"/>
      <c r="G954" s="11"/>
      <c r="H954" s="11"/>
      <c r="I954" s="11"/>
      <c r="J954" s="11"/>
      <c r="K954" s="11"/>
      <c r="L954" s="11"/>
      <c r="M954" s="11"/>
      <c r="N954" s="44" t="n">
        <v>14.88</v>
      </c>
      <c r="O954" s="11"/>
    </row>
    <row r="955" customFormat="false" ht="14.25" hidden="false" customHeight="true" outlineLevel="0" collapsed="false">
      <c r="C955" s="11"/>
      <c r="D955" s="11"/>
      <c r="E955" s="11"/>
      <c r="F955" s="11"/>
      <c r="G955" s="11"/>
      <c r="H955" s="11"/>
      <c r="I955" s="11"/>
      <c r="J955" s="11"/>
      <c r="K955" s="11"/>
      <c r="L955" s="11"/>
      <c r="M955" s="11"/>
      <c r="N955" s="44" t="n">
        <v>14.68</v>
      </c>
      <c r="O955" s="11"/>
    </row>
    <row r="956" customFormat="false" ht="14.25" hidden="false" customHeight="true" outlineLevel="0" collapsed="false">
      <c r="C956" s="11"/>
      <c r="D956" s="11"/>
      <c r="E956" s="11"/>
      <c r="F956" s="11"/>
      <c r="G956" s="11"/>
      <c r="H956" s="11"/>
      <c r="I956" s="11"/>
      <c r="J956" s="11"/>
      <c r="K956" s="11"/>
      <c r="L956" s="11"/>
      <c r="M956" s="11"/>
      <c r="N956" s="44" t="n">
        <v>14.66</v>
      </c>
      <c r="O956" s="11"/>
    </row>
    <row r="957" customFormat="false" ht="14.25" hidden="false" customHeight="true" outlineLevel="0" collapsed="false">
      <c r="C957" s="11"/>
      <c r="D957" s="11"/>
      <c r="E957" s="11"/>
      <c r="F957" s="11"/>
      <c r="G957" s="11"/>
      <c r="H957" s="11"/>
      <c r="I957" s="11"/>
      <c r="J957" s="11"/>
      <c r="K957" s="11"/>
      <c r="L957" s="11"/>
      <c r="M957" s="11"/>
      <c r="N957" s="44" t="n">
        <v>14.19</v>
      </c>
      <c r="O957" s="11"/>
    </row>
    <row r="958" customFormat="false" ht="14.25" hidden="false" customHeight="true" outlineLevel="0" collapsed="false">
      <c r="C958" s="11"/>
      <c r="D958" s="11"/>
      <c r="E958" s="11"/>
      <c r="F958" s="11"/>
      <c r="G958" s="11"/>
      <c r="H958" s="11"/>
      <c r="I958" s="11"/>
      <c r="J958" s="11"/>
      <c r="K958" s="11"/>
      <c r="L958" s="11"/>
      <c r="M958" s="11"/>
      <c r="N958" s="44" t="n">
        <v>14.37</v>
      </c>
      <c r="O958" s="11"/>
    </row>
    <row r="959" customFormat="false" ht="14.25" hidden="false" customHeight="true" outlineLevel="0" collapsed="false">
      <c r="C959" s="11"/>
      <c r="D959" s="11"/>
      <c r="E959" s="11"/>
      <c r="F959" s="11"/>
      <c r="G959" s="11"/>
      <c r="H959" s="11"/>
      <c r="I959" s="11"/>
      <c r="J959" s="11"/>
      <c r="K959" s="11"/>
      <c r="L959" s="11"/>
      <c r="M959" s="11"/>
      <c r="N959" s="44" t="n">
        <v>14.43</v>
      </c>
      <c r="O959" s="11"/>
    </row>
    <row r="960" customFormat="false" ht="14.25" hidden="false" customHeight="true" outlineLevel="0" collapsed="false">
      <c r="C960" s="11"/>
      <c r="D960" s="11"/>
      <c r="E960" s="11"/>
      <c r="F960" s="11"/>
      <c r="G960" s="11"/>
      <c r="H960" s="11"/>
      <c r="I960" s="11"/>
      <c r="J960" s="11"/>
      <c r="K960" s="11"/>
      <c r="L960" s="11"/>
      <c r="M960" s="11"/>
      <c r="N960" s="44" t="n">
        <v>14.78</v>
      </c>
      <c r="O960" s="11"/>
    </row>
    <row r="961" customFormat="false" ht="14.25" hidden="false" customHeight="true" outlineLevel="0" collapsed="false">
      <c r="C961" s="11"/>
      <c r="D961" s="11"/>
      <c r="E961" s="11"/>
      <c r="F961" s="11"/>
      <c r="G961" s="11"/>
      <c r="H961" s="11"/>
      <c r="I961" s="11"/>
      <c r="J961" s="11"/>
      <c r="K961" s="11"/>
      <c r="L961" s="11"/>
      <c r="M961" s="11"/>
      <c r="N961" s="44" t="n">
        <v>14.52</v>
      </c>
      <c r="O961" s="11"/>
    </row>
    <row r="962" customFormat="false" ht="14.25" hidden="false" customHeight="true" outlineLevel="0" collapsed="false">
      <c r="C962" s="11"/>
      <c r="D962" s="11"/>
      <c r="E962" s="11"/>
      <c r="F962" s="11"/>
      <c r="G962" s="11"/>
      <c r="H962" s="11"/>
      <c r="I962" s="11"/>
      <c r="J962" s="11"/>
      <c r="K962" s="11"/>
      <c r="L962" s="11"/>
      <c r="M962" s="11"/>
      <c r="N962" s="44" t="n">
        <v>14.41</v>
      </c>
      <c r="O962" s="11"/>
    </row>
    <row r="963" customFormat="false" ht="14.25" hidden="false" customHeight="true" outlineLevel="0" collapsed="false">
      <c r="C963" s="11"/>
      <c r="D963" s="11"/>
      <c r="E963" s="11"/>
      <c r="F963" s="11"/>
      <c r="G963" s="11"/>
      <c r="H963" s="11"/>
      <c r="I963" s="11"/>
      <c r="J963" s="11"/>
      <c r="K963" s="11"/>
      <c r="L963" s="11"/>
      <c r="M963" s="11"/>
      <c r="N963" s="44" t="n">
        <v>14.5</v>
      </c>
      <c r="O963" s="11"/>
    </row>
    <row r="964" customFormat="false" ht="14.25" hidden="false" customHeight="true" outlineLevel="0" collapsed="false">
      <c r="C964" s="11"/>
      <c r="D964" s="11"/>
      <c r="E964" s="11"/>
      <c r="F964" s="11"/>
      <c r="G964" s="11"/>
      <c r="H964" s="11"/>
      <c r="I964" s="11"/>
      <c r="J964" s="11"/>
      <c r="K964" s="11"/>
      <c r="L964" s="11"/>
      <c r="M964" s="11"/>
      <c r="N964" s="44" t="n">
        <v>14.04</v>
      </c>
      <c r="O964" s="11"/>
    </row>
    <row r="965" customFormat="false" ht="14.25" hidden="false" customHeight="true" outlineLevel="0" collapsed="false">
      <c r="C965" s="11"/>
      <c r="D965" s="11"/>
      <c r="E965" s="11"/>
      <c r="F965" s="11"/>
      <c r="G965" s="11"/>
      <c r="H965" s="11"/>
      <c r="I965" s="11"/>
      <c r="J965" s="11"/>
      <c r="K965" s="11"/>
      <c r="L965" s="11"/>
      <c r="M965" s="11"/>
      <c r="N965" s="44" t="n">
        <v>13.85</v>
      </c>
      <c r="O965" s="11"/>
    </row>
    <row r="966" customFormat="false" ht="14.25" hidden="false" customHeight="true" outlineLevel="0" collapsed="false">
      <c r="C966" s="11"/>
      <c r="D966" s="11"/>
      <c r="E966" s="11"/>
      <c r="F966" s="11"/>
      <c r="G966" s="11"/>
      <c r="H966" s="11"/>
      <c r="I966" s="11"/>
      <c r="J966" s="11"/>
      <c r="K966" s="11"/>
      <c r="L966" s="11"/>
      <c r="M966" s="11"/>
      <c r="N966" s="44" t="n">
        <v>14.33</v>
      </c>
      <c r="O966" s="11"/>
    </row>
    <row r="967" customFormat="false" ht="14.25" hidden="false" customHeight="true" outlineLevel="0" collapsed="false">
      <c r="C967" s="11"/>
      <c r="D967" s="11"/>
      <c r="E967" s="11"/>
      <c r="F967" s="11"/>
      <c r="G967" s="11"/>
      <c r="H967" s="11"/>
      <c r="I967" s="11"/>
      <c r="J967" s="11"/>
      <c r="K967" s="11"/>
      <c r="L967" s="11"/>
      <c r="M967" s="11"/>
      <c r="N967" s="44" t="n">
        <v>14.55</v>
      </c>
      <c r="O967" s="11"/>
    </row>
    <row r="968" customFormat="false" ht="14.25" hidden="false" customHeight="true" outlineLevel="0" collapsed="false">
      <c r="C968" s="11"/>
      <c r="D968" s="11"/>
      <c r="E968" s="11"/>
      <c r="F968" s="11"/>
      <c r="G968" s="11"/>
      <c r="H968" s="11"/>
      <c r="I968" s="11"/>
      <c r="J968" s="11"/>
      <c r="K968" s="11"/>
      <c r="L968" s="11"/>
      <c r="M968" s="11"/>
      <c r="N968" s="44" t="n">
        <v>14.49</v>
      </c>
      <c r="O968" s="11"/>
    </row>
    <row r="969" customFormat="false" ht="14.25" hidden="false" customHeight="true" outlineLevel="0" collapsed="false">
      <c r="C969" s="11"/>
      <c r="D969" s="11"/>
      <c r="E969" s="11"/>
      <c r="F969" s="11"/>
      <c r="G969" s="11"/>
      <c r="H969" s="11"/>
      <c r="I969" s="11"/>
      <c r="J969" s="11"/>
      <c r="K969" s="11"/>
      <c r="L969" s="11"/>
      <c r="M969" s="11"/>
      <c r="N969" s="44" t="n">
        <v>14.65</v>
      </c>
      <c r="O969" s="11"/>
    </row>
    <row r="970" customFormat="false" ht="14.25" hidden="false" customHeight="true" outlineLevel="0" collapsed="false">
      <c r="C970" s="11"/>
      <c r="D970" s="11"/>
      <c r="E970" s="11"/>
      <c r="F970" s="11"/>
      <c r="G970" s="11"/>
      <c r="H970" s="11"/>
      <c r="I970" s="11"/>
      <c r="J970" s="11"/>
      <c r="K970" s="11"/>
      <c r="L970" s="11"/>
      <c r="M970" s="11"/>
      <c r="N970" s="44" t="n">
        <v>14.59</v>
      </c>
      <c r="O970" s="11"/>
    </row>
    <row r="971" customFormat="false" ht="14.25" hidden="false" customHeight="true" outlineLevel="0" collapsed="false">
      <c r="C971" s="11"/>
      <c r="D971" s="11"/>
      <c r="E971" s="11"/>
      <c r="F971" s="11"/>
      <c r="G971" s="11"/>
      <c r="H971" s="11"/>
      <c r="I971" s="11"/>
      <c r="J971" s="11"/>
      <c r="K971" s="11"/>
      <c r="L971" s="11"/>
      <c r="M971" s="11"/>
      <c r="N971" s="44" t="n">
        <v>13.95</v>
      </c>
      <c r="O971" s="11"/>
    </row>
    <row r="972" customFormat="false" ht="14.25" hidden="false" customHeight="true" outlineLevel="0" collapsed="false">
      <c r="C972" s="11"/>
      <c r="D972" s="11"/>
      <c r="E972" s="11"/>
      <c r="F972" s="11"/>
      <c r="G972" s="11"/>
      <c r="H972" s="11"/>
      <c r="I972" s="11"/>
      <c r="J972" s="11"/>
      <c r="K972" s="11"/>
      <c r="L972" s="11"/>
      <c r="M972" s="11"/>
      <c r="N972" s="44" t="n">
        <v>14.06</v>
      </c>
      <c r="O972" s="11"/>
    </row>
    <row r="973" customFormat="false" ht="14.25" hidden="false" customHeight="true" outlineLevel="0" collapsed="false">
      <c r="C973" s="11"/>
      <c r="D973" s="11"/>
      <c r="E973" s="11"/>
      <c r="F973" s="11"/>
      <c r="G973" s="11"/>
      <c r="H973" s="11"/>
      <c r="I973" s="11"/>
      <c r="J973" s="11"/>
      <c r="K973" s="11"/>
      <c r="L973" s="11"/>
      <c r="M973" s="11"/>
      <c r="N973" s="44" t="n">
        <v>13.91</v>
      </c>
      <c r="O973" s="11"/>
    </row>
    <row r="974" customFormat="false" ht="14.25" hidden="false" customHeight="true" outlineLevel="0" collapsed="false">
      <c r="C974" s="11"/>
      <c r="D974" s="11"/>
      <c r="E974" s="11"/>
      <c r="F974" s="11"/>
      <c r="G974" s="11"/>
      <c r="H974" s="11"/>
      <c r="I974" s="11"/>
      <c r="J974" s="11"/>
      <c r="K974" s="11"/>
      <c r="L974" s="11"/>
      <c r="M974" s="11"/>
      <c r="N974" s="44" t="n">
        <v>14.06</v>
      </c>
      <c r="O974" s="11"/>
    </row>
    <row r="975" customFormat="false" ht="14.25" hidden="false" customHeight="true" outlineLevel="0" collapsed="false">
      <c r="C975" s="11"/>
      <c r="D975" s="11"/>
      <c r="E975" s="11"/>
      <c r="F975" s="11"/>
      <c r="G975" s="11"/>
      <c r="H975" s="11"/>
      <c r="I975" s="11"/>
      <c r="J975" s="11"/>
      <c r="K975" s="11"/>
      <c r="L975" s="11"/>
      <c r="M975" s="11"/>
      <c r="N975" s="44" t="n">
        <v>14.28</v>
      </c>
      <c r="O975" s="11"/>
    </row>
    <row r="976" customFormat="false" ht="14.25" hidden="false" customHeight="true" outlineLevel="0" collapsed="false">
      <c r="C976" s="11"/>
      <c r="D976" s="11"/>
      <c r="E976" s="11"/>
      <c r="F976" s="11"/>
      <c r="G976" s="11"/>
      <c r="H976" s="11"/>
      <c r="I976" s="11"/>
      <c r="J976" s="11"/>
      <c r="K976" s="11"/>
      <c r="L976" s="11"/>
      <c r="M976" s="11"/>
      <c r="N976" s="44" t="n">
        <v>14.34</v>
      </c>
      <c r="O976" s="11"/>
    </row>
    <row r="977" customFormat="false" ht="14.25" hidden="false" customHeight="true" outlineLevel="0" collapsed="false">
      <c r="C977" s="11"/>
      <c r="D977" s="11"/>
      <c r="E977" s="11"/>
      <c r="F977" s="11"/>
      <c r="G977" s="11"/>
      <c r="H977" s="11"/>
      <c r="I977" s="11"/>
      <c r="J977" s="11"/>
      <c r="K977" s="11"/>
      <c r="L977" s="11"/>
      <c r="M977" s="11"/>
      <c r="N977" s="44" t="n">
        <v>14.34</v>
      </c>
      <c r="O977" s="11"/>
    </row>
    <row r="978" customFormat="false" ht="14.25" hidden="false" customHeight="true" outlineLevel="0" collapsed="false">
      <c r="C978" s="11"/>
      <c r="D978" s="11"/>
      <c r="E978" s="11"/>
      <c r="F978" s="11"/>
      <c r="G978" s="11"/>
      <c r="H978" s="11"/>
      <c r="I978" s="11"/>
      <c r="J978" s="11"/>
      <c r="K978" s="11"/>
      <c r="L978" s="11"/>
      <c r="M978" s="11"/>
      <c r="N978" s="44" t="n">
        <v>14.01</v>
      </c>
      <c r="O978" s="11"/>
    </row>
    <row r="979" customFormat="false" ht="14.25" hidden="false" customHeight="true" outlineLevel="0" collapsed="false">
      <c r="C979" s="11"/>
      <c r="D979" s="11"/>
      <c r="E979" s="11"/>
      <c r="F979" s="11"/>
      <c r="G979" s="11"/>
      <c r="H979" s="11"/>
      <c r="I979" s="11"/>
      <c r="J979" s="11"/>
      <c r="K979" s="11"/>
      <c r="L979" s="11"/>
      <c r="M979" s="11"/>
      <c r="N979" s="44" t="n">
        <v>14.2</v>
      </c>
      <c r="O979" s="11"/>
    </row>
    <row r="980" customFormat="false" ht="14.25" hidden="false" customHeight="true" outlineLevel="0" collapsed="false">
      <c r="C980" s="11"/>
      <c r="D980" s="11"/>
      <c r="E980" s="11"/>
      <c r="F980" s="11"/>
      <c r="G980" s="11"/>
      <c r="H980" s="11"/>
      <c r="I980" s="11"/>
      <c r="J980" s="11"/>
      <c r="K980" s="11"/>
      <c r="L980" s="11"/>
      <c r="M980" s="11"/>
      <c r="N980" s="44" t="n">
        <v>14.63</v>
      </c>
      <c r="O980" s="11"/>
    </row>
    <row r="981" customFormat="false" ht="14.25" hidden="false" customHeight="true" outlineLevel="0" collapsed="false">
      <c r="C981" s="11"/>
      <c r="D981" s="11"/>
      <c r="E981" s="11"/>
      <c r="F981" s="11"/>
      <c r="G981" s="11"/>
      <c r="H981" s="11"/>
      <c r="I981" s="11"/>
      <c r="J981" s="11"/>
      <c r="K981" s="11"/>
      <c r="L981" s="11"/>
      <c r="M981" s="11"/>
      <c r="N981" s="44" t="n">
        <v>14.58</v>
      </c>
      <c r="O981" s="11"/>
    </row>
    <row r="982" customFormat="false" ht="14.25" hidden="false" customHeight="true" outlineLevel="0" collapsed="false">
      <c r="C982" s="11"/>
      <c r="D982" s="11"/>
      <c r="E982" s="11"/>
      <c r="F982" s="11"/>
      <c r="G982" s="11"/>
      <c r="H982" s="11"/>
      <c r="I982" s="11"/>
      <c r="J982" s="11"/>
      <c r="K982" s="11"/>
      <c r="L982" s="11"/>
      <c r="M982" s="11"/>
      <c r="N982" s="44" t="n">
        <v>15.02</v>
      </c>
      <c r="O982" s="11"/>
    </row>
    <row r="983" customFormat="false" ht="14.25" hidden="false" customHeight="true" outlineLevel="0" collapsed="false">
      <c r="C983" s="11"/>
      <c r="D983" s="11"/>
      <c r="E983" s="11"/>
      <c r="F983" s="11"/>
      <c r="G983" s="11"/>
      <c r="H983" s="11"/>
      <c r="I983" s="11"/>
      <c r="J983" s="11"/>
      <c r="K983" s="11"/>
      <c r="L983" s="11"/>
      <c r="M983" s="11"/>
      <c r="N983" s="44" t="n">
        <v>15.36</v>
      </c>
      <c r="O983" s="11"/>
    </row>
    <row r="984" customFormat="false" ht="14.25" hidden="false" customHeight="true" outlineLevel="0" collapsed="false">
      <c r="C984" s="11"/>
      <c r="D984" s="11"/>
      <c r="E984" s="11"/>
      <c r="F984" s="11"/>
      <c r="G984" s="11"/>
      <c r="H984" s="11"/>
      <c r="I984" s="11"/>
      <c r="J984" s="11"/>
      <c r="K984" s="11"/>
      <c r="L984" s="11"/>
      <c r="M984" s="11"/>
      <c r="N984" s="44" t="n">
        <v>15.55</v>
      </c>
      <c r="O984" s="11"/>
    </row>
    <row r="985" customFormat="false" ht="14.25" hidden="false" customHeight="true" outlineLevel="0" collapsed="false">
      <c r="C985" s="11"/>
      <c r="D985" s="11"/>
      <c r="E985" s="11"/>
      <c r="F985" s="11"/>
      <c r="G985" s="11"/>
      <c r="H985" s="11"/>
      <c r="I985" s="11"/>
      <c r="J985" s="11"/>
      <c r="K985" s="11"/>
      <c r="L985" s="11"/>
      <c r="M985" s="11"/>
      <c r="N985" s="44" t="n">
        <v>15.58</v>
      </c>
      <c r="O985" s="11"/>
    </row>
    <row r="986" customFormat="false" ht="14.25" hidden="false" customHeight="true" outlineLevel="0" collapsed="false">
      <c r="C986" s="11"/>
      <c r="D986" s="11"/>
      <c r="E986" s="11"/>
      <c r="F986" s="11"/>
      <c r="G986" s="11"/>
      <c r="H986" s="11"/>
      <c r="I986" s="11"/>
      <c r="J986" s="11"/>
      <c r="K986" s="11"/>
      <c r="L986" s="11"/>
      <c r="M986" s="11"/>
      <c r="N986" s="44" t="n">
        <v>15.8</v>
      </c>
      <c r="O986" s="11"/>
    </row>
    <row r="987" customFormat="false" ht="14.25" hidden="false" customHeight="true" outlineLevel="0" collapsed="false">
      <c r="C987" s="11"/>
      <c r="D987" s="11"/>
      <c r="E987" s="11"/>
      <c r="F987" s="11"/>
      <c r="G987" s="11"/>
      <c r="H987" s="11"/>
      <c r="I987" s="11"/>
      <c r="J987" s="11"/>
      <c r="K987" s="11"/>
      <c r="L987" s="11"/>
      <c r="M987" s="11"/>
      <c r="N987" s="44" t="n">
        <v>15.71</v>
      </c>
      <c r="O987" s="11"/>
    </row>
    <row r="988" customFormat="false" ht="14.25" hidden="false" customHeight="true" outlineLevel="0" collapsed="false">
      <c r="C988" s="11"/>
      <c r="D988" s="11"/>
      <c r="E988" s="11"/>
      <c r="F988" s="11"/>
      <c r="G988" s="11"/>
      <c r="H988" s="11"/>
      <c r="I988" s="11"/>
      <c r="J988" s="11"/>
      <c r="K988" s="11"/>
      <c r="L988" s="11"/>
      <c r="M988" s="11"/>
      <c r="N988" s="44" t="n">
        <v>15.61</v>
      </c>
      <c r="O988" s="11"/>
    </row>
    <row r="989" customFormat="false" ht="14.25" hidden="false" customHeight="true" outlineLevel="0" collapsed="false">
      <c r="C989" s="11"/>
      <c r="D989" s="11"/>
      <c r="E989" s="11"/>
      <c r="F989" s="11"/>
      <c r="G989" s="11"/>
      <c r="H989" s="11"/>
      <c r="I989" s="11"/>
      <c r="J989" s="11"/>
      <c r="K989" s="11"/>
      <c r="L989" s="11"/>
      <c r="M989" s="11"/>
      <c r="N989" s="44" t="n">
        <v>15.45</v>
      </c>
      <c r="O989" s="11"/>
    </row>
    <row r="990" customFormat="false" ht="14.25" hidden="false" customHeight="true" outlineLevel="0" collapsed="false">
      <c r="C990" s="11"/>
      <c r="D990" s="11"/>
      <c r="E990" s="11"/>
      <c r="F990" s="11"/>
      <c r="G990" s="11"/>
      <c r="H990" s="11"/>
      <c r="I990" s="11"/>
      <c r="J990" s="11"/>
      <c r="K990" s="11"/>
      <c r="L990" s="11"/>
      <c r="M990" s="11"/>
      <c r="N990" s="44" t="n">
        <v>15.01</v>
      </c>
      <c r="O990" s="11"/>
    </row>
    <row r="991" customFormat="false" ht="14.25" hidden="false" customHeight="true" outlineLevel="0" collapsed="false">
      <c r="C991" s="11"/>
      <c r="D991" s="11"/>
      <c r="E991" s="11"/>
      <c r="F991" s="11"/>
      <c r="G991" s="11"/>
      <c r="H991" s="11"/>
      <c r="I991" s="11"/>
      <c r="J991" s="11"/>
      <c r="K991" s="11"/>
      <c r="L991" s="11"/>
      <c r="M991" s="11"/>
      <c r="N991" s="44" t="n">
        <v>14.99</v>
      </c>
      <c r="O991" s="11"/>
    </row>
    <row r="992" customFormat="false" ht="14.25" hidden="false" customHeight="true" outlineLevel="0" collapsed="false">
      <c r="C992" s="11"/>
      <c r="D992" s="11"/>
      <c r="E992" s="11"/>
      <c r="F992" s="11"/>
      <c r="G992" s="11"/>
      <c r="H992" s="11"/>
      <c r="I992" s="11"/>
      <c r="J992" s="11"/>
      <c r="K992" s="11"/>
      <c r="L992" s="11"/>
      <c r="M992" s="11"/>
      <c r="N992" s="44" t="n">
        <v>15.18</v>
      </c>
      <c r="O992" s="11"/>
    </row>
    <row r="993" customFormat="false" ht="14.25" hidden="false" customHeight="true" outlineLevel="0" collapsed="false">
      <c r="C993" s="11"/>
      <c r="D993" s="11"/>
      <c r="E993" s="11"/>
      <c r="F993" s="11"/>
      <c r="G993" s="11"/>
      <c r="H993" s="11"/>
      <c r="I993" s="11"/>
      <c r="J993" s="11"/>
      <c r="K993" s="11"/>
      <c r="L993" s="11"/>
      <c r="M993" s="11"/>
      <c r="N993" s="44" t="n">
        <v>14.99</v>
      </c>
      <c r="O993" s="11"/>
    </row>
    <row r="994" customFormat="false" ht="14.25" hidden="false" customHeight="true" outlineLevel="0" collapsed="false">
      <c r="C994" s="11"/>
      <c r="D994" s="11"/>
      <c r="E994" s="11"/>
      <c r="F994" s="11"/>
      <c r="G994" s="11"/>
      <c r="H994" s="11"/>
      <c r="I994" s="11"/>
      <c r="J994" s="11"/>
      <c r="K994" s="11"/>
      <c r="L994" s="11"/>
      <c r="M994" s="11"/>
      <c r="N994" s="44" t="n">
        <v>15.24</v>
      </c>
      <c r="O994" s="11"/>
    </row>
    <row r="995" customFormat="false" ht="14.25" hidden="false" customHeight="true" outlineLevel="0" collapsed="false">
      <c r="C995" s="11"/>
      <c r="D995" s="11"/>
      <c r="E995" s="11"/>
      <c r="F995" s="11"/>
      <c r="G995" s="11"/>
      <c r="H995" s="11"/>
      <c r="I995" s="11"/>
      <c r="J995" s="11"/>
      <c r="K995" s="11"/>
      <c r="L995" s="11"/>
      <c r="M995" s="11"/>
      <c r="N995" s="44" t="n">
        <v>15</v>
      </c>
      <c r="O995" s="11"/>
    </row>
    <row r="996" customFormat="false" ht="14.25" hidden="false" customHeight="true" outlineLevel="0" collapsed="false">
      <c r="C996" s="11"/>
      <c r="D996" s="11"/>
      <c r="E996" s="11"/>
      <c r="F996" s="11"/>
      <c r="G996" s="11"/>
      <c r="H996" s="11"/>
      <c r="I996" s="11"/>
      <c r="J996" s="11"/>
      <c r="K996" s="11"/>
      <c r="L996" s="11"/>
      <c r="M996" s="11"/>
      <c r="N996" s="44" t="n">
        <v>14.94</v>
      </c>
      <c r="O996" s="11"/>
    </row>
    <row r="997" customFormat="false" ht="14.25" hidden="false" customHeight="true" outlineLevel="0" collapsed="false">
      <c r="C997" s="11"/>
      <c r="D997" s="11"/>
      <c r="E997" s="11"/>
      <c r="F997" s="11"/>
      <c r="G997" s="11"/>
      <c r="H997" s="11"/>
      <c r="I997" s="11"/>
      <c r="J997" s="11"/>
      <c r="K997" s="11"/>
      <c r="L997" s="11"/>
      <c r="M997" s="11"/>
      <c r="N997" s="44" t="n">
        <v>14.96</v>
      </c>
      <c r="O997" s="11"/>
    </row>
    <row r="998" customFormat="false" ht="14.25" hidden="false" customHeight="true" outlineLevel="0" collapsed="false">
      <c r="C998" s="11"/>
      <c r="D998" s="11"/>
      <c r="E998" s="11"/>
      <c r="F998" s="11"/>
      <c r="G998" s="11"/>
      <c r="H998" s="11"/>
      <c r="I998" s="11"/>
      <c r="J998" s="11"/>
      <c r="K998" s="11"/>
      <c r="L998" s="11"/>
      <c r="M998" s="11"/>
      <c r="N998" s="44" t="n">
        <v>14.63</v>
      </c>
      <c r="O998" s="11"/>
    </row>
    <row r="999" customFormat="false" ht="14.25" hidden="false" customHeight="true" outlineLevel="0" collapsed="false">
      <c r="C999" s="11"/>
      <c r="D999" s="11"/>
      <c r="E999" s="11"/>
      <c r="F999" s="11"/>
      <c r="G999" s="11"/>
      <c r="H999" s="11"/>
      <c r="I999" s="11"/>
      <c r="J999" s="11"/>
      <c r="K999" s="11"/>
      <c r="L999" s="11"/>
      <c r="M999" s="11"/>
      <c r="N999" s="44" t="n">
        <v>14.15</v>
      </c>
      <c r="O999" s="11"/>
    </row>
    <row r="1000" customFormat="false" ht="14.25" hidden="false" customHeight="true" outlineLevel="0" collapsed="false">
      <c r="C1000" s="11"/>
      <c r="D1000" s="11"/>
      <c r="E1000" s="11"/>
      <c r="F1000" s="11"/>
      <c r="G1000" s="11"/>
      <c r="H1000" s="11"/>
      <c r="I1000" s="11"/>
      <c r="J1000" s="11"/>
      <c r="K1000" s="11"/>
      <c r="L1000" s="11"/>
      <c r="M1000" s="11"/>
      <c r="N1000" s="44" t="n">
        <v>14.26</v>
      </c>
      <c r="O1000" s="11"/>
    </row>
    <row r="1001" customFormat="false" ht="14.25" hidden="false" customHeight="true" outlineLevel="0" collapsed="false">
      <c r="C1001" s="11"/>
      <c r="D1001" s="11"/>
      <c r="E1001" s="11"/>
      <c r="F1001" s="11"/>
      <c r="G1001" s="11"/>
      <c r="H1001" s="11"/>
      <c r="I1001" s="11"/>
      <c r="J1001" s="11"/>
      <c r="K1001" s="11"/>
      <c r="L1001" s="11"/>
      <c r="M1001" s="11"/>
      <c r="N1001" s="44" t="n">
        <v>14.35</v>
      </c>
      <c r="O1001" s="11"/>
    </row>
    <row r="1002" customFormat="false" ht="14.25" hidden="false" customHeight="true" outlineLevel="0" collapsed="false">
      <c r="C1002" s="11"/>
      <c r="D1002" s="11"/>
      <c r="E1002" s="11"/>
      <c r="F1002" s="11"/>
      <c r="G1002" s="11"/>
      <c r="H1002" s="11"/>
      <c r="I1002" s="11"/>
      <c r="J1002" s="11"/>
      <c r="K1002" s="11"/>
      <c r="L1002" s="11"/>
      <c r="M1002" s="11"/>
      <c r="N1002" s="44" t="n">
        <v>14.2</v>
      </c>
      <c r="O1002" s="11"/>
    </row>
    <row r="1003" customFormat="false" ht="14.25" hidden="false" customHeight="true" outlineLevel="0" collapsed="false">
      <c r="C1003" s="11"/>
      <c r="D1003" s="11"/>
      <c r="E1003" s="11"/>
      <c r="F1003" s="11"/>
      <c r="G1003" s="11"/>
      <c r="H1003" s="11"/>
      <c r="I1003" s="11"/>
      <c r="J1003" s="11"/>
      <c r="K1003" s="11"/>
      <c r="L1003" s="11"/>
      <c r="M1003" s="11"/>
      <c r="N1003" s="44" t="n">
        <v>14.05</v>
      </c>
      <c r="O1003" s="11"/>
    </row>
    <row r="1004" customFormat="false" ht="14.25" hidden="false" customHeight="true" outlineLevel="0" collapsed="false">
      <c r="C1004" s="11"/>
      <c r="D1004" s="11"/>
      <c r="E1004" s="11"/>
      <c r="F1004" s="11"/>
      <c r="G1004" s="11"/>
      <c r="H1004" s="11"/>
      <c r="I1004" s="11"/>
      <c r="J1004" s="11"/>
      <c r="K1004" s="11"/>
      <c r="L1004" s="11"/>
      <c r="M1004" s="11"/>
      <c r="N1004" s="44" t="n">
        <v>14.04</v>
      </c>
      <c r="O1004" s="11"/>
    </row>
    <row r="1005" customFormat="false" ht="14.25" hidden="false" customHeight="true" outlineLevel="0" collapsed="false">
      <c r="C1005" s="11"/>
      <c r="D1005" s="11"/>
      <c r="E1005" s="11"/>
      <c r="F1005" s="11"/>
      <c r="G1005" s="11"/>
      <c r="H1005" s="11"/>
      <c r="I1005" s="11"/>
      <c r="J1005" s="11"/>
      <c r="K1005" s="11"/>
      <c r="L1005" s="11"/>
      <c r="M1005" s="11"/>
      <c r="N1005" s="44" t="n">
        <v>14.25</v>
      </c>
      <c r="O1005" s="11"/>
    </row>
    <row r="1006" customFormat="false" ht="14.25" hidden="false" customHeight="true" outlineLevel="0" collapsed="false">
      <c r="C1006" s="11"/>
      <c r="D1006" s="11"/>
      <c r="E1006" s="11"/>
      <c r="F1006" s="11"/>
      <c r="G1006" s="11"/>
      <c r="H1006" s="11"/>
      <c r="I1006" s="11"/>
      <c r="J1006" s="11"/>
      <c r="K1006" s="11"/>
      <c r="L1006" s="11"/>
      <c r="M1006" s="11"/>
      <c r="N1006" s="44" t="n">
        <v>14.54</v>
      </c>
      <c r="O1006" s="11"/>
    </row>
    <row r="1007" customFormat="false" ht="14.25" hidden="false" customHeight="true" outlineLevel="0" collapsed="false">
      <c r="C1007" s="11"/>
      <c r="D1007" s="11"/>
      <c r="E1007" s="11"/>
      <c r="F1007" s="11"/>
      <c r="G1007" s="11"/>
      <c r="H1007" s="11"/>
      <c r="I1007" s="11"/>
      <c r="J1007" s="11"/>
      <c r="K1007" s="11"/>
      <c r="L1007" s="11"/>
      <c r="M1007" s="11"/>
      <c r="N1007" s="44" t="n">
        <v>14.65</v>
      </c>
      <c r="O1007" s="11"/>
    </row>
    <row r="1008" customFormat="false" ht="14.25" hidden="false" customHeight="true" outlineLevel="0" collapsed="false">
      <c r="C1008" s="11"/>
      <c r="D1008" s="11"/>
      <c r="E1008" s="11"/>
      <c r="F1008" s="11"/>
      <c r="G1008" s="11"/>
      <c r="H1008" s="11"/>
      <c r="I1008" s="11"/>
      <c r="J1008" s="11"/>
      <c r="K1008" s="11"/>
      <c r="L1008" s="11"/>
      <c r="M1008" s="11"/>
      <c r="N1008" s="44" t="n">
        <v>14.59</v>
      </c>
      <c r="O1008" s="11"/>
    </row>
    <row r="1009" customFormat="false" ht="14.25" hidden="false" customHeight="true" outlineLevel="0" collapsed="false">
      <c r="C1009" s="11"/>
      <c r="D1009" s="11"/>
      <c r="E1009" s="11"/>
      <c r="F1009" s="11"/>
      <c r="G1009" s="11"/>
      <c r="H1009" s="11"/>
      <c r="I1009" s="11"/>
      <c r="J1009" s="11"/>
      <c r="K1009" s="11"/>
      <c r="L1009" s="11"/>
      <c r="M1009" s="11"/>
      <c r="N1009" s="44" t="n">
        <v>14.37</v>
      </c>
      <c r="O1009" s="11"/>
    </row>
    <row r="1010" customFormat="false" ht="14.25" hidden="false" customHeight="true" outlineLevel="0" collapsed="false">
      <c r="C1010" s="11"/>
      <c r="D1010" s="11"/>
      <c r="E1010" s="11"/>
      <c r="F1010" s="11"/>
      <c r="G1010" s="11"/>
      <c r="H1010" s="11"/>
      <c r="I1010" s="11"/>
      <c r="J1010" s="11"/>
      <c r="K1010" s="11"/>
      <c r="L1010" s="11"/>
      <c r="M1010" s="11"/>
      <c r="N1010" s="44" t="n">
        <v>14.41</v>
      </c>
      <c r="O1010" s="11"/>
    </row>
    <row r="1011" customFormat="false" ht="14.25" hidden="false" customHeight="true" outlineLevel="0" collapsed="false">
      <c r="C1011" s="11"/>
      <c r="D1011" s="11"/>
      <c r="E1011" s="11"/>
      <c r="F1011" s="11"/>
      <c r="G1011" s="11"/>
      <c r="H1011" s="11"/>
      <c r="I1011" s="11"/>
      <c r="J1011" s="11"/>
      <c r="K1011" s="11"/>
      <c r="L1011" s="11"/>
      <c r="M1011" s="11"/>
      <c r="N1011" s="44" t="n">
        <v>14.46</v>
      </c>
      <c r="O1011" s="11"/>
    </row>
    <row r="1012" customFormat="false" ht="14.25" hidden="false" customHeight="true" outlineLevel="0" collapsed="false">
      <c r="C1012" s="11"/>
      <c r="D1012" s="11"/>
      <c r="E1012" s="11"/>
      <c r="F1012" s="11"/>
      <c r="G1012" s="11"/>
      <c r="H1012" s="11"/>
      <c r="I1012" s="11"/>
      <c r="J1012" s="11"/>
      <c r="K1012" s="11"/>
      <c r="L1012" s="11"/>
      <c r="M1012" s="11"/>
      <c r="N1012" s="44" t="n">
        <v>14.72</v>
      </c>
      <c r="O1012" s="11"/>
    </row>
    <row r="1013" customFormat="false" ht="14.25" hidden="false" customHeight="true" outlineLevel="0" collapsed="false">
      <c r="C1013" s="11"/>
      <c r="D1013" s="11"/>
      <c r="E1013" s="11"/>
      <c r="F1013" s="11"/>
      <c r="G1013" s="11"/>
      <c r="H1013" s="11"/>
      <c r="I1013" s="11"/>
      <c r="J1013" s="11"/>
      <c r="K1013" s="11"/>
      <c r="L1013" s="11"/>
      <c r="M1013" s="11"/>
      <c r="N1013" s="44" t="n">
        <v>15.09</v>
      </c>
      <c r="O1013" s="11"/>
    </row>
    <row r="1014" customFormat="false" ht="14.25" hidden="false" customHeight="true" outlineLevel="0" collapsed="false">
      <c r="C1014" s="11"/>
      <c r="D1014" s="11"/>
      <c r="E1014" s="11"/>
      <c r="F1014" s="11"/>
      <c r="G1014" s="11"/>
      <c r="H1014" s="11"/>
      <c r="I1014" s="11"/>
      <c r="J1014" s="11"/>
      <c r="K1014" s="11"/>
      <c r="L1014" s="11"/>
      <c r="M1014" s="11"/>
      <c r="N1014" s="44" t="n">
        <v>15.21</v>
      </c>
      <c r="O1014" s="11"/>
    </row>
    <row r="1015" customFormat="false" ht="14.25" hidden="false" customHeight="true" outlineLevel="0" collapsed="false">
      <c r="C1015" s="11"/>
      <c r="D1015" s="11"/>
      <c r="E1015" s="11"/>
      <c r="F1015" s="11"/>
      <c r="G1015" s="11"/>
      <c r="H1015" s="11"/>
      <c r="I1015" s="11"/>
      <c r="J1015" s="11"/>
      <c r="K1015" s="11"/>
      <c r="L1015" s="11"/>
      <c r="M1015" s="11"/>
      <c r="N1015" s="44" t="n">
        <v>15.3</v>
      </c>
      <c r="O1015" s="11"/>
    </row>
    <row r="1016" customFormat="false" ht="14.25" hidden="false" customHeight="true" outlineLevel="0" collapsed="false">
      <c r="C1016" s="11"/>
      <c r="D1016" s="11"/>
      <c r="E1016" s="11"/>
      <c r="F1016" s="11"/>
      <c r="G1016" s="11"/>
      <c r="H1016" s="11"/>
      <c r="I1016" s="11"/>
      <c r="J1016" s="11"/>
      <c r="K1016" s="11"/>
      <c r="L1016" s="11"/>
      <c r="M1016" s="11"/>
      <c r="N1016" s="44" t="n">
        <v>15.45</v>
      </c>
      <c r="O1016" s="11"/>
    </row>
    <row r="1017" customFormat="false" ht="14.25" hidden="false" customHeight="true" outlineLevel="0" collapsed="false">
      <c r="C1017" s="11"/>
      <c r="D1017" s="11"/>
      <c r="E1017" s="11"/>
      <c r="F1017" s="11"/>
      <c r="G1017" s="11"/>
      <c r="H1017" s="11"/>
      <c r="I1017" s="11"/>
      <c r="J1017" s="11"/>
      <c r="K1017" s="11"/>
      <c r="L1017" s="11"/>
      <c r="M1017" s="11"/>
      <c r="N1017" s="44" t="n">
        <v>15.57</v>
      </c>
      <c r="O1017" s="11"/>
    </row>
    <row r="1018" customFormat="false" ht="14.25" hidden="false" customHeight="true" outlineLevel="0" collapsed="false">
      <c r="C1018" s="11"/>
      <c r="D1018" s="11"/>
      <c r="E1018" s="11"/>
      <c r="F1018" s="11"/>
      <c r="G1018" s="11"/>
      <c r="H1018" s="11"/>
      <c r="I1018" s="11"/>
      <c r="J1018" s="11"/>
      <c r="K1018" s="11"/>
      <c r="L1018" s="11"/>
      <c r="M1018" s="11"/>
      <c r="N1018" s="44" t="n">
        <v>15.67</v>
      </c>
      <c r="O1018" s="11"/>
    </row>
    <row r="1019" customFormat="false" ht="14.25" hidden="false" customHeight="true" outlineLevel="0" collapsed="false">
      <c r="C1019" s="11"/>
      <c r="D1019" s="11"/>
      <c r="E1019" s="11"/>
      <c r="F1019" s="11"/>
      <c r="G1019" s="11"/>
      <c r="H1019" s="11"/>
      <c r="I1019" s="11"/>
      <c r="J1019" s="11"/>
      <c r="K1019" s="11"/>
      <c r="L1019" s="11"/>
      <c r="M1019" s="11"/>
      <c r="N1019" s="44" t="n">
        <v>15.36</v>
      </c>
      <c r="O1019" s="11"/>
    </row>
    <row r="1020" customFormat="false" ht="14.25" hidden="false" customHeight="true" outlineLevel="0" collapsed="false">
      <c r="C1020" s="11"/>
      <c r="D1020" s="11"/>
      <c r="E1020" s="11"/>
      <c r="F1020" s="11"/>
      <c r="G1020" s="11"/>
      <c r="H1020" s="11"/>
      <c r="I1020" s="11"/>
      <c r="J1020" s="11"/>
      <c r="K1020" s="11"/>
      <c r="L1020" s="11"/>
      <c r="M1020" s="11"/>
      <c r="N1020" s="44" t="n">
        <v>15.24</v>
      </c>
      <c r="O1020" s="11"/>
    </row>
    <row r="1021" customFormat="false" ht="14.25" hidden="false" customHeight="true" outlineLevel="0" collapsed="false">
      <c r="C1021" s="11"/>
      <c r="D1021" s="11"/>
      <c r="E1021" s="11"/>
      <c r="F1021" s="11"/>
      <c r="G1021" s="11"/>
      <c r="H1021" s="11"/>
      <c r="I1021" s="11"/>
      <c r="J1021" s="11"/>
      <c r="K1021" s="11"/>
      <c r="L1021" s="11"/>
      <c r="M1021" s="11"/>
      <c r="N1021" s="44" t="n">
        <v>15.54</v>
      </c>
      <c r="O1021" s="11"/>
    </row>
    <row r="1022" customFormat="false" ht="14.25" hidden="false" customHeight="true" outlineLevel="0" collapsed="false">
      <c r="C1022" s="11"/>
      <c r="D1022" s="11"/>
      <c r="E1022" s="11"/>
      <c r="F1022" s="11"/>
      <c r="G1022" s="11"/>
      <c r="H1022" s="11"/>
      <c r="I1022" s="11"/>
      <c r="J1022" s="11"/>
      <c r="K1022" s="11"/>
      <c r="L1022" s="11"/>
      <c r="M1022" s="11"/>
      <c r="N1022" s="44" t="n">
        <v>15.84</v>
      </c>
      <c r="O1022" s="11"/>
    </row>
    <row r="1023" customFormat="false" ht="14.25" hidden="false" customHeight="true" outlineLevel="0" collapsed="false">
      <c r="C1023" s="11"/>
      <c r="D1023" s="11"/>
      <c r="E1023" s="11"/>
      <c r="F1023" s="11"/>
      <c r="G1023" s="11"/>
      <c r="H1023" s="11"/>
      <c r="I1023" s="11"/>
      <c r="J1023" s="11"/>
      <c r="K1023" s="11"/>
      <c r="L1023" s="11"/>
      <c r="M1023" s="11"/>
      <c r="N1023" s="44" t="n">
        <v>16.23</v>
      </c>
      <c r="O1023" s="11"/>
    </row>
    <row r="1024" customFormat="false" ht="14.25" hidden="false" customHeight="true" outlineLevel="0" collapsed="false">
      <c r="C1024" s="11"/>
      <c r="D1024" s="11"/>
      <c r="E1024" s="11"/>
      <c r="F1024" s="11"/>
      <c r="G1024" s="11"/>
      <c r="H1024" s="11"/>
      <c r="I1024" s="11"/>
      <c r="J1024" s="11"/>
      <c r="K1024" s="11"/>
      <c r="L1024" s="11"/>
      <c r="M1024" s="11"/>
      <c r="N1024" s="44" t="n">
        <v>16.24</v>
      </c>
      <c r="O1024" s="11"/>
    </row>
    <row r="1025" customFormat="false" ht="14.25" hidden="false" customHeight="true" outlineLevel="0" collapsed="false">
      <c r="C1025" s="11"/>
      <c r="D1025" s="11"/>
      <c r="E1025" s="11"/>
      <c r="F1025" s="11"/>
      <c r="G1025" s="11"/>
      <c r="H1025" s="11"/>
      <c r="I1025" s="11"/>
      <c r="J1025" s="11"/>
      <c r="K1025" s="11"/>
      <c r="L1025" s="11"/>
      <c r="M1025" s="11"/>
      <c r="N1025" s="44" t="n">
        <v>16.27</v>
      </c>
      <c r="O1025" s="11"/>
    </row>
    <row r="1026" customFormat="false" ht="14.25" hidden="false" customHeight="true" outlineLevel="0" collapsed="false">
      <c r="C1026" s="11"/>
      <c r="D1026" s="11"/>
      <c r="E1026" s="11"/>
      <c r="F1026" s="11"/>
      <c r="G1026" s="11"/>
      <c r="H1026" s="11"/>
      <c r="I1026" s="11"/>
      <c r="J1026" s="11"/>
      <c r="K1026" s="11"/>
      <c r="L1026" s="11"/>
      <c r="M1026" s="11"/>
      <c r="N1026" s="44" t="n">
        <v>16.16</v>
      </c>
      <c r="O1026" s="11"/>
    </row>
    <row r="1027" customFormat="false" ht="14.25" hidden="false" customHeight="true" outlineLevel="0" collapsed="false">
      <c r="C1027" s="11"/>
      <c r="D1027" s="11"/>
      <c r="E1027" s="11"/>
      <c r="F1027" s="11"/>
      <c r="G1027" s="11"/>
      <c r="H1027" s="11"/>
      <c r="I1027" s="11"/>
      <c r="J1027" s="11"/>
      <c r="K1027" s="11"/>
      <c r="L1027" s="11"/>
      <c r="M1027" s="11"/>
      <c r="N1027" s="44" t="n">
        <v>15.95</v>
      </c>
      <c r="O1027" s="11"/>
    </row>
    <row r="1028" customFormat="false" ht="14.25" hidden="false" customHeight="true" outlineLevel="0" collapsed="false">
      <c r="C1028" s="11"/>
      <c r="D1028" s="11"/>
      <c r="E1028" s="11"/>
      <c r="F1028" s="11"/>
      <c r="G1028" s="11"/>
      <c r="H1028" s="11"/>
      <c r="I1028" s="11"/>
      <c r="J1028" s="11"/>
      <c r="K1028" s="11"/>
      <c r="L1028" s="11"/>
      <c r="M1028" s="11"/>
      <c r="N1028" s="44" t="n">
        <v>15.72</v>
      </c>
      <c r="O1028" s="11"/>
    </row>
    <row r="1029" customFormat="false" ht="14.25" hidden="false" customHeight="true" outlineLevel="0" collapsed="false">
      <c r="C1029" s="11"/>
      <c r="D1029" s="11"/>
      <c r="E1029" s="11"/>
      <c r="F1029" s="11"/>
      <c r="G1029" s="11"/>
      <c r="H1029" s="11"/>
      <c r="I1029" s="11"/>
      <c r="J1029" s="11"/>
      <c r="K1029" s="11"/>
      <c r="L1029" s="11"/>
      <c r="M1029" s="11"/>
      <c r="N1029" s="44" t="n">
        <v>15.51</v>
      </c>
      <c r="O1029" s="11"/>
    </row>
    <row r="1030" customFormat="false" ht="14.25" hidden="false" customHeight="true" outlineLevel="0" collapsed="false">
      <c r="C1030" s="11"/>
      <c r="D1030" s="11"/>
      <c r="E1030" s="11"/>
      <c r="F1030" s="11"/>
      <c r="G1030" s="11"/>
      <c r="H1030" s="11"/>
      <c r="I1030" s="11"/>
      <c r="J1030" s="11"/>
      <c r="K1030" s="11"/>
      <c r="L1030" s="11"/>
      <c r="M1030" s="11"/>
      <c r="N1030" s="44" t="n">
        <v>15.43</v>
      </c>
      <c r="O1030" s="11"/>
    </row>
    <row r="1031" customFormat="false" ht="14.25" hidden="false" customHeight="true" outlineLevel="0" collapsed="false">
      <c r="C1031" s="11"/>
      <c r="D1031" s="11"/>
      <c r="E1031" s="11"/>
      <c r="F1031" s="11"/>
      <c r="G1031" s="11"/>
      <c r="H1031" s="11"/>
      <c r="I1031" s="11"/>
      <c r="J1031" s="11"/>
      <c r="K1031" s="11"/>
      <c r="L1031" s="11"/>
      <c r="M1031" s="11"/>
      <c r="N1031" s="44" t="n">
        <v>15.45</v>
      </c>
      <c r="O1031" s="11"/>
    </row>
    <row r="1032" customFormat="false" ht="14.25" hidden="false" customHeight="true" outlineLevel="0" collapsed="false">
      <c r="C1032" s="11"/>
      <c r="D1032" s="11"/>
      <c r="E1032" s="11"/>
      <c r="F1032" s="11"/>
      <c r="G1032" s="11"/>
      <c r="H1032" s="11"/>
      <c r="I1032" s="11"/>
      <c r="J1032" s="11"/>
      <c r="K1032" s="11"/>
      <c r="L1032" s="11"/>
      <c r="M1032" s="11"/>
      <c r="N1032" s="44" t="n">
        <v>15.39</v>
      </c>
      <c r="O1032" s="11"/>
    </row>
    <row r="1033" customFormat="false" ht="14.25" hidden="false" customHeight="true" outlineLevel="0" collapsed="false">
      <c r="C1033" s="11"/>
      <c r="D1033" s="11"/>
      <c r="E1033" s="11"/>
      <c r="F1033" s="11"/>
      <c r="G1033" s="11"/>
      <c r="H1033" s="11"/>
      <c r="I1033" s="11"/>
      <c r="J1033" s="11"/>
      <c r="K1033" s="11"/>
      <c r="L1033" s="11"/>
      <c r="M1033" s="11"/>
      <c r="N1033" s="44" t="n">
        <v>15.75</v>
      </c>
      <c r="O1033" s="11"/>
    </row>
    <row r="1034" customFormat="false" ht="14.25" hidden="false" customHeight="true" outlineLevel="0" collapsed="false">
      <c r="C1034" s="11"/>
      <c r="D1034" s="11"/>
      <c r="E1034" s="11"/>
      <c r="F1034" s="11"/>
      <c r="G1034" s="11"/>
      <c r="H1034" s="11"/>
      <c r="I1034" s="11"/>
      <c r="J1034" s="11"/>
      <c r="K1034" s="11"/>
      <c r="L1034" s="11"/>
      <c r="M1034" s="11"/>
      <c r="N1034" s="44" t="n">
        <v>15.85</v>
      </c>
      <c r="O1034" s="11"/>
    </row>
    <row r="1035" customFormat="false" ht="14.25" hidden="false" customHeight="true" outlineLevel="0" collapsed="false">
      <c r="C1035" s="11"/>
      <c r="D1035" s="11"/>
      <c r="E1035" s="11"/>
      <c r="F1035" s="11"/>
      <c r="G1035" s="11"/>
      <c r="H1035" s="11"/>
      <c r="I1035" s="11"/>
      <c r="J1035" s="11"/>
      <c r="K1035" s="11"/>
      <c r="L1035" s="11"/>
      <c r="M1035" s="11"/>
      <c r="N1035" s="44" t="n">
        <v>15.8</v>
      </c>
      <c r="O1035" s="11"/>
    </row>
    <row r="1036" customFormat="false" ht="14.25" hidden="false" customHeight="true" outlineLevel="0" collapsed="false">
      <c r="C1036" s="11"/>
      <c r="D1036" s="11"/>
      <c r="E1036" s="11"/>
      <c r="F1036" s="11"/>
      <c r="G1036" s="11"/>
      <c r="H1036" s="11"/>
      <c r="I1036" s="11"/>
      <c r="J1036" s="11"/>
      <c r="K1036" s="11"/>
      <c r="L1036" s="11"/>
      <c r="M1036" s="11"/>
      <c r="N1036" s="44" t="n">
        <v>15.86</v>
      </c>
      <c r="O1036" s="11"/>
    </row>
    <row r="1037" customFormat="false" ht="14.25" hidden="false" customHeight="true" outlineLevel="0" collapsed="false">
      <c r="C1037" s="11"/>
      <c r="D1037" s="11"/>
      <c r="E1037" s="11"/>
      <c r="F1037" s="11"/>
      <c r="G1037" s="11"/>
      <c r="H1037" s="11"/>
      <c r="I1037" s="11"/>
      <c r="J1037" s="11"/>
      <c r="K1037" s="11"/>
      <c r="L1037" s="11"/>
      <c r="M1037" s="11"/>
      <c r="N1037" s="44" t="n">
        <v>15.96</v>
      </c>
      <c r="O1037" s="11"/>
    </row>
    <row r="1038" customFormat="false" ht="14.25" hidden="false" customHeight="true" outlineLevel="0" collapsed="false">
      <c r="C1038" s="11"/>
      <c r="D1038" s="11"/>
      <c r="E1038" s="11"/>
      <c r="F1038" s="11"/>
      <c r="G1038" s="11"/>
      <c r="H1038" s="11"/>
      <c r="I1038" s="11"/>
      <c r="J1038" s="11"/>
      <c r="K1038" s="11"/>
      <c r="L1038" s="11"/>
      <c r="M1038" s="11"/>
      <c r="N1038" s="44" t="n">
        <v>15.63</v>
      </c>
      <c r="O1038" s="11"/>
    </row>
    <row r="1039" customFormat="false" ht="14.25" hidden="false" customHeight="true" outlineLevel="0" collapsed="false">
      <c r="C1039" s="11"/>
      <c r="D1039" s="11"/>
      <c r="E1039" s="11"/>
      <c r="F1039" s="11"/>
      <c r="G1039" s="11"/>
      <c r="H1039" s="11"/>
      <c r="I1039" s="11"/>
      <c r="J1039" s="11"/>
      <c r="K1039" s="11"/>
      <c r="L1039" s="11"/>
      <c r="M1039" s="11"/>
      <c r="N1039" s="44" t="n">
        <v>15.6</v>
      </c>
      <c r="O1039" s="11"/>
    </row>
    <row r="1040" customFormat="false" ht="14.25" hidden="false" customHeight="true" outlineLevel="0" collapsed="false">
      <c r="C1040" s="11"/>
      <c r="D1040" s="11"/>
      <c r="E1040" s="11"/>
      <c r="F1040" s="11"/>
      <c r="G1040" s="11"/>
      <c r="H1040" s="11"/>
      <c r="I1040" s="11"/>
      <c r="J1040" s="11"/>
      <c r="K1040" s="11"/>
      <c r="L1040" s="11"/>
      <c r="M1040" s="11"/>
      <c r="N1040" s="44" t="n">
        <v>15.6</v>
      </c>
      <c r="O1040" s="11"/>
    </row>
    <row r="1041" customFormat="false" ht="14.25" hidden="false" customHeight="true" outlineLevel="0" collapsed="false">
      <c r="C1041" s="11"/>
      <c r="D1041" s="11"/>
      <c r="E1041" s="11"/>
      <c r="F1041" s="11"/>
      <c r="G1041" s="11"/>
      <c r="H1041" s="11"/>
      <c r="I1041" s="11"/>
      <c r="J1041" s="11"/>
      <c r="K1041" s="11"/>
      <c r="L1041" s="11"/>
      <c r="M1041" s="11"/>
      <c r="N1041" s="44" t="n">
        <v>15.48</v>
      </c>
      <c r="O1041" s="11"/>
    </row>
    <row r="1042" customFormat="false" ht="14.25" hidden="false" customHeight="true" outlineLevel="0" collapsed="false">
      <c r="C1042" s="11"/>
      <c r="D1042" s="11"/>
      <c r="E1042" s="11"/>
      <c r="F1042" s="11"/>
      <c r="G1042" s="11"/>
      <c r="H1042" s="11"/>
      <c r="I1042" s="11"/>
      <c r="J1042" s="11"/>
      <c r="K1042" s="11"/>
      <c r="L1042" s="11"/>
      <c r="M1042" s="11"/>
      <c r="N1042" s="44" t="n">
        <v>15.43</v>
      </c>
      <c r="O1042" s="11"/>
    </row>
    <row r="1043" customFormat="false" ht="14.25" hidden="false" customHeight="true" outlineLevel="0" collapsed="false">
      <c r="C1043" s="11"/>
      <c r="D1043" s="11"/>
      <c r="E1043" s="11"/>
      <c r="F1043" s="11"/>
      <c r="G1043" s="11"/>
      <c r="H1043" s="11"/>
      <c r="I1043" s="11"/>
      <c r="J1043" s="11"/>
      <c r="K1043" s="11"/>
      <c r="L1043" s="11"/>
      <c r="M1043" s="11"/>
      <c r="N1043" s="44" t="n">
        <v>15.35</v>
      </c>
      <c r="O1043" s="11"/>
    </row>
    <row r="1044" customFormat="false" ht="14.25" hidden="false" customHeight="true" outlineLevel="0" collapsed="false">
      <c r="C1044" s="11"/>
      <c r="D1044" s="11"/>
      <c r="E1044" s="11"/>
      <c r="F1044" s="11"/>
      <c r="G1044" s="11"/>
      <c r="H1044" s="11"/>
      <c r="I1044" s="11"/>
      <c r="J1044" s="11"/>
      <c r="K1044" s="11"/>
      <c r="L1044" s="11"/>
      <c r="M1044" s="11"/>
      <c r="N1044" s="44" t="n">
        <v>15.43</v>
      </c>
      <c r="O1044" s="11"/>
    </row>
    <row r="1045" customFormat="false" ht="14.25" hidden="false" customHeight="true" outlineLevel="0" collapsed="false">
      <c r="C1045" s="11"/>
      <c r="D1045" s="11"/>
      <c r="E1045" s="11"/>
      <c r="F1045" s="11"/>
      <c r="G1045" s="11"/>
      <c r="H1045" s="11"/>
      <c r="I1045" s="11"/>
      <c r="J1045" s="11"/>
      <c r="K1045" s="11"/>
      <c r="L1045" s="11"/>
      <c r="M1045" s="11"/>
      <c r="N1045" s="44" t="n">
        <v>15.49</v>
      </c>
      <c r="O1045" s="11"/>
    </row>
    <row r="1046" customFormat="false" ht="14.25" hidden="false" customHeight="true" outlineLevel="0" collapsed="false">
      <c r="C1046" s="11"/>
      <c r="D1046" s="11"/>
      <c r="E1046" s="11"/>
      <c r="F1046" s="11"/>
      <c r="G1046" s="11"/>
      <c r="H1046" s="11"/>
      <c r="I1046" s="11"/>
      <c r="J1046" s="11"/>
      <c r="K1046" s="11"/>
      <c r="L1046" s="11"/>
      <c r="M1046" s="11"/>
      <c r="N1046" s="44" t="n">
        <v>15.64</v>
      </c>
      <c r="O1046" s="11"/>
    </row>
    <row r="1047" customFormat="false" ht="14.25" hidden="false" customHeight="true" outlineLevel="0" collapsed="false">
      <c r="C1047" s="11"/>
      <c r="D1047" s="11"/>
      <c r="E1047" s="11"/>
      <c r="F1047" s="11"/>
      <c r="G1047" s="11"/>
      <c r="H1047" s="11"/>
      <c r="I1047" s="11"/>
      <c r="J1047" s="11"/>
      <c r="K1047" s="11"/>
      <c r="L1047" s="11"/>
      <c r="M1047" s="11"/>
      <c r="N1047" s="44" t="n">
        <v>15.63</v>
      </c>
      <c r="O1047" s="11"/>
    </row>
    <row r="1048" customFormat="false" ht="14.25" hidden="false" customHeight="true" outlineLevel="0" collapsed="false">
      <c r="C1048" s="11"/>
      <c r="D1048" s="11"/>
      <c r="E1048" s="11"/>
      <c r="F1048" s="11"/>
      <c r="G1048" s="11"/>
      <c r="H1048" s="11"/>
      <c r="I1048" s="11"/>
      <c r="J1048" s="11"/>
      <c r="K1048" s="11"/>
      <c r="L1048" s="11"/>
      <c r="M1048" s="11"/>
      <c r="N1048" s="44" t="n">
        <v>15.66</v>
      </c>
      <c r="O1048" s="11"/>
    </row>
    <row r="1049" customFormat="false" ht="14.25" hidden="false" customHeight="true" outlineLevel="0" collapsed="false">
      <c r="C1049" s="11"/>
      <c r="D1049" s="11"/>
      <c r="E1049" s="11"/>
      <c r="F1049" s="11"/>
      <c r="G1049" s="11"/>
      <c r="H1049" s="11"/>
      <c r="I1049" s="11"/>
      <c r="J1049" s="11"/>
      <c r="K1049" s="11"/>
      <c r="L1049" s="11"/>
      <c r="M1049" s="11"/>
      <c r="N1049" s="44" t="n">
        <v>15.84</v>
      </c>
      <c r="O1049" s="11"/>
    </row>
    <row r="1050" customFormat="false" ht="14.25" hidden="false" customHeight="true" outlineLevel="0" collapsed="false">
      <c r="C1050" s="11"/>
      <c r="D1050" s="11"/>
      <c r="E1050" s="11"/>
      <c r="F1050" s="11"/>
      <c r="G1050" s="11"/>
      <c r="H1050" s="11"/>
      <c r="I1050" s="11"/>
      <c r="J1050" s="11"/>
      <c r="K1050" s="11"/>
      <c r="L1050" s="11"/>
      <c r="M1050" s="11"/>
      <c r="N1050" s="44" t="n">
        <v>15.97</v>
      </c>
      <c r="O1050" s="11"/>
    </row>
    <row r="1051" customFormat="false" ht="14.25" hidden="false" customHeight="true" outlineLevel="0" collapsed="false">
      <c r="C1051" s="11"/>
      <c r="D1051" s="11"/>
      <c r="E1051" s="11"/>
      <c r="F1051" s="11"/>
      <c r="G1051" s="11"/>
      <c r="H1051" s="11"/>
      <c r="I1051" s="11"/>
      <c r="J1051" s="11"/>
      <c r="K1051" s="11"/>
      <c r="L1051" s="11"/>
      <c r="M1051" s="11"/>
      <c r="N1051" s="44" t="n">
        <v>15.88</v>
      </c>
      <c r="O1051" s="11"/>
    </row>
    <row r="1052" customFormat="false" ht="14.25" hidden="false" customHeight="true" outlineLevel="0" collapsed="false">
      <c r="C1052" s="11"/>
      <c r="D1052" s="11"/>
      <c r="E1052" s="11"/>
      <c r="F1052" s="11"/>
      <c r="G1052" s="11"/>
      <c r="H1052" s="11"/>
      <c r="I1052" s="11"/>
      <c r="J1052" s="11"/>
      <c r="K1052" s="11"/>
      <c r="L1052" s="11"/>
      <c r="M1052" s="11"/>
      <c r="N1052" s="44" t="n">
        <v>15.75</v>
      </c>
      <c r="O1052" s="11"/>
    </row>
    <row r="1053" customFormat="false" ht="14.25" hidden="false" customHeight="true" outlineLevel="0" collapsed="false">
      <c r="C1053" s="11"/>
      <c r="D1053" s="11"/>
      <c r="E1053" s="11"/>
      <c r="F1053" s="11"/>
      <c r="G1053" s="11"/>
      <c r="H1053" s="11"/>
      <c r="I1053" s="11"/>
      <c r="J1053" s="11"/>
      <c r="K1053" s="11"/>
      <c r="L1053" s="11"/>
      <c r="M1053" s="11"/>
      <c r="N1053" s="44" t="n">
        <v>15.84</v>
      </c>
      <c r="O1053" s="11"/>
    </row>
    <row r="1054" customFormat="false" ht="14.25" hidden="false" customHeight="true" outlineLevel="0" collapsed="false">
      <c r="C1054" s="11"/>
      <c r="D1054" s="11"/>
      <c r="E1054" s="11"/>
      <c r="F1054" s="11"/>
      <c r="G1054" s="11"/>
      <c r="H1054" s="11"/>
      <c r="I1054" s="11"/>
      <c r="J1054" s="11"/>
      <c r="K1054" s="11"/>
      <c r="L1054" s="11"/>
      <c r="M1054" s="11"/>
      <c r="N1054" s="44" t="n">
        <v>15.95</v>
      </c>
      <c r="O1054" s="11"/>
    </row>
    <row r="1055" customFormat="false" ht="14.25" hidden="false" customHeight="true" outlineLevel="0" collapsed="false">
      <c r="C1055" s="11"/>
      <c r="D1055" s="11"/>
      <c r="E1055" s="11"/>
      <c r="F1055" s="11"/>
      <c r="G1055" s="11"/>
      <c r="H1055" s="11"/>
      <c r="I1055" s="11"/>
      <c r="J1055" s="11"/>
      <c r="K1055" s="11"/>
      <c r="L1055" s="11"/>
      <c r="M1055" s="11"/>
      <c r="N1055" s="44" t="n">
        <v>16.03</v>
      </c>
      <c r="O1055" s="11"/>
    </row>
    <row r="1056" customFormat="false" ht="14.25" hidden="false" customHeight="true" outlineLevel="0" collapsed="false">
      <c r="C1056" s="11"/>
      <c r="D1056" s="11"/>
      <c r="E1056" s="11"/>
      <c r="F1056" s="11"/>
      <c r="G1056" s="11"/>
      <c r="H1056" s="11"/>
      <c r="I1056" s="11"/>
      <c r="J1056" s="11"/>
      <c r="K1056" s="11"/>
      <c r="L1056" s="11"/>
      <c r="M1056" s="11"/>
      <c r="N1056" s="44" t="n">
        <v>16.2</v>
      </c>
      <c r="O1056" s="11"/>
    </row>
    <row r="1057" customFormat="false" ht="14.25" hidden="false" customHeight="true" outlineLevel="0" collapsed="false">
      <c r="C1057" s="11"/>
      <c r="D1057" s="11"/>
      <c r="E1057" s="11"/>
      <c r="F1057" s="11"/>
      <c r="G1057" s="11"/>
      <c r="H1057" s="11"/>
      <c r="I1057" s="11"/>
      <c r="J1057" s="11"/>
      <c r="K1057" s="11"/>
      <c r="L1057" s="11"/>
      <c r="M1057" s="11"/>
      <c r="N1057" s="44" t="n">
        <v>16.23</v>
      </c>
      <c r="O1057" s="11"/>
    </row>
    <row r="1058" customFormat="false" ht="14.25" hidden="false" customHeight="true" outlineLevel="0" collapsed="false">
      <c r="C1058" s="11"/>
      <c r="D1058" s="11"/>
      <c r="E1058" s="11"/>
      <c r="F1058" s="11"/>
      <c r="G1058" s="11"/>
      <c r="H1058" s="11"/>
      <c r="I1058" s="11"/>
      <c r="J1058" s="11"/>
      <c r="K1058" s="11"/>
      <c r="L1058" s="11"/>
      <c r="M1058" s="11"/>
      <c r="N1058" s="44" t="n">
        <v>16.1</v>
      </c>
      <c r="O1058" s="11"/>
    </row>
    <row r="1059" customFormat="false" ht="14.25" hidden="false" customHeight="true" outlineLevel="0" collapsed="false">
      <c r="C1059" s="11"/>
      <c r="D1059" s="11"/>
      <c r="E1059" s="11"/>
      <c r="F1059" s="11"/>
      <c r="G1059" s="11"/>
      <c r="H1059" s="11"/>
      <c r="I1059" s="11"/>
      <c r="J1059" s="11"/>
      <c r="K1059" s="11"/>
      <c r="L1059" s="11"/>
      <c r="M1059" s="11"/>
      <c r="N1059" s="44" t="n">
        <v>16.1</v>
      </c>
      <c r="O1059" s="11"/>
    </row>
    <row r="1060" customFormat="false" ht="14.25" hidden="false" customHeight="true" outlineLevel="0" collapsed="false">
      <c r="C1060" s="11"/>
      <c r="D1060" s="11"/>
      <c r="E1060" s="11"/>
      <c r="F1060" s="11"/>
      <c r="G1060" s="11"/>
      <c r="H1060" s="11"/>
      <c r="I1060" s="11"/>
      <c r="J1060" s="11"/>
      <c r="K1060" s="11"/>
      <c r="L1060" s="11"/>
      <c r="M1060" s="11"/>
      <c r="N1060" s="44" t="n">
        <v>16.24</v>
      </c>
      <c r="O1060" s="11"/>
    </row>
    <row r="1061" customFormat="false" ht="14.25" hidden="false" customHeight="true" outlineLevel="0" collapsed="false">
      <c r="C1061" s="11"/>
      <c r="D1061" s="11"/>
      <c r="E1061" s="11"/>
      <c r="F1061" s="11"/>
      <c r="G1061" s="11"/>
      <c r="H1061" s="11"/>
      <c r="I1061" s="11"/>
      <c r="J1061" s="11"/>
      <c r="K1061" s="11"/>
      <c r="L1061" s="11"/>
      <c r="M1061" s="11"/>
      <c r="N1061" s="44" t="n">
        <v>16.09</v>
      </c>
      <c r="O1061" s="11"/>
    </row>
    <row r="1062" customFormat="false" ht="14.25" hidden="false" customHeight="true" outlineLevel="0" collapsed="false">
      <c r="C1062" s="11"/>
      <c r="D1062" s="11"/>
      <c r="E1062" s="11"/>
      <c r="F1062" s="11"/>
      <c r="G1062" s="11"/>
      <c r="H1062" s="11"/>
      <c r="I1062" s="11"/>
      <c r="J1062" s="11"/>
      <c r="K1062" s="11"/>
      <c r="L1062" s="11"/>
      <c r="M1062" s="11"/>
      <c r="N1062" s="44" t="n">
        <v>15.73</v>
      </c>
      <c r="O1062" s="11"/>
    </row>
    <row r="1063" customFormat="false" ht="14.25" hidden="false" customHeight="true" outlineLevel="0" collapsed="false">
      <c r="C1063" s="11"/>
      <c r="D1063" s="11"/>
      <c r="E1063" s="11"/>
      <c r="F1063" s="11"/>
      <c r="G1063" s="11"/>
      <c r="H1063" s="11"/>
      <c r="I1063" s="11"/>
      <c r="J1063" s="11"/>
      <c r="K1063" s="11"/>
      <c r="L1063" s="11"/>
      <c r="M1063" s="11"/>
      <c r="N1063" s="44" t="n">
        <v>15.8</v>
      </c>
      <c r="O1063" s="11"/>
    </row>
    <row r="1064" customFormat="false" ht="14.25" hidden="false" customHeight="true" outlineLevel="0" collapsed="false">
      <c r="C1064" s="11"/>
      <c r="D1064" s="11"/>
      <c r="E1064" s="11"/>
      <c r="F1064" s="11"/>
      <c r="G1064" s="11"/>
      <c r="H1064" s="11"/>
      <c r="I1064" s="11"/>
      <c r="J1064" s="11"/>
      <c r="K1064" s="11"/>
      <c r="L1064" s="11"/>
      <c r="M1064" s="11"/>
      <c r="N1064" s="44" t="n">
        <v>15.79</v>
      </c>
      <c r="O1064" s="11"/>
    </row>
    <row r="1065" customFormat="false" ht="14.25" hidden="false" customHeight="true" outlineLevel="0" collapsed="false">
      <c r="C1065" s="11"/>
      <c r="D1065" s="11"/>
      <c r="E1065" s="11"/>
      <c r="F1065" s="11"/>
      <c r="G1065" s="11"/>
      <c r="H1065" s="11"/>
      <c r="I1065" s="11"/>
      <c r="J1065" s="11"/>
      <c r="K1065" s="11"/>
      <c r="L1065" s="11"/>
      <c r="M1065" s="11"/>
      <c r="N1065" s="44" t="n">
        <v>15.91</v>
      </c>
      <c r="O1065" s="11"/>
    </row>
    <row r="1066" customFormat="false" ht="14.25" hidden="false" customHeight="true" outlineLevel="0" collapsed="false">
      <c r="C1066" s="11"/>
      <c r="D1066" s="11"/>
      <c r="E1066" s="11"/>
      <c r="F1066" s="11"/>
      <c r="G1066" s="11"/>
      <c r="H1066" s="11"/>
      <c r="I1066" s="11"/>
      <c r="J1066" s="11"/>
      <c r="K1066" s="11"/>
      <c r="L1066" s="11"/>
      <c r="M1066" s="11"/>
      <c r="N1066" s="44" t="n">
        <v>15.82</v>
      </c>
      <c r="O1066" s="11"/>
    </row>
    <row r="1067" customFormat="false" ht="14.25" hidden="false" customHeight="true" outlineLevel="0" collapsed="false">
      <c r="C1067" s="11"/>
      <c r="D1067" s="11"/>
      <c r="E1067" s="11"/>
      <c r="F1067" s="11"/>
      <c r="G1067" s="11"/>
      <c r="H1067" s="11"/>
      <c r="I1067" s="11"/>
      <c r="J1067" s="11"/>
      <c r="K1067" s="11"/>
      <c r="L1067" s="11"/>
      <c r="M1067" s="11"/>
      <c r="N1067" s="44" t="n">
        <v>15.57</v>
      </c>
      <c r="O1067" s="11"/>
    </row>
    <row r="1068" customFormat="false" ht="14.25" hidden="false" customHeight="true" outlineLevel="0" collapsed="false">
      <c r="C1068" s="11"/>
      <c r="D1068" s="11"/>
      <c r="E1068" s="11"/>
      <c r="F1068" s="11"/>
      <c r="G1068" s="11"/>
      <c r="H1068" s="11"/>
      <c r="I1068" s="11"/>
      <c r="J1068" s="11"/>
      <c r="K1068" s="11"/>
      <c r="L1068" s="11"/>
      <c r="M1068" s="11"/>
      <c r="N1068" s="44" t="n">
        <v>15.55</v>
      </c>
      <c r="O1068" s="11"/>
    </row>
    <row r="1069" customFormat="false" ht="14.25" hidden="false" customHeight="true" outlineLevel="0" collapsed="false">
      <c r="C1069" s="11"/>
      <c r="D1069" s="11"/>
      <c r="E1069" s="11"/>
      <c r="F1069" s="11"/>
      <c r="G1069" s="11"/>
      <c r="H1069" s="11"/>
      <c r="I1069" s="11"/>
      <c r="J1069" s="11"/>
      <c r="K1069" s="11"/>
      <c r="L1069" s="11"/>
      <c r="M1069" s="11"/>
      <c r="N1069" s="44" t="n">
        <v>15.46</v>
      </c>
      <c r="O1069" s="11"/>
    </row>
    <row r="1070" customFormat="false" ht="14.25" hidden="false" customHeight="true" outlineLevel="0" collapsed="false">
      <c r="C1070" s="11"/>
      <c r="D1070" s="11"/>
      <c r="E1070" s="11"/>
      <c r="F1070" s="11"/>
      <c r="G1070" s="11"/>
      <c r="H1070" s="11"/>
      <c r="I1070" s="11"/>
      <c r="J1070" s="11"/>
      <c r="K1070" s="11"/>
      <c r="L1070" s="11"/>
      <c r="M1070" s="11"/>
      <c r="N1070" s="44" t="n">
        <v>15.41</v>
      </c>
      <c r="O1070" s="11"/>
    </row>
    <row r="1071" customFormat="false" ht="14.25" hidden="false" customHeight="true" outlineLevel="0" collapsed="false">
      <c r="C1071" s="11"/>
      <c r="D1071" s="11"/>
      <c r="E1071" s="11"/>
      <c r="F1071" s="11"/>
      <c r="G1071" s="11"/>
      <c r="H1071" s="11"/>
      <c r="I1071" s="11"/>
      <c r="J1071" s="11"/>
      <c r="K1071" s="11"/>
      <c r="L1071" s="11"/>
      <c r="M1071" s="11"/>
      <c r="N1071" s="44" t="n">
        <v>15.32</v>
      </c>
      <c r="O1071" s="11"/>
    </row>
    <row r="1072" customFormat="false" ht="14.25" hidden="false" customHeight="true" outlineLevel="0" collapsed="false">
      <c r="C1072" s="11"/>
      <c r="D1072" s="11"/>
      <c r="E1072" s="11"/>
      <c r="F1072" s="11"/>
      <c r="G1072" s="11"/>
      <c r="H1072" s="11"/>
      <c r="I1072" s="11"/>
      <c r="J1072" s="11"/>
      <c r="K1072" s="11"/>
      <c r="L1072" s="11"/>
      <c r="M1072" s="11"/>
      <c r="N1072" s="44" t="n">
        <v>15.34</v>
      </c>
      <c r="O1072" s="11"/>
    </row>
    <row r="1073" customFormat="false" ht="14.25" hidden="false" customHeight="true" outlineLevel="0" collapsed="false">
      <c r="C1073" s="11"/>
      <c r="D1073" s="11"/>
      <c r="E1073" s="11"/>
      <c r="F1073" s="11"/>
      <c r="G1073" s="11"/>
      <c r="H1073" s="11"/>
      <c r="I1073" s="11"/>
      <c r="J1073" s="11"/>
      <c r="K1073" s="11"/>
      <c r="L1073" s="11"/>
      <c r="M1073" s="11"/>
      <c r="N1073" s="44" t="n">
        <v>15.05</v>
      </c>
      <c r="O1073" s="11"/>
    </row>
    <row r="1074" customFormat="false" ht="14.25" hidden="false" customHeight="true" outlineLevel="0" collapsed="false">
      <c r="C1074" s="11"/>
      <c r="D1074" s="11"/>
      <c r="E1074" s="11"/>
      <c r="F1074" s="11"/>
      <c r="G1074" s="11"/>
      <c r="H1074" s="11"/>
      <c r="I1074" s="11"/>
      <c r="J1074" s="11"/>
      <c r="K1074" s="11"/>
      <c r="L1074" s="11"/>
      <c r="M1074" s="11"/>
      <c r="N1074" s="44" t="n">
        <v>15.02</v>
      </c>
      <c r="O1074" s="11"/>
    </row>
    <row r="1075" customFormat="false" ht="14.25" hidden="false" customHeight="true" outlineLevel="0" collapsed="false">
      <c r="C1075" s="11"/>
      <c r="D1075" s="11"/>
      <c r="E1075" s="11"/>
      <c r="F1075" s="11"/>
      <c r="G1075" s="11"/>
      <c r="H1075" s="11"/>
      <c r="I1075" s="11"/>
      <c r="J1075" s="11"/>
      <c r="K1075" s="11"/>
      <c r="L1075" s="11"/>
      <c r="M1075" s="11"/>
      <c r="N1075" s="44" t="n">
        <v>15.17</v>
      </c>
      <c r="O1075" s="11"/>
    </row>
    <row r="1076" customFormat="false" ht="14.25" hidden="false" customHeight="true" outlineLevel="0" collapsed="false">
      <c r="C1076" s="11"/>
      <c r="D1076" s="11"/>
      <c r="E1076" s="11"/>
      <c r="F1076" s="11"/>
      <c r="G1076" s="11"/>
      <c r="H1076" s="11"/>
      <c r="I1076" s="11"/>
      <c r="J1076" s="11"/>
      <c r="K1076" s="11"/>
      <c r="L1076" s="11"/>
      <c r="M1076" s="11"/>
      <c r="N1076" s="44" t="n">
        <v>14.71</v>
      </c>
      <c r="O1076" s="11"/>
    </row>
    <row r="1077" customFormat="false" ht="14.25" hidden="false" customHeight="true" outlineLevel="0" collapsed="false">
      <c r="C1077" s="11"/>
      <c r="D1077" s="11"/>
      <c r="E1077" s="11"/>
      <c r="F1077" s="11"/>
      <c r="G1077" s="11"/>
      <c r="H1077" s="11"/>
      <c r="I1077" s="11"/>
      <c r="J1077" s="11"/>
      <c r="K1077" s="11"/>
      <c r="L1077" s="11"/>
      <c r="M1077" s="11"/>
      <c r="N1077" s="44" t="n">
        <v>14.7</v>
      </c>
      <c r="O1077" s="11"/>
    </row>
    <row r="1078" customFormat="false" ht="14.25" hidden="false" customHeight="true" outlineLevel="0" collapsed="false">
      <c r="C1078" s="11"/>
      <c r="D1078" s="11"/>
      <c r="E1078" s="11"/>
      <c r="F1078" s="11"/>
      <c r="G1078" s="11"/>
      <c r="H1078" s="11"/>
      <c r="I1078" s="11"/>
      <c r="J1078" s="11"/>
      <c r="K1078" s="11"/>
      <c r="L1078" s="11"/>
      <c r="M1078" s="11"/>
      <c r="N1078" s="44" t="n">
        <v>14.27</v>
      </c>
      <c r="O1078" s="11"/>
    </row>
    <row r="1079" customFormat="false" ht="14.25" hidden="false" customHeight="true" outlineLevel="0" collapsed="false">
      <c r="C1079" s="11"/>
      <c r="D1079" s="11"/>
      <c r="E1079" s="11"/>
      <c r="F1079" s="11"/>
      <c r="G1079" s="11"/>
      <c r="H1079" s="11"/>
      <c r="I1079" s="11"/>
      <c r="J1079" s="11"/>
      <c r="K1079" s="11"/>
      <c r="L1079" s="11"/>
      <c r="M1079" s="11"/>
      <c r="N1079" s="44" t="n">
        <v>14.3</v>
      </c>
      <c r="O1079" s="11"/>
    </row>
    <row r="1080" customFormat="false" ht="14.25" hidden="false" customHeight="true" outlineLevel="0" collapsed="false">
      <c r="C1080" s="11"/>
      <c r="D1080" s="11"/>
      <c r="E1080" s="11"/>
      <c r="F1080" s="11"/>
      <c r="G1080" s="11"/>
      <c r="H1080" s="11"/>
      <c r="I1080" s="11"/>
      <c r="J1080" s="11"/>
      <c r="K1080" s="11"/>
      <c r="L1080" s="11"/>
      <c r="M1080" s="11"/>
      <c r="N1080" s="44" t="n">
        <v>14.31</v>
      </c>
      <c r="O1080" s="11"/>
    </row>
    <row r="1081" customFormat="false" ht="14.25" hidden="false" customHeight="true" outlineLevel="0" collapsed="false">
      <c r="C1081" s="11"/>
      <c r="D1081" s="11"/>
      <c r="E1081" s="11"/>
      <c r="F1081" s="11"/>
      <c r="G1081" s="11"/>
      <c r="H1081" s="11"/>
      <c r="I1081" s="11"/>
      <c r="J1081" s="11"/>
      <c r="K1081" s="11"/>
      <c r="L1081" s="11"/>
      <c r="M1081" s="11"/>
      <c r="N1081" s="44" t="n">
        <v>14.19</v>
      </c>
      <c r="O1081" s="11"/>
    </row>
    <row r="1082" customFormat="false" ht="14.25" hidden="false" customHeight="true" outlineLevel="0" collapsed="false">
      <c r="C1082" s="11"/>
      <c r="D1082" s="11"/>
      <c r="E1082" s="11"/>
      <c r="F1082" s="11"/>
      <c r="G1082" s="11"/>
      <c r="H1082" s="11"/>
      <c r="I1082" s="11"/>
      <c r="J1082" s="11"/>
      <c r="K1082" s="11"/>
      <c r="L1082" s="11"/>
      <c r="M1082" s="11"/>
      <c r="N1082" s="44" t="n">
        <v>13.68</v>
      </c>
      <c r="O1082" s="11"/>
    </row>
    <row r="1083" customFormat="false" ht="14.25" hidden="false" customHeight="true" outlineLevel="0" collapsed="false">
      <c r="C1083" s="11"/>
      <c r="D1083" s="11"/>
      <c r="E1083" s="11"/>
      <c r="F1083" s="11"/>
      <c r="G1083" s="11"/>
      <c r="H1083" s="11"/>
      <c r="I1083" s="11"/>
      <c r="J1083" s="11"/>
      <c r="K1083" s="11"/>
      <c r="L1083" s="11"/>
      <c r="M1083" s="11"/>
      <c r="N1083" s="44" t="n">
        <v>13.76</v>
      </c>
      <c r="O1083" s="11"/>
    </row>
    <row r="1084" customFormat="false" ht="14.25" hidden="false" customHeight="true" outlineLevel="0" collapsed="false">
      <c r="C1084" s="11"/>
      <c r="D1084" s="11"/>
      <c r="E1084" s="11"/>
      <c r="F1084" s="11"/>
      <c r="G1084" s="11"/>
      <c r="H1084" s="11"/>
      <c r="I1084" s="11"/>
      <c r="J1084" s="11"/>
      <c r="K1084" s="11"/>
      <c r="L1084" s="11"/>
      <c r="M1084" s="11"/>
      <c r="N1084" s="44" t="n">
        <v>13.67</v>
      </c>
      <c r="O1084" s="11"/>
    </row>
    <row r="1085" customFormat="false" ht="14.25" hidden="false" customHeight="true" outlineLevel="0" collapsed="false">
      <c r="C1085" s="11"/>
      <c r="D1085" s="11"/>
      <c r="E1085" s="11"/>
      <c r="F1085" s="11"/>
      <c r="G1085" s="11"/>
      <c r="H1085" s="11"/>
      <c r="I1085" s="11"/>
      <c r="J1085" s="11"/>
      <c r="K1085" s="11"/>
      <c r="L1085" s="11"/>
      <c r="M1085" s="11"/>
      <c r="N1085" s="44" t="n">
        <v>13.65</v>
      </c>
      <c r="O1085" s="11"/>
    </row>
    <row r="1086" customFormat="false" ht="14.25" hidden="false" customHeight="true" outlineLevel="0" collapsed="false">
      <c r="C1086" s="11"/>
      <c r="D1086" s="11"/>
      <c r="E1086" s="11"/>
      <c r="F1086" s="11"/>
      <c r="G1086" s="11"/>
      <c r="H1086" s="11"/>
      <c r="I1086" s="11"/>
      <c r="J1086" s="11"/>
      <c r="K1086" s="11"/>
      <c r="L1086" s="11"/>
      <c r="M1086" s="11"/>
      <c r="N1086" s="44" t="n">
        <v>13.22</v>
      </c>
      <c r="O1086" s="11"/>
    </row>
    <row r="1087" customFormat="false" ht="14.25" hidden="false" customHeight="true" outlineLevel="0" collapsed="false">
      <c r="C1087" s="11"/>
      <c r="D1087" s="11"/>
      <c r="E1087" s="11"/>
      <c r="F1087" s="11"/>
      <c r="G1087" s="11"/>
      <c r="H1087" s="11"/>
      <c r="I1087" s="11"/>
      <c r="J1087" s="11"/>
      <c r="K1087" s="11"/>
      <c r="L1087" s="11"/>
      <c r="M1087" s="11"/>
      <c r="N1087" s="44" t="n">
        <v>13.27</v>
      </c>
      <c r="O1087" s="11"/>
    </row>
    <row r="1088" customFormat="false" ht="14.25" hidden="false" customHeight="true" outlineLevel="0" collapsed="false">
      <c r="C1088" s="11"/>
      <c r="D1088" s="11"/>
      <c r="E1088" s="11"/>
      <c r="F1088" s="11"/>
      <c r="G1088" s="11"/>
      <c r="H1088" s="11"/>
      <c r="I1088" s="11"/>
      <c r="J1088" s="11"/>
      <c r="K1088" s="11"/>
      <c r="L1088" s="11"/>
      <c r="M1088" s="11"/>
      <c r="N1088" s="44" t="n">
        <v>13.51</v>
      </c>
      <c r="O1088" s="11"/>
    </row>
    <row r="1089" customFormat="false" ht="14.25" hidden="false" customHeight="true" outlineLevel="0" collapsed="false">
      <c r="C1089" s="11"/>
      <c r="D1089" s="11"/>
      <c r="E1089" s="11"/>
      <c r="F1089" s="11"/>
      <c r="G1089" s="11"/>
      <c r="H1089" s="11"/>
      <c r="I1089" s="11"/>
      <c r="J1089" s="11"/>
      <c r="K1089" s="11"/>
      <c r="L1089" s="11"/>
      <c r="M1089" s="11"/>
      <c r="N1089" s="44" t="n">
        <v>13.74</v>
      </c>
      <c r="O1089" s="11"/>
    </row>
    <row r="1090" customFormat="false" ht="14.25" hidden="false" customHeight="true" outlineLevel="0" collapsed="false">
      <c r="C1090" s="11"/>
      <c r="D1090" s="11"/>
      <c r="E1090" s="11"/>
      <c r="F1090" s="11"/>
      <c r="G1090" s="11"/>
      <c r="H1090" s="11"/>
      <c r="I1090" s="11"/>
      <c r="J1090" s="11"/>
      <c r="K1090" s="11"/>
      <c r="L1090" s="11"/>
      <c r="M1090" s="11"/>
      <c r="N1090" s="44" t="n">
        <v>13.52</v>
      </c>
      <c r="O1090" s="11"/>
    </row>
    <row r="1091" customFormat="false" ht="14.25" hidden="false" customHeight="true" outlineLevel="0" collapsed="false">
      <c r="C1091" s="11"/>
      <c r="D1091" s="11"/>
      <c r="E1091" s="11"/>
      <c r="F1091" s="11"/>
      <c r="G1091" s="11"/>
      <c r="H1091" s="11"/>
      <c r="I1091" s="11"/>
      <c r="J1091" s="11"/>
      <c r="K1091" s="11"/>
      <c r="L1091" s="11"/>
      <c r="M1091" s="11"/>
      <c r="N1091" s="44" t="n">
        <v>13.27</v>
      </c>
      <c r="O1091" s="11"/>
    </row>
    <row r="1092" customFormat="false" ht="14.25" hidden="false" customHeight="true" outlineLevel="0" collapsed="false">
      <c r="C1092" s="11"/>
      <c r="D1092" s="11"/>
      <c r="E1092" s="11"/>
      <c r="F1092" s="11"/>
      <c r="G1092" s="11"/>
      <c r="H1092" s="11"/>
      <c r="I1092" s="11"/>
      <c r="J1092" s="11"/>
      <c r="K1092" s="11"/>
      <c r="L1092" s="11"/>
      <c r="M1092" s="11"/>
      <c r="N1092" s="44" t="n">
        <v>13.54</v>
      </c>
      <c r="O1092" s="11"/>
    </row>
    <row r="1093" customFormat="false" ht="14.25" hidden="false" customHeight="true" outlineLevel="0" collapsed="false">
      <c r="C1093" s="11"/>
      <c r="D1093" s="11"/>
      <c r="E1093" s="11"/>
      <c r="F1093" s="11"/>
      <c r="G1093" s="11"/>
      <c r="H1093" s="11"/>
      <c r="I1093" s="11"/>
      <c r="J1093" s="11"/>
      <c r="K1093" s="11"/>
      <c r="L1093" s="11"/>
      <c r="M1093" s="11"/>
      <c r="N1093" s="44" t="n">
        <v>13.62</v>
      </c>
      <c r="O1093" s="11"/>
    </row>
    <row r="1094" customFormat="false" ht="14.25" hidden="false" customHeight="true" outlineLevel="0" collapsed="false">
      <c r="C1094" s="11"/>
      <c r="D1094" s="11"/>
      <c r="E1094" s="11"/>
      <c r="F1094" s="11"/>
      <c r="G1094" s="11"/>
      <c r="H1094" s="11"/>
      <c r="I1094" s="11"/>
      <c r="J1094" s="11"/>
      <c r="K1094" s="11"/>
      <c r="L1094" s="11"/>
      <c r="M1094" s="11"/>
      <c r="N1094" s="44" t="n">
        <v>13.81</v>
      </c>
      <c r="O1094" s="11"/>
    </row>
    <row r="1095" customFormat="false" ht="14.25" hidden="false" customHeight="true" outlineLevel="0" collapsed="false">
      <c r="C1095" s="11"/>
      <c r="D1095" s="11"/>
      <c r="E1095" s="11"/>
      <c r="F1095" s="11"/>
      <c r="G1095" s="11"/>
      <c r="H1095" s="11"/>
      <c r="I1095" s="11"/>
      <c r="J1095" s="11"/>
      <c r="K1095" s="11"/>
      <c r="L1095" s="11"/>
      <c r="M1095" s="11"/>
      <c r="N1095" s="44" t="n">
        <v>13.6</v>
      </c>
      <c r="O1095" s="11"/>
    </row>
    <row r="1096" customFormat="false" ht="14.25" hidden="false" customHeight="true" outlineLevel="0" collapsed="false">
      <c r="C1096" s="11"/>
      <c r="D1096" s="11"/>
      <c r="E1096" s="11"/>
      <c r="F1096" s="11"/>
      <c r="G1096" s="11"/>
      <c r="H1096" s="11"/>
      <c r="I1096" s="11"/>
      <c r="J1096" s="11"/>
      <c r="K1096" s="11"/>
      <c r="L1096" s="11"/>
      <c r="M1096" s="11"/>
      <c r="N1096" s="44" t="n">
        <v>13.4</v>
      </c>
      <c r="O1096" s="11"/>
    </row>
    <row r="1097" customFormat="false" ht="14.25" hidden="false" customHeight="true" outlineLevel="0" collapsed="false">
      <c r="C1097" s="11"/>
      <c r="D1097" s="11"/>
      <c r="E1097" s="11"/>
      <c r="F1097" s="11"/>
      <c r="G1097" s="11"/>
      <c r="H1097" s="11"/>
      <c r="I1097" s="11"/>
      <c r="J1097" s="11"/>
      <c r="K1097" s="11"/>
      <c r="L1097" s="11"/>
      <c r="M1097" s="11"/>
      <c r="N1097" s="44" t="n">
        <v>13.4</v>
      </c>
      <c r="O1097" s="11"/>
    </row>
    <row r="1098" customFormat="false" ht="14.25" hidden="false" customHeight="true" outlineLevel="0" collapsed="false">
      <c r="C1098" s="11"/>
      <c r="D1098" s="11"/>
      <c r="E1098" s="11"/>
      <c r="F1098" s="11"/>
      <c r="G1098" s="11"/>
      <c r="H1098" s="11"/>
      <c r="I1098" s="11"/>
      <c r="J1098" s="11"/>
      <c r="K1098" s="11"/>
      <c r="L1098" s="11"/>
      <c r="M1098" s="11"/>
      <c r="N1098" s="44" t="n">
        <v>13.48</v>
      </c>
      <c r="O1098" s="11"/>
    </row>
    <row r="1099" customFormat="false" ht="14.25" hidden="false" customHeight="true" outlineLevel="0" collapsed="false">
      <c r="C1099" s="11"/>
      <c r="D1099" s="11"/>
      <c r="E1099" s="11"/>
      <c r="F1099" s="11"/>
      <c r="G1099" s="11"/>
      <c r="H1099" s="11"/>
      <c r="I1099" s="11"/>
      <c r="J1099" s="11"/>
      <c r="K1099" s="11"/>
      <c r="L1099" s="11"/>
      <c r="M1099" s="11"/>
      <c r="N1099" s="44" t="n">
        <v>13.56</v>
      </c>
      <c r="O1099" s="11"/>
    </row>
    <row r="1100" customFormat="false" ht="14.25" hidden="false" customHeight="true" outlineLevel="0" collapsed="false">
      <c r="C1100" s="11"/>
      <c r="D1100" s="11"/>
      <c r="E1100" s="11"/>
      <c r="F1100" s="11"/>
      <c r="G1100" s="11"/>
      <c r="H1100" s="11"/>
      <c r="I1100" s="11"/>
      <c r="J1100" s="11"/>
      <c r="K1100" s="11"/>
      <c r="L1100" s="11"/>
      <c r="M1100" s="11"/>
      <c r="N1100" s="44" t="n">
        <v>13.9</v>
      </c>
      <c r="O1100" s="11"/>
    </row>
    <row r="1101" customFormat="false" ht="14.25" hidden="false" customHeight="true" outlineLevel="0" collapsed="false">
      <c r="C1101" s="11"/>
      <c r="D1101" s="11"/>
      <c r="E1101" s="11"/>
      <c r="F1101" s="11"/>
      <c r="G1101" s="11"/>
      <c r="H1101" s="11"/>
      <c r="I1101" s="11"/>
      <c r="J1101" s="11"/>
      <c r="K1101" s="11"/>
      <c r="L1101" s="11"/>
      <c r="M1101" s="11"/>
      <c r="N1101" s="44" t="n">
        <v>13.88</v>
      </c>
      <c r="O1101" s="11"/>
    </row>
    <row r="1102" customFormat="false" ht="14.25" hidden="false" customHeight="true" outlineLevel="0" collapsed="false">
      <c r="C1102" s="11"/>
      <c r="D1102" s="11"/>
      <c r="E1102" s="11"/>
      <c r="F1102" s="11"/>
      <c r="G1102" s="11"/>
      <c r="H1102" s="11"/>
      <c r="I1102" s="11"/>
      <c r="J1102" s="11"/>
      <c r="K1102" s="11"/>
      <c r="L1102" s="11"/>
      <c r="M1102" s="11"/>
      <c r="N1102" s="44" t="n">
        <v>13.21</v>
      </c>
      <c r="O1102" s="11"/>
    </row>
    <row r="1103" customFormat="false" ht="14.25" hidden="false" customHeight="true" outlineLevel="0" collapsed="false">
      <c r="C1103" s="11"/>
      <c r="D1103" s="11"/>
      <c r="E1103" s="11"/>
      <c r="F1103" s="11"/>
      <c r="G1103" s="11"/>
      <c r="H1103" s="11"/>
      <c r="I1103" s="11"/>
      <c r="J1103" s="11"/>
      <c r="K1103" s="11"/>
      <c r="L1103" s="11"/>
      <c r="M1103" s="11"/>
      <c r="N1103" s="44" t="n">
        <v>13.03</v>
      </c>
      <c r="O1103" s="11"/>
    </row>
    <row r="1104" customFormat="false" ht="14.25" hidden="false" customHeight="true" outlineLevel="0" collapsed="false">
      <c r="C1104" s="11"/>
      <c r="D1104" s="11"/>
      <c r="E1104" s="11"/>
      <c r="F1104" s="11"/>
      <c r="G1104" s="11"/>
      <c r="H1104" s="11"/>
      <c r="I1104" s="11"/>
      <c r="J1104" s="11"/>
      <c r="K1104" s="11"/>
      <c r="L1104" s="11"/>
      <c r="M1104" s="11"/>
      <c r="N1104" s="44" t="n">
        <v>12.97</v>
      </c>
      <c r="O1104" s="11"/>
    </row>
    <row r="1105" customFormat="false" ht="14.25" hidden="false" customHeight="true" outlineLevel="0" collapsed="false">
      <c r="C1105" s="11"/>
      <c r="D1105" s="11"/>
      <c r="E1105" s="11"/>
      <c r="F1105" s="11"/>
      <c r="G1105" s="11"/>
      <c r="H1105" s="11"/>
      <c r="I1105" s="11"/>
      <c r="J1105" s="11"/>
      <c r="K1105" s="11"/>
      <c r="L1105" s="11"/>
      <c r="M1105" s="11"/>
      <c r="N1105" s="44" t="n">
        <v>12.5</v>
      </c>
      <c r="O1105" s="11"/>
    </row>
    <row r="1106" customFormat="false" ht="14.25" hidden="false" customHeight="true" outlineLevel="0" collapsed="false">
      <c r="C1106" s="11"/>
      <c r="D1106" s="11"/>
      <c r="E1106" s="11"/>
      <c r="F1106" s="11"/>
      <c r="G1106" s="11"/>
      <c r="H1106" s="11"/>
      <c r="I1106" s="11"/>
      <c r="J1106" s="11"/>
      <c r="K1106" s="11"/>
      <c r="L1106" s="11"/>
      <c r="M1106" s="11"/>
      <c r="N1106" s="44" t="n">
        <v>12.4</v>
      </c>
      <c r="O1106" s="11"/>
    </row>
    <row r="1107" customFormat="false" ht="14.25" hidden="false" customHeight="true" outlineLevel="0" collapsed="false">
      <c r="C1107" s="11"/>
      <c r="D1107" s="11"/>
      <c r="E1107" s="11"/>
      <c r="F1107" s="11"/>
      <c r="G1107" s="11"/>
      <c r="H1107" s="11"/>
      <c r="I1107" s="11"/>
      <c r="J1107" s="11"/>
      <c r="K1107" s="11"/>
      <c r="L1107" s="11"/>
      <c r="M1107" s="11"/>
      <c r="N1107" s="44" t="n">
        <v>12.61</v>
      </c>
      <c r="O1107" s="11"/>
    </row>
    <row r="1108" customFormat="false" ht="14.25" hidden="false" customHeight="true" outlineLevel="0" collapsed="false">
      <c r="C1108" s="11"/>
      <c r="D1108" s="11"/>
      <c r="E1108" s="11"/>
      <c r="F1108" s="11"/>
      <c r="G1108" s="11"/>
      <c r="H1108" s="11"/>
      <c r="I1108" s="11"/>
      <c r="J1108" s="11"/>
      <c r="K1108" s="11"/>
      <c r="L1108" s="11"/>
      <c r="M1108" s="11"/>
      <c r="N1108" s="44" t="n">
        <v>12.43</v>
      </c>
      <c r="O1108" s="11"/>
    </row>
    <row r="1109" customFormat="false" ht="14.25" hidden="false" customHeight="true" outlineLevel="0" collapsed="false">
      <c r="C1109" s="11"/>
      <c r="D1109" s="11"/>
      <c r="E1109" s="11"/>
      <c r="F1109" s="11"/>
      <c r="G1109" s="11"/>
      <c r="H1109" s="11"/>
      <c r="I1109" s="11"/>
      <c r="J1109" s="11"/>
      <c r="K1109" s="11"/>
      <c r="L1109" s="11"/>
      <c r="M1109" s="11"/>
      <c r="N1109" s="44" t="n">
        <v>12.74</v>
      </c>
      <c r="O1109" s="11"/>
    </row>
    <row r="1110" customFormat="false" ht="14.25" hidden="false" customHeight="true" outlineLevel="0" collapsed="false">
      <c r="C1110" s="11"/>
      <c r="D1110" s="11"/>
      <c r="E1110" s="11"/>
      <c r="F1110" s="11"/>
      <c r="G1110" s="11"/>
      <c r="H1110" s="11"/>
      <c r="I1110" s="11"/>
      <c r="J1110" s="11"/>
      <c r="K1110" s="11"/>
      <c r="L1110" s="11"/>
      <c r="M1110" s="11"/>
      <c r="N1110" s="44" t="n">
        <v>12.47</v>
      </c>
      <c r="O1110" s="11"/>
    </row>
    <row r="1111" customFormat="false" ht="14.25" hidden="false" customHeight="true" outlineLevel="0" collapsed="false">
      <c r="C1111" s="11"/>
      <c r="D1111" s="11"/>
      <c r="E1111" s="11"/>
      <c r="F1111" s="11"/>
      <c r="G1111" s="11"/>
      <c r="H1111" s="11"/>
      <c r="I1111" s="11"/>
      <c r="J1111" s="11"/>
      <c r="K1111" s="11"/>
      <c r="L1111" s="11"/>
      <c r="M1111" s="11"/>
      <c r="N1111" s="44" t="n">
        <v>12.24</v>
      </c>
      <c r="O1111" s="11"/>
    </row>
    <row r="1112" customFormat="false" ht="14.25" hidden="false" customHeight="true" outlineLevel="0" collapsed="false">
      <c r="C1112" s="11"/>
      <c r="D1112" s="11"/>
      <c r="E1112" s="11"/>
      <c r="F1112" s="11"/>
      <c r="G1112" s="11"/>
      <c r="H1112" s="11"/>
      <c r="I1112" s="11"/>
      <c r="J1112" s="11"/>
      <c r="K1112" s="11"/>
      <c r="L1112" s="11"/>
      <c r="M1112" s="11"/>
      <c r="N1112" s="44" t="n">
        <v>10.73</v>
      </c>
      <c r="O1112" s="11"/>
    </row>
    <row r="1113" customFormat="false" ht="14.25" hidden="false" customHeight="true" outlineLevel="0" collapsed="false">
      <c r="C1113" s="11"/>
      <c r="D1113" s="11"/>
      <c r="E1113" s="11"/>
      <c r="F1113" s="11"/>
      <c r="G1113" s="11"/>
      <c r="H1113" s="11"/>
      <c r="I1113" s="11"/>
      <c r="J1113" s="11"/>
      <c r="K1113" s="11"/>
      <c r="L1113" s="11"/>
      <c r="M1113" s="11"/>
      <c r="N1113" s="44" t="n">
        <v>11.43</v>
      </c>
      <c r="O1113" s="11"/>
    </row>
    <row r="1114" customFormat="false" ht="14.25" hidden="false" customHeight="true" outlineLevel="0" collapsed="false">
      <c r="C1114" s="11"/>
      <c r="D1114" s="11"/>
      <c r="E1114" s="11"/>
      <c r="F1114" s="11"/>
      <c r="G1114" s="11"/>
      <c r="H1114" s="11"/>
      <c r="I1114" s="11"/>
      <c r="J1114" s="11"/>
      <c r="K1114" s="11"/>
      <c r="L1114" s="11"/>
      <c r="M1114" s="11"/>
      <c r="N1114" s="44" t="n">
        <v>10.45</v>
      </c>
      <c r="O1114" s="11"/>
    </row>
    <row r="1115" customFormat="false" ht="14.25" hidden="false" customHeight="true" outlineLevel="0" collapsed="false">
      <c r="C1115" s="11"/>
      <c r="D1115" s="11"/>
      <c r="E1115" s="11"/>
      <c r="F1115" s="11"/>
      <c r="G1115" s="11"/>
      <c r="H1115" s="11"/>
      <c r="I1115" s="11"/>
      <c r="J1115" s="11"/>
      <c r="K1115" s="11"/>
      <c r="L1115" s="11"/>
      <c r="M1115" s="11"/>
      <c r="N1115" s="44" t="n">
        <v>9.63</v>
      </c>
      <c r="O1115" s="11"/>
    </row>
    <row r="1116" customFormat="false" ht="14.25" hidden="false" customHeight="true" outlineLevel="0" collapsed="false">
      <c r="C1116" s="11"/>
      <c r="D1116" s="11"/>
      <c r="E1116" s="11"/>
      <c r="F1116" s="11"/>
      <c r="G1116" s="11"/>
      <c r="H1116" s="11"/>
      <c r="I1116" s="11"/>
      <c r="J1116" s="11"/>
      <c r="K1116" s="11"/>
      <c r="L1116" s="11"/>
      <c r="M1116" s="11"/>
      <c r="N1116" s="44" t="n">
        <v>11.25</v>
      </c>
      <c r="O1116" s="11"/>
    </row>
    <row r="1117" customFormat="false" ht="14.25" hidden="false" customHeight="true" outlineLevel="0" collapsed="false">
      <c r="C1117" s="11"/>
      <c r="D1117" s="11"/>
      <c r="E1117" s="11"/>
      <c r="F1117" s="11"/>
      <c r="G1117" s="11"/>
      <c r="H1117" s="11"/>
      <c r="I1117" s="11"/>
      <c r="J1117" s="11"/>
      <c r="K1117" s="11"/>
      <c r="L1117" s="11"/>
      <c r="M1117" s="11"/>
      <c r="N1117" s="44" t="n">
        <v>9.83</v>
      </c>
      <c r="O1117" s="11"/>
    </row>
    <row r="1118" customFormat="false" ht="14.25" hidden="false" customHeight="true" outlineLevel="0" collapsed="false">
      <c r="C1118" s="11"/>
      <c r="D1118" s="11"/>
      <c r="E1118" s="11"/>
      <c r="F1118" s="11"/>
      <c r="G1118" s="11"/>
      <c r="H1118" s="11"/>
      <c r="I1118" s="11"/>
      <c r="J1118" s="11"/>
      <c r="K1118" s="11"/>
      <c r="L1118" s="11"/>
      <c r="M1118" s="11"/>
      <c r="N1118" s="44" t="n">
        <v>10.56</v>
      </c>
      <c r="O1118" s="11"/>
    </row>
    <row r="1119" customFormat="false" ht="14.25" hidden="false" customHeight="true" outlineLevel="0" collapsed="false">
      <c r="C1119" s="11"/>
      <c r="D1119" s="11"/>
      <c r="E1119" s="11"/>
      <c r="F1119" s="11"/>
      <c r="G1119" s="11"/>
      <c r="H1119" s="11"/>
      <c r="I1119" s="11"/>
      <c r="J1119" s="11"/>
      <c r="K1119" s="11"/>
      <c r="L1119" s="11"/>
      <c r="M1119" s="11"/>
      <c r="N1119" s="44" t="n">
        <v>9.42</v>
      </c>
      <c r="O1119" s="11"/>
    </row>
    <row r="1120" customFormat="false" ht="14.25" hidden="false" customHeight="true" outlineLevel="0" collapsed="false">
      <c r="C1120" s="11"/>
      <c r="D1120" s="11"/>
      <c r="E1120" s="11"/>
      <c r="F1120" s="11"/>
      <c r="G1120" s="11"/>
      <c r="H1120" s="11"/>
      <c r="I1120" s="11"/>
      <c r="J1120" s="11"/>
      <c r="K1120" s="11"/>
      <c r="L1120" s="11"/>
      <c r="M1120" s="11"/>
      <c r="N1120" s="44" t="n">
        <v>9.91</v>
      </c>
      <c r="O1120" s="11"/>
    </row>
    <row r="1121" customFormat="false" ht="14.25" hidden="false" customHeight="true" outlineLevel="0" collapsed="false">
      <c r="C1121" s="11"/>
      <c r="D1121" s="11"/>
      <c r="E1121" s="11"/>
      <c r="F1121" s="11"/>
      <c r="G1121" s="11"/>
      <c r="H1121" s="11"/>
      <c r="I1121" s="11"/>
      <c r="J1121" s="11"/>
      <c r="K1121" s="11"/>
      <c r="L1121" s="11"/>
      <c r="M1121" s="11"/>
      <c r="N1121" s="44" t="n">
        <v>9.5</v>
      </c>
      <c r="O1121" s="11"/>
    </row>
    <row r="1122" customFormat="false" ht="14.25" hidden="false" customHeight="true" outlineLevel="0" collapsed="false">
      <c r="C1122" s="11"/>
      <c r="D1122" s="11"/>
      <c r="E1122" s="11"/>
      <c r="F1122" s="11"/>
      <c r="G1122" s="11"/>
      <c r="H1122" s="11"/>
      <c r="I1122" s="11"/>
      <c r="J1122" s="11"/>
      <c r="K1122" s="11"/>
      <c r="L1122" s="11"/>
      <c r="M1122" s="11"/>
      <c r="N1122" s="44" t="n">
        <v>9.49</v>
      </c>
      <c r="O1122" s="11"/>
    </row>
    <row r="1123" customFormat="false" ht="14.25" hidden="false" customHeight="true" outlineLevel="0" collapsed="false">
      <c r="C1123" s="11"/>
      <c r="D1123" s="11"/>
      <c r="E1123" s="11"/>
      <c r="F1123" s="11"/>
      <c r="G1123" s="11"/>
      <c r="H1123" s="11"/>
      <c r="I1123" s="11"/>
      <c r="J1123" s="11"/>
      <c r="K1123" s="11"/>
      <c r="L1123" s="11"/>
      <c r="M1123" s="11"/>
      <c r="N1123" s="44" t="n">
        <v>10.29</v>
      </c>
      <c r="O1123" s="11"/>
    </row>
    <row r="1124" customFormat="false" ht="14.25" hidden="false" customHeight="true" outlineLevel="0" collapsed="false">
      <c r="C1124" s="11"/>
      <c r="D1124" s="11"/>
      <c r="E1124" s="11"/>
      <c r="F1124" s="11"/>
      <c r="G1124" s="11"/>
      <c r="H1124" s="11"/>
      <c r="I1124" s="11"/>
      <c r="J1124" s="11"/>
      <c r="K1124" s="11"/>
      <c r="L1124" s="11"/>
      <c r="M1124" s="11"/>
      <c r="N1124" s="44" t="n">
        <v>10.43</v>
      </c>
      <c r="O1124" s="11"/>
    </row>
    <row r="1125" customFormat="false" ht="14.25" hidden="false" customHeight="true" outlineLevel="0" collapsed="false">
      <c r="C1125" s="11"/>
      <c r="D1125" s="11"/>
      <c r="E1125" s="11"/>
      <c r="F1125" s="11"/>
      <c r="G1125" s="11"/>
      <c r="H1125" s="11"/>
      <c r="I1125" s="11"/>
      <c r="J1125" s="11"/>
      <c r="K1125" s="11"/>
      <c r="L1125" s="11"/>
      <c r="M1125" s="11"/>
      <c r="N1125" s="44" t="n">
        <v>10.75</v>
      </c>
      <c r="O1125" s="11"/>
    </row>
    <row r="1126" customFormat="false" ht="14.25" hidden="false" customHeight="true" outlineLevel="0" collapsed="false">
      <c r="C1126" s="11"/>
      <c r="D1126" s="11"/>
      <c r="E1126" s="11"/>
      <c r="F1126" s="11"/>
      <c r="G1126" s="11"/>
      <c r="H1126" s="11"/>
      <c r="I1126" s="11"/>
      <c r="J1126" s="11"/>
      <c r="K1126" s="11"/>
      <c r="L1126" s="11"/>
      <c r="M1126" s="11"/>
      <c r="N1126" s="44" t="n">
        <v>10.11</v>
      </c>
      <c r="O1126" s="11"/>
    </row>
    <row r="1127" customFormat="false" ht="14.25" hidden="false" customHeight="true" outlineLevel="0" collapsed="false">
      <c r="C1127" s="11"/>
      <c r="D1127" s="11"/>
      <c r="E1127" s="11"/>
      <c r="F1127" s="11"/>
      <c r="G1127" s="11"/>
      <c r="H1127" s="11"/>
      <c r="I1127" s="11"/>
      <c r="J1127" s="11"/>
      <c r="K1127" s="11"/>
      <c r="L1127" s="11"/>
      <c r="M1127" s="11"/>
      <c r="N1127" s="44" t="n">
        <v>10.47</v>
      </c>
      <c r="O1127" s="11"/>
    </row>
    <row r="1128" customFormat="false" ht="14.25" hidden="false" customHeight="true" outlineLevel="0" collapsed="false">
      <c r="C1128" s="11"/>
      <c r="D1128" s="11"/>
      <c r="E1128" s="11"/>
      <c r="F1128" s="11"/>
      <c r="G1128" s="11"/>
      <c r="H1128" s="11"/>
      <c r="I1128" s="11"/>
      <c r="J1128" s="11"/>
      <c r="K1128" s="11"/>
      <c r="L1128" s="11"/>
      <c r="M1128" s="11"/>
      <c r="N1128" s="44" t="n">
        <v>10.82</v>
      </c>
      <c r="O1128" s="11"/>
    </row>
    <row r="1129" customFormat="false" ht="14.25" hidden="false" customHeight="true" outlineLevel="0" collapsed="false">
      <c r="C1129" s="11"/>
      <c r="D1129" s="11"/>
      <c r="E1129" s="11"/>
      <c r="F1129" s="11"/>
      <c r="G1129" s="11"/>
      <c r="H1129" s="11"/>
      <c r="I1129" s="11"/>
      <c r="J1129" s="11"/>
      <c r="K1129" s="11"/>
      <c r="L1129" s="11"/>
      <c r="M1129" s="11"/>
      <c r="N1129" s="44" t="n">
        <v>10.08</v>
      </c>
      <c r="O1129" s="11"/>
    </row>
    <row r="1130" customFormat="false" ht="14.25" hidden="false" customHeight="true" outlineLevel="0" collapsed="false">
      <c r="C1130" s="11"/>
      <c r="D1130" s="11"/>
      <c r="E1130" s="11"/>
      <c r="F1130" s="11"/>
      <c r="G1130" s="11"/>
      <c r="H1130" s="11"/>
      <c r="I1130" s="11"/>
      <c r="J1130" s="11"/>
      <c r="K1130" s="11"/>
      <c r="L1130" s="11"/>
      <c r="M1130" s="11"/>
      <c r="N1130" s="44" t="n">
        <v>11.31</v>
      </c>
      <c r="O1130" s="11"/>
    </row>
    <row r="1131" customFormat="false" ht="14.25" hidden="false" customHeight="true" outlineLevel="0" collapsed="false">
      <c r="C1131" s="11"/>
      <c r="D1131" s="11"/>
      <c r="E1131" s="11"/>
      <c r="F1131" s="11"/>
      <c r="G1131" s="11"/>
      <c r="H1131" s="11"/>
      <c r="I1131" s="11"/>
      <c r="J1131" s="11"/>
      <c r="K1131" s="11"/>
      <c r="L1131" s="11"/>
      <c r="M1131" s="11"/>
      <c r="N1131" s="44" t="n">
        <v>10.98</v>
      </c>
      <c r="O1131" s="11"/>
    </row>
    <row r="1132" customFormat="false" ht="14.25" hidden="false" customHeight="true" outlineLevel="0" collapsed="false">
      <c r="C1132" s="11"/>
      <c r="D1132" s="11"/>
      <c r="E1132" s="11"/>
      <c r="F1132" s="11"/>
      <c r="G1132" s="11"/>
      <c r="H1132" s="11"/>
      <c r="I1132" s="11"/>
      <c r="J1132" s="11"/>
      <c r="K1132" s="11"/>
      <c r="L1132" s="11"/>
      <c r="M1132" s="11"/>
      <c r="N1132" s="44" t="n">
        <v>11.82</v>
      </c>
      <c r="O1132" s="11"/>
    </row>
    <row r="1133" customFormat="false" ht="14.25" hidden="false" customHeight="true" outlineLevel="0" collapsed="false">
      <c r="C1133" s="11"/>
      <c r="D1133" s="11"/>
      <c r="E1133" s="11"/>
      <c r="F1133" s="11"/>
      <c r="G1133" s="11"/>
      <c r="H1133" s="11"/>
      <c r="I1133" s="11"/>
      <c r="J1133" s="11"/>
      <c r="K1133" s="11"/>
      <c r="L1133" s="11"/>
      <c r="M1133" s="11"/>
      <c r="N1133" s="44" t="n">
        <v>12.75</v>
      </c>
      <c r="O1133" s="11"/>
    </row>
    <row r="1134" customFormat="false" ht="14.25" hidden="false" customHeight="true" outlineLevel="0" collapsed="false">
      <c r="C1134" s="11"/>
      <c r="D1134" s="11"/>
      <c r="E1134" s="11"/>
      <c r="F1134" s="11"/>
      <c r="G1134" s="11"/>
      <c r="H1134" s="11"/>
      <c r="I1134" s="11"/>
      <c r="J1134" s="11"/>
      <c r="K1134" s="11"/>
      <c r="L1134" s="11"/>
      <c r="M1134" s="11"/>
      <c r="N1134" s="44" t="n">
        <v>12.73</v>
      </c>
      <c r="O1134" s="11"/>
    </row>
    <row r="1135" customFormat="false" ht="14.25" hidden="false" customHeight="true" outlineLevel="0" collapsed="false">
      <c r="C1135" s="11"/>
      <c r="D1135" s="11"/>
      <c r="E1135" s="11"/>
      <c r="F1135" s="11"/>
      <c r="G1135" s="11"/>
      <c r="H1135" s="11"/>
      <c r="I1135" s="11"/>
      <c r="J1135" s="11"/>
      <c r="K1135" s="11"/>
      <c r="L1135" s="11"/>
      <c r="M1135" s="11"/>
      <c r="N1135" s="44" t="n">
        <v>12.2</v>
      </c>
      <c r="O1135" s="11"/>
    </row>
    <row r="1136" customFormat="false" ht="14.25" hidden="false" customHeight="true" outlineLevel="0" collapsed="false">
      <c r="C1136" s="11"/>
      <c r="D1136" s="11"/>
      <c r="E1136" s="11"/>
      <c r="F1136" s="11"/>
      <c r="G1136" s="11"/>
      <c r="H1136" s="11"/>
      <c r="I1136" s="11"/>
      <c r="J1136" s="11"/>
      <c r="K1136" s="11"/>
      <c r="L1136" s="11"/>
      <c r="M1136" s="11"/>
      <c r="N1136" s="44" t="n">
        <v>12.2</v>
      </c>
      <c r="O1136" s="11"/>
    </row>
    <row r="1137" customFormat="false" ht="14.25" hidden="false" customHeight="true" outlineLevel="0" collapsed="false">
      <c r="C1137" s="11"/>
      <c r="D1137" s="11"/>
      <c r="E1137" s="11"/>
      <c r="F1137" s="11"/>
      <c r="G1137" s="11"/>
      <c r="H1137" s="11"/>
      <c r="I1137" s="11"/>
      <c r="J1137" s="11"/>
      <c r="K1137" s="11"/>
      <c r="L1137" s="11"/>
      <c r="M1137" s="11"/>
      <c r="N1137" s="44" t="n">
        <v>11.18</v>
      </c>
      <c r="O1137" s="11"/>
    </row>
    <row r="1138" customFormat="false" ht="14.25" hidden="false" customHeight="true" outlineLevel="0" collapsed="false">
      <c r="C1138" s="11"/>
      <c r="D1138" s="11"/>
      <c r="E1138" s="11"/>
      <c r="F1138" s="11"/>
      <c r="G1138" s="11"/>
      <c r="H1138" s="11"/>
      <c r="I1138" s="11"/>
      <c r="J1138" s="11"/>
      <c r="K1138" s="11"/>
      <c r="L1138" s="11"/>
      <c r="M1138" s="11"/>
      <c r="N1138" s="44" t="n">
        <v>12.48</v>
      </c>
      <c r="O1138" s="11"/>
    </row>
    <row r="1139" customFormat="false" ht="14.25" hidden="false" customHeight="true" outlineLevel="0" collapsed="false">
      <c r="C1139" s="11"/>
      <c r="D1139" s="11"/>
      <c r="E1139" s="11"/>
      <c r="F1139" s="11"/>
      <c r="G1139" s="11"/>
      <c r="H1139" s="11"/>
      <c r="I1139" s="11"/>
      <c r="J1139" s="11"/>
      <c r="K1139" s="11"/>
      <c r="L1139" s="11"/>
      <c r="M1139" s="11"/>
      <c r="N1139" s="44" t="n">
        <v>12.11</v>
      </c>
      <c r="O1139" s="11"/>
    </row>
    <row r="1140" customFormat="false" ht="14.25" hidden="false" customHeight="true" outlineLevel="0" collapsed="false">
      <c r="C1140" s="11"/>
      <c r="D1140" s="11"/>
      <c r="E1140" s="11"/>
      <c r="F1140" s="11"/>
      <c r="G1140" s="11"/>
      <c r="H1140" s="11"/>
      <c r="I1140" s="11"/>
      <c r="J1140" s="11"/>
      <c r="K1140" s="11"/>
      <c r="L1140" s="11"/>
      <c r="M1140" s="11"/>
      <c r="N1140" s="44" t="n">
        <v>12.13</v>
      </c>
      <c r="O1140" s="11"/>
    </row>
    <row r="1141" customFormat="false" ht="14.25" hidden="false" customHeight="true" outlineLevel="0" collapsed="false">
      <c r="C1141" s="11"/>
      <c r="D1141" s="11"/>
      <c r="E1141" s="11"/>
      <c r="F1141" s="11"/>
      <c r="G1141" s="11"/>
      <c r="H1141" s="11"/>
      <c r="I1141" s="11"/>
      <c r="J1141" s="11"/>
      <c r="K1141" s="11"/>
      <c r="L1141" s="11"/>
      <c r="M1141" s="11"/>
      <c r="N1141" s="44" t="n">
        <v>12.49</v>
      </c>
      <c r="O1141" s="11"/>
    </row>
    <row r="1142" customFormat="false" ht="14.25" hidden="false" customHeight="true" outlineLevel="0" collapsed="false">
      <c r="C1142" s="11"/>
      <c r="D1142" s="11"/>
      <c r="E1142" s="11"/>
      <c r="F1142" s="11"/>
      <c r="G1142" s="11"/>
      <c r="H1142" s="11"/>
      <c r="I1142" s="11"/>
      <c r="J1142" s="11"/>
      <c r="K1142" s="11"/>
      <c r="L1142" s="11"/>
      <c r="M1142" s="11"/>
      <c r="N1142" s="44" t="n">
        <v>11.71</v>
      </c>
      <c r="O1142" s="11"/>
    </row>
    <row r="1143" customFormat="false" ht="14.25" hidden="false" customHeight="true" outlineLevel="0" collapsed="false">
      <c r="C1143" s="11"/>
      <c r="D1143" s="11"/>
      <c r="E1143" s="11"/>
      <c r="F1143" s="11"/>
      <c r="G1143" s="11"/>
      <c r="H1143" s="11"/>
      <c r="I1143" s="11"/>
      <c r="J1143" s="11"/>
      <c r="K1143" s="11"/>
      <c r="L1143" s="11"/>
      <c r="M1143" s="11"/>
      <c r="N1143" s="44" t="n">
        <v>11.85</v>
      </c>
      <c r="O1143" s="11"/>
    </row>
    <row r="1144" customFormat="false" ht="14.25" hidden="false" customHeight="true" outlineLevel="0" collapsed="false">
      <c r="C1144" s="11"/>
      <c r="D1144" s="11"/>
      <c r="E1144" s="11"/>
      <c r="F1144" s="11"/>
      <c r="G1144" s="11"/>
      <c r="H1144" s="11"/>
      <c r="I1144" s="11"/>
      <c r="J1144" s="11"/>
      <c r="K1144" s="11"/>
      <c r="L1144" s="11"/>
      <c r="M1144" s="11"/>
      <c r="N1144" s="44" t="n">
        <v>11.8</v>
      </c>
      <c r="O1144" s="11"/>
    </row>
    <row r="1145" customFormat="false" ht="14.25" hidden="false" customHeight="true" outlineLevel="0" collapsed="false">
      <c r="C1145" s="11"/>
      <c r="D1145" s="11"/>
      <c r="E1145" s="11"/>
      <c r="F1145" s="11"/>
      <c r="G1145" s="11"/>
      <c r="H1145" s="11"/>
      <c r="I1145" s="11"/>
      <c r="J1145" s="11"/>
      <c r="K1145" s="11"/>
      <c r="L1145" s="11"/>
      <c r="M1145" s="11"/>
      <c r="N1145" s="44" t="n">
        <v>12.39</v>
      </c>
      <c r="O1145" s="11"/>
    </row>
    <row r="1146" customFormat="false" ht="14.25" hidden="false" customHeight="true" outlineLevel="0" collapsed="false">
      <c r="C1146" s="11"/>
      <c r="D1146" s="11"/>
      <c r="E1146" s="11"/>
      <c r="F1146" s="11"/>
      <c r="G1146" s="11"/>
      <c r="H1146" s="11"/>
      <c r="I1146" s="11"/>
      <c r="J1146" s="11"/>
      <c r="K1146" s="11"/>
      <c r="L1146" s="11"/>
      <c r="M1146" s="11"/>
      <c r="N1146" s="44" t="n">
        <v>12.37</v>
      </c>
      <c r="O1146" s="11"/>
    </row>
    <row r="1147" customFormat="false" ht="14.25" hidden="false" customHeight="true" outlineLevel="0" collapsed="false">
      <c r="C1147" s="11"/>
      <c r="D1147" s="11"/>
      <c r="E1147" s="11"/>
      <c r="F1147" s="11"/>
      <c r="G1147" s="11"/>
      <c r="H1147" s="11"/>
      <c r="I1147" s="11"/>
      <c r="J1147" s="11"/>
      <c r="K1147" s="11"/>
      <c r="L1147" s="11"/>
      <c r="M1147" s="11"/>
      <c r="N1147" s="44" t="n">
        <v>13</v>
      </c>
      <c r="O1147" s="11"/>
    </row>
    <row r="1148" customFormat="false" ht="14.25" hidden="false" customHeight="true" outlineLevel="0" collapsed="false">
      <c r="C1148" s="11"/>
      <c r="D1148" s="11"/>
      <c r="E1148" s="11"/>
      <c r="F1148" s="11"/>
      <c r="G1148" s="11"/>
      <c r="H1148" s="11"/>
      <c r="I1148" s="11"/>
      <c r="J1148" s="11"/>
      <c r="K1148" s="11"/>
      <c r="L1148" s="11"/>
      <c r="M1148" s="11"/>
      <c r="N1148" s="44" t="n">
        <v>13.3</v>
      </c>
      <c r="O1148" s="11"/>
    </row>
    <row r="1149" customFormat="false" ht="14.25" hidden="false" customHeight="true" outlineLevel="0" collapsed="false">
      <c r="C1149" s="11"/>
      <c r="D1149" s="11"/>
      <c r="E1149" s="11"/>
      <c r="F1149" s="11"/>
      <c r="G1149" s="11"/>
      <c r="H1149" s="11"/>
      <c r="I1149" s="11"/>
      <c r="J1149" s="11"/>
      <c r="K1149" s="11"/>
      <c r="L1149" s="11"/>
      <c r="M1149" s="11"/>
      <c r="N1149" s="44" t="n">
        <v>13.59</v>
      </c>
      <c r="O1149" s="11"/>
    </row>
    <row r="1150" customFormat="false" ht="14.25" hidden="false" customHeight="true" outlineLevel="0" collapsed="false">
      <c r="C1150" s="11"/>
      <c r="D1150" s="11"/>
      <c r="E1150" s="11"/>
      <c r="F1150" s="11"/>
      <c r="G1150" s="11"/>
      <c r="H1150" s="11"/>
      <c r="I1150" s="11"/>
      <c r="J1150" s="11"/>
      <c r="K1150" s="11"/>
      <c r="L1150" s="11"/>
      <c r="M1150" s="11"/>
      <c r="N1150" s="44" t="n">
        <v>13.07</v>
      </c>
      <c r="O1150" s="11"/>
    </row>
    <row r="1151" customFormat="false" ht="14.25" hidden="false" customHeight="true" outlineLevel="0" collapsed="false">
      <c r="C1151" s="11"/>
      <c r="D1151" s="11"/>
      <c r="E1151" s="11"/>
      <c r="F1151" s="11"/>
      <c r="G1151" s="11"/>
      <c r="H1151" s="11"/>
      <c r="I1151" s="11"/>
      <c r="J1151" s="11"/>
      <c r="K1151" s="11"/>
      <c r="L1151" s="11"/>
      <c r="M1151" s="11"/>
      <c r="N1151" s="44" t="n">
        <v>12.68</v>
      </c>
      <c r="O1151" s="11"/>
    </row>
    <row r="1152" customFormat="false" ht="14.25" hidden="false" customHeight="true" outlineLevel="0" collapsed="false">
      <c r="C1152" s="11"/>
      <c r="D1152" s="11"/>
      <c r="E1152" s="11"/>
      <c r="F1152" s="11"/>
      <c r="G1152" s="11"/>
      <c r="H1152" s="11"/>
      <c r="I1152" s="11"/>
      <c r="J1152" s="11"/>
      <c r="K1152" s="11"/>
      <c r="L1152" s="11"/>
      <c r="M1152" s="11"/>
      <c r="N1152" s="44" t="n">
        <v>13.45</v>
      </c>
      <c r="O1152" s="11"/>
    </row>
    <row r="1153" customFormat="false" ht="14.25" hidden="false" customHeight="true" outlineLevel="0" collapsed="false">
      <c r="C1153" s="11"/>
      <c r="D1153" s="11"/>
      <c r="E1153" s="11"/>
      <c r="F1153" s="11"/>
      <c r="G1153" s="11"/>
      <c r="H1153" s="11"/>
      <c r="I1153" s="11"/>
      <c r="J1153" s="11"/>
      <c r="K1153" s="11"/>
      <c r="L1153" s="11"/>
      <c r="M1153" s="11"/>
      <c r="N1153" s="44" t="n">
        <v>13.55</v>
      </c>
      <c r="O1153" s="11"/>
    </row>
    <row r="1154" customFormat="false" ht="14.25" hidden="false" customHeight="true" outlineLevel="0" collapsed="false">
      <c r="C1154" s="11"/>
      <c r="D1154" s="11"/>
      <c r="E1154" s="11"/>
      <c r="F1154" s="11"/>
      <c r="G1154" s="11"/>
      <c r="H1154" s="11"/>
      <c r="I1154" s="11"/>
      <c r="J1154" s="11"/>
      <c r="K1154" s="11"/>
      <c r="L1154" s="11"/>
      <c r="M1154" s="11"/>
      <c r="N1154" s="44" t="n">
        <v>13.03</v>
      </c>
      <c r="O1154" s="11"/>
    </row>
    <row r="1155" customFormat="false" ht="14.25" hidden="false" customHeight="true" outlineLevel="0" collapsed="false">
      <c r="C1155" s="11"/>
      <c r="D1155" s="11"/>
      <c r="E1155" s="11"/>
      <c r="F1155" s="11"/>
      <c r="G1155" s="11"/>
      <c r="H1155" s="11"/>
      <c r="I1155" s="11"/>
      <c r="J1155" s="11"/>
      <c r="K1155" s="11"/>
      <c r="L1155" s="11"/>
      <c r="M1155" s="11"/>
      <c r="N1155" s="44" t="n">
        <v>13.14</v>
      </c>
      <c r="O1155" s="11"/>
    </row>
    <row r="1156" customFormat="false" ht="14.25" hidden="false" customHeight="true" outlineLevel="0" collapsed="false">
      <c r="C1156" s="11"/>
      <c r="D1156" s="11"/>
      <c r="E1156" s="11"/>
      <c r="F1156" s="11"/>
      <c r="G1156" s="11"/>
      <c r="H1156" s="11"/>
      <c r="I1156" s="11"/>
      <c r="J1156" s="11"/>
      <c r="K1156" s="11"/>
      <c r="L1156" s="11"/>
      <c r="M1156" s="11"/>
      <c r="N1156" s="44" t="n">
        <v>13.65</v>
      </c>
      <c r="O1156" s="11"/>
    </row>
    <row r="1157" customFormat="false" ht="14.25" hidden="false" customHeight="true" outlineLevel="0" collapsed="false">
      <c r="C1157" s="11"/>
      <c r="D1157" s="11"/>
      <c r="E1157" s="11"/>
      <c r="F1157" s="11"/>
      <c r="G1157" s="11"/>
      <c r="H1157" s="11"/>
      <c r="I1157" s="11"/>
      <c r="J1157" s="11"/>
      <c r="K1157" s="11"/>
      <c r="L1157" s="11"/>
      <c r="M1157" s="11"/>
      <c r="N1157" s="44" t="n">
        <v>13.13</v>
      </c>
      <c r="O1157" s="11"/>
    </row>
    <row r="1158" customFormat="false" ht="14.25" hidden="false" customHeight="true" outlineLevel="0" collapsed="false">
      <c r="C1158" s="11"/>
      <c r="D1158" s="11"/>
      <c r="E1158" s="11"/>
      <c r="F1158" s="11"/>
      <c r="G1158" s="11"/>
      <c r="H1158" s="11"/>
      <c r="I1158" s="11"/>
      <c r="J1158" s="11"/>
      <c r="K1158" s="11"/>
      <c r="L1158" s="11"/>
      <c r="M1158" s="11"/>
      <c r="N1158" s="44" t="n">
        <v>12.64</v>
      </c>
      <c r="O1158" s="11"/>
    </row>
    <row r="1159" customFormat="false" ht="14.25" hidden="false" customHeight="true" outlineLevel="0" collapsed="false">
      <c r="C1159" s="11"/>
      <c r="D1159" s="11"/>
      <c r="E1159" s="11"/>
      <c r="F1159" s="11"/>
      <c r="G1159" s="11"/>
      <c r="H1159" s="11"/>
      <c r="I1159" s="11"/>
      <c r="J1159" s="11"/>
      <c r="K1159" s="11"/>
      <c r="L1159" s="11"/>
      <c r="M1159" s="11"/>
      <c r="N1159" s="44" t="n">
        <v>12.13</v>
      </c>
      <c r="O1159" s="11"/>
    </row>
    <row r="1160" customFormat="false" ht="14.25" hidden="false" customHeight="true" outlineLevel="0" collapsed="false">
      <c r="C1160" s="11"/>
      <c r="D1160" s="11"/>
      <c r="E1160" s="11"/>
      <c r="F1160" s="11"/>
      <c r="G1160" s="11"/>
      <c r="H1160" s="11"/>
      <c r="I1160" s="11"/>
      <c r="J1160" s="11"/>
      <c r="K1160" s="11"/>
      <c r="L1160" s="11"/>
      <c r="M1160" s="11"/>
      <c r="N1160" s="44" t="n">
        <v>12.06</v>
      </c>
      <c r="O1160" s="11"/>
    </row>
    <row r="1161" customFormat="false" ht="14.25" hidden="false" customHeight="true" outlineLevel="0" collapsed="false">
      <c r="C1161" s="11"/>
      <c r="D1161" s="11"/>
      <c r="E1161" s="11"/>
      <c r="F1161" s="11"/>
      <c r="G1161" s="11"/>
      <c r="H1161" s="11"/>
      <c r="I1161" s="11"/>
      <c r="J1161" s="11"/>
      <c r="K1161" s="11"/>
      <c r="L1161" s="11"/>
      <c r="M1161" s="11"/>
      <c r="N1161" s="44" t="n">
        <v>12.26</v>
      </c>
      <c r="O1161" s="11"/>
    </row>
    <row r="1162" customFormat="false" ht="14.25" hidden="false" customHeight="true" outlineLevel="0" collapsed="false">
      <c r="C1162" s="11"/>
      <c r="D1162" s="11"/>
      <c r="E1162" s="11"/>
      <c r="F1162" s="11"/>
      <c r="G1162" s="11"/>
      <c r="H1162" s="11"/>
      <c r="I1162" s="11"/>
      <c r="J1162" s="11"/>
      <c r="K1162" s="11"/>
      <c r="L1162" s="11"/>
      <c r="M1162" s="11"/>
      <c r="N1162" s="44" t="n">
        <v>13.46</v>
      </c>
      <c r="O1162" s="11"/>
    </row>
    <row r="1163" customFormat="false" ht="14.25" hidden="false" customHeight="true" outlineLevel="0" collapsed="false">
      <c r="C1163" s="11"/>
      <c r="D1163" s="11"/>
      <c r="E1163" s="11"/>
      <c r="F1163" s="11"/>
      <c r="G1163" s="11"/>
      <c r="H1163" s="11"/>
      <c r="I1163" s="11"/>
      <c r="J1163" s="11"/>
      <c r="K1163" s="11"/>
      <c r="L1163" s="11"/>
      <c r="M1163" s="11"/>
      <c r="N1163" s="44" t="n">
        <v>13</v>
      </c>
      <c r="O1163" s="11"/>
    </row>
    <row r="1164" customFormat="false" ht="14.25" hidden="false" customHeight="true" outlineLevel="0" collapsed="false">
      <c r="C1164" s="11"/>
      <c r="D1164" s="11"/>
      <c r="E1164" s="11"/>
      <c r="F1164" s="11"/>
      <c r="G1164" s="11"/>
      <c r="H1164" s="11"/>
      <c r="I1164" s="11"/>
      <c r="J1164" s="11"/>
      <c r="K1164" s="11"/>
      <c r="L1164" s="11"/>
      <c r="M1164" s="11"/>
      <c r="N1164" s="44" t="n">
        <v>13.76</v>
      </c>
      <c r="O1164" s="11"/>
    </row>
    <row r="1165" customFormat="false" ht="14.25" hidden="false" customHeight="true" outlineLevel="0" collapsed="false">
      <c r="C1165" s="11"/>
      <c r="D1165" s="11"/>
      <c r="E1165" s="11"/>
      <c r="F1165" s="11"/>
      <c r="G1165" s="11"/>
      <c r="H1165" s="11"/>
      <c r="I1165" s="11"/>
      <c r="J1165" s="11"/>
      <c r="K1165" s="11"/>
      <c r="L1165" s="11"/>
      <c r="M1165" s="11"/>
      <c r="N1165" s="44" t="n">
        <v>13.93</v>
      </c>
      <c r="O1165" s="11"/>
    </row>
    <row r="1166" customFormat="false" ht="14.25" hidden="false" customHeight="true" outlineLevel="0" collapsed="false">
      <c r="C1166" s="11"/>
      <c r="D1166" s="11"/>
      <c r="E1166" s="11"/>
      <c r="F1166" s="11"/>
      <c r="G1166" s="11"/>
      <c r="H1166" s="11"/>
      <c r="I1166" s="11"/>
      <c r="J1166" s="11"/>
      <c r="K1166" s="11"/>
      <c r="L1166" s="11"/>
      <c r="M1166" s="11"/>
      <c r="N1166" s="44" t="n">
        <v>14</v>
      </c>
      <c r="O1166" s="11"/>
    </row>
    <row r="1167" customFormat="false" ht="14.25" hidden="false" customHeight="true" outlineLevel="0" collapsed="false">
      <c r="C1167" s="11"/>
      <c r="D1167" s="11"/>
      <c r="E1167" s="11"/>
      <c r="F1167" s="11"/>
      <c r="G1167" s="11"/>
      <c r="H1167" s="11"/>
      <c r="I1167" s="11"/>
      <c r="J1167" s="11"/>
      <c r="K1167" s="11"/>
      <c r="L1167" s="11"/>
      <c r="M1167" s="11"/>
      <c r="N1167" s="44" t="n">
        <v>13.99</v>
      </c>
      <c r="O1167" s="11"/>
    </row>
    <row r="1168" customFormat="false" ht="14.25" hidden="false" customHeight="true" outlineLevel="0" collapsed="false">
      <c r="C1168" s="11"/>
      <c r="D1168" s="11"/>
      <c r="E1168" s="11"/>
      <c r="F1168" s="11"/>
      <c r="G1168" s="11"/>
      <c r="H1168" s="11"/>
      <c r="I1168" s="11"/>
      <c r="J1168" s="11"/>
      <c r="K1168" s="11"/>
      <c r="L1168" s="11"/>
      <c r="M1168" s="11"/>
      <c r="N1168" s="44" t="n">
        <v>14.07</v>
      </c>
      <c r="O1168" s="11"/>
    </row>
    <row r="1169" customFormat="false" ht="14.25" hidden="false" customHeight="true" outlineLevel="0" collapsed="false">
      <c r="C1169" s="11"/>
      <c r="D1169" s="11"/>
      <c r="E1169" s="11"/>
      <c r="F1169" s="11"/>
      <c r="G1169" s="11"/>
      <c r="H1169" s="11"/>
      <c r="I1169" s="11"/>
      <c r="J1169" s="11"/>
      <c r="K1169" s="11"/>
      <c r="L1169" s="11"/>
      <c r="M1169" s="11"/>
      <c r="N1169" s="44" t="n">
        <v>15.06</v>
      </c>
      <c r="O1169" s="11"/>
    </row>
    <row r="1170" customFormat="false" ht="14.25" hidden="false" customHeight="true" outlineLevel="0" collapsed="false">
      <c r="C1170" s="11"/>
      <c r="D1170" s="11"/>
      <c r="E1170" s="11"/>
      <c r="F1170" s="11"/>
      <c r="G1170" s="11"/>
      <c r="H1170" s="11"/>
      <c r="I1170" s="11"/>
      <c r="J1170" s="11"/>
      <c r="K1170" s="11"/>
      <c r="L1170" s="11"/>
      <c r="M1170" s="11"/>
      <c r="N1170" s="44" t="n">
        <v>14.62</v>
      </c>
      <c r="O1170" s="11"/>
    </row>
    <row r="1171" customFormat="false" ht="14.25" hidden="false" customHeight="true" outlineLevel="0" collapsed="false">
      <c r="C1171" s="11"/>
      <c r="D1171" s="11"/>
      <c r="E1171" s="11"/>
      <c r="F1171" s="11"/>
      <c r="G1171" s="11"/>
      <c r="H1171" s="11"/>
      <c r="I1171" s="11"/>
      <c r="J1171" s="11"/>
      <c r="K1171" s="11"/>
      <c r="L1171" s="11"/>
      <c r="M1171" s="11"/>
      <c r="N1171" s="44" t="n">
        <v>14.18</v>
      </c>
      <c r="O1171" s="11"/>
    </row>
    <row r="1172" customFormat="false" ht="14.25" hidden="false" customHeight="true" outlineLevel="0" collapsed="false">
      <c r="C1172" s="11"/>
      <c r="D1172" s="11"/>
      <c r="E1172" s="11"/>
      <c r="F1172" s="11"/>
      <c r="G1172" s="11"/>
      <c r="H1172" s="11"/>
      <c r="I1172" s="11"/>
      <c r="J1172" s="11"/>
      <c r="K1172" s="11"/>
      <c r="L1172" s="11"/>
      <c r="M1172" s="11"/>
      <c r="N1172" s="44" t="n">
        <v>13.98</v>
      </c>
      <c r="O1172" s="11"/>
    </row>
    <row r="1173" customFormat="false" ht="14.25" hidden="false" customHeight="true" outlineLevel="0" collapsed="false">
      <c r="C1173" s="11"/>
      <c r="D1173" s="11"/>
      <c r="E1173" s="11"/>
      <c r="F1173" s="11"/>
      <c r="G1173" s="11"/>
      <c r="H1173" s="11"/>
      <c r="I1173" s="11"/>
      <c r="J1173" s="11"/>
      <c r="K1173" s="11"/>
      <c r="L1173" s="11"/>
      <c r="M1173" s="11"/>
      <c r="N1173" s="44" t="n">
        <v>14.2</v>
      </c>
      <c r="O1173" s="11"/>
    </row>
    <row r="1174" customFormat="false" ht="14.25" hidden="false" customHeight="true" outlineLevel="0" collapsed="false">
      <c r="C1174" s="11"/>
      <c r="D1174" s="11"/>
      <c r="E1174" s="11"/>
      <c r="F1174" s="11"/>
      <c r="G1174" s="11"/>
      <c r="H1174" s="11"/>
      <c r="I1174" s="11"/>
      <c r="J1174" s="11"/>
      <c r="K1174" s="11"/>
      <c r="L1174" s="11"/>
      <c r="M1174" s="11"/>
      <c r="N1174" s="44" t="n">
        <v>14.69</v>
      </c>
      <c r="O1174" s="11"/>
    </row>
    <row r="1175" customFormat="false" ht="14.25" hidden="false" customHeight="true" outlineLevel="0" collapsed="false">
      <c r="C1175" s="11"/>
      <c r="D1175" s="11"/>
      <c r="E1175" s="11"/>
      <c r="F1175" s="11"/>
      <c r="G1175" s="11"/>
      <c r="H1175" s="11"/>
      <c r="I1175" s="11"/>
      <c r="J1175" s="11"/>
      <c r="K1175" s="11"/>
      <c r="L1175" s="11"/>
      <c r="M1175" s="11"/>
      <c r="N1175" s="44" t="n">
        <v>15.11</v>
      </c>
      <c r="O1175" s="11"/>
    </row>
    <row r="1176" customFormat="false" ht="14.25" hidden="false" customHeight="true" outlineLevel="0" collapsed="false">
      <c r="C1176" s="11"/>
      <c r="D1176" s="11"/>
      <c r="E1176" s="11"/>
      <c r="F1176" s="11"/>
      <c r="G1176" s="11"/>
      <c r="H1176" s="11"/>
      <c r="I1176" s="11"/>
      <c r="J1176" s="11"/>
      <c r="K1176" s="11"/>
      <c r="L1176" s="11"/>
      <c r="M1176" s="11"/>
      <c r="N1176" s="44" t="n">
        <v>15.52</v>
      </c>
      <c r="O1176" s="11"/>
    </row>
    <row r="1177" customFormat="false" ht="14.25" hidden="false" customHeight="true" outlineLevel="0" collapsed="false">
      <c r="C1177" s="11"/>
      <c r="D1177" s="11"/>
      <c r="E1177" s="11"/>
      <c r="F1177" s="11"/>
      <c r="G1177" s="11"/>
      <c r="H1177" s="11"/>
      <c r="I1177" s="11"/>
      <c r="J1177" s="11"/>
      <c r="K1177" s="11"/>
      <c r="L1177" s="11"/>
      <c r="M1177" s="11"/>
      <c r="N1177" s="44" t="n">
        <v>15.57</v>
      </c>
      <c r="O1177" s="11"/>
    </row>
    <row r="1178" customFormat="false" ht="14.25" hidden="false" customHeight="true" outlineLevel="0" collapsed="false">
      <c r="C1178" s="11"/>
      <c r="D1178" s="11"/>
      <c r="E1178" s="11"/>
      <c r="F1178" s="11"/>
      <c r="G1178" s="11"/>
      <c r="H1178" s="11"/>
      <c r="I1178" s="11"/>
      <c r="J1178" s="11"/>
      <c r="K1178" s="11"/>
      <c r="L1178" s="11"/>
      <c r="M1178" s="11"/>
      <c r="N1178" s="44" t="n">
        <v>15.3</v>
      </c>
      <c r="O1178" s="11"/>
    </row>
    <row r="1179" customFormat="false" ht="14.25" hidden="false" customHeight="true" outlineLevel="0" collapsed="false">
      <c r="C1179" s="11"/>
      <c r="D1179" s="11"/>
      <c r="E1179" s="11"/>
      <c r="F1179" s="11"/>
      <c r="G1179" s="11"/>
      <c r="H1179" s="11"/>
      <c r="I1179" s="11"/>
      <c r="J1179" s="11"/>
      <c r="K1179" s="11"/>
      <c r="L1179" s="11"/>
      <c r="M1179" s="11"/>
      <c r="N1179" s="44" t="n">
        <v>14.75</v>
      </c>
      <c r="O1179" s="11"/>
    </row>
    <row r="1180" customFormat="false" ht="14.25" hidden="false" customHeight="true" outlineLevel="0" collapsed="false">
      <c r="C1180" s="11"/>
      <c r="D1180" s="11"/>
      <c r="E1180" s="11"/>
      <c r="F1180" s="11"/>
      <c r="G1180" s="11"/>
      <c r="H1180" s="11"/>
      <c r="I1180" s="11"/>
      <c r="J1180" s="11"/>
      <c r="K1180" s="11"/>
      <c r="L1180" s="11"/>
      <c r="M1180" s="11"/>
      <c r="N1180" s="44" t="n">
        <v>13.38</v>
      </c>
      <c r="O1180" s="11"/>
    </row>
    <row r="1181" customFormat="false" ht="14.25" hidden="false" customHeight="true" outlineLevel="0" collapsed="false">
      <c r="C1181" s="11"/>
      <c r="D1181" s="11"/>
      <c r="E1181" s="11"/>
      <c r="F1181" s="11"/>
      <c r="G1181" s="11"/>
      <c r="H1181" s="11"/>
      <c r="I1181" s="11"/>
      <c r="J1181" s="11"/>
      <c r="K1181" s="11"/>
      <c r="L1181" s="11"/>
      <c r="M1181" s="11"/>
      <c r="N1181" s="44" t="n">
        <v>13.8</v>
      </c>
      <c r="O1181" s="11"/>
    </row>
    <row r="1182" customFormat="false" ht="14.25" hidden="false" customHeight="true" outlineLevel="0" collapsed="false">
      <c r="C1182" s="11"/>
      <c r="D1182" s="11"/>
      <c r="E1182" s="11"/>
      <c r="F1182" s="11"/>
      <c r="G1182" s="11"/>
      <c r="H1182" s="11"/>
      <c r="I1182" s="11"/>
      <c r="J1182" s="11"/>
      <c r="K1182" s="11"/>
      <c r="L1182" s="11"/>
      <c r="M1182" s="11"/>
      <c r="N1182" s="44" t="n">
        <v>14.53</v>
      </c>
      <c r="O1182" s="11"/>
    </row>
    <row r="1183" customFormat="false" ht="14.25" hidden="false" customHeight="true" outlineLevel="0" collapsed="false">
      <c r="C1183" s="11"/>
      <c r="D1183" s="11"/>
      <c r="E1183" s="11"/>
      <c r="F1183" s="11"/>
      <c r="G1183" s="11"/>
      <c r="H1183" s="11"/>
      <c r="I1183" s="11"/>
      <c r="J1183" s="11"/>
      <c r="K1183" s="11"/>
      <c r="L1183" s="11"/>
      <c r="M1183" s="11"/>
      <c r="N1183" s="44" t="n">
        <v>14.94</v>
      </c>
      <c r="O1183" s="11"/>
    </row>
    <row r="1184" customFormat="false" ht="14.25" hidden="false" customHeight="true" outlineLevel="0" collapsed="false">
      <c r="C1184" s="11"/>
      <c r="D1184" s="11"/>
      <c r="E1184" s="11"/>
      <c r="F1184" s="11"/>
      <c r="G1184" s="11"/>
      <c r="H1184" s="11"/>
      <c r="I1184" s="11"/>
      <c r="J1184" s="11"/>
      <c r="K1184" s="11"/>
      <c r="L1184" s="11"/>
      <c r="M1184" s="11"/>
      <c r="N1184" s="44" t="n">
        <v>14.73</v>
      </c>
      <c r="O1184" s="11"/>
    </row>
    <row r="1185" customFormat="false" ht="14.25" hidden="false" customHeight="true" outlineLevel="0" collapsed="false">
      <c r="C1185" s="11"/>
      <c r="D1185" s="11"/>
      <c r="E1185" s="11"/>
      <c r="F1185" s="11"/>
      <c r="G1185" s="11"/>
      <c r="H1185" s="11"/>
      <c r="I1185" s="11"/>
      <c r="J1185" s="11"/>
      <c r="K1185" s="11"/>
      <c r="L1185" s="11"/>
      <c r="M1185" s="11"/>
      <c r="N1185" s="44" t="n">
        <v>14.66</v>
      </c>
      <c r="O1185" s="11"/>
    </row>
    <row r="1186" customFormat="false" ht="14.25" hidden="false" customHeight="true" outlineLevel="0" collapsed="false">
      <c r="C1186" s="11"/>
      <c r="D1186" s="11"/>
      <c r="E1186" s="11"/>
      <c r="F1186" s="11"/>
      <c r="G1186" s="11"/>
      <c r="H1186" s="11"/>
      <c r="I1186" s="11"/>
      <c r="J1186" s="11"/>
      <c r="K1186" s="11"/>
      <c r="L1186" s="11"/>
      <c r="M1186" s="11"/>
      <c r="N1186" s="44" t="n">
        <v>14.45</v>
      </c>
      <c r="O1186" s="11"/>
    </row>
    <row r="1187" customFormat="false" ht="14.25" hidden="false" customHeight="true" outlineLevel="0" collapsed="false">
      <c r="C1187" s="11"/>
      <c r="D1187" s="11"/>
      <c r="E1187" s="11"/>
      <c r="F1187" s="11"/>
      <c r="G1187" s="11"/>
      <c r="H1187" s="11"/>
      <c r="I1187" s="11"/>
      <c r="J1187" s="11"/>
      <c r="K1187" s="11"/>
      <c r="L1187" s="11"/>
      <c r="M1187" s="11"/>
      <c r="N1187" s="44" t="n">
        <v>14.46</v>
      </c>
      <c r="O1187" s="11"/>
    </row>
    <row r="1188" customFormat="false" ht="14.25" hidden="false" customHeight="true" outlineLevel="0" collapsed="false">
      <c r="C1188" s="11"/>
      <c r="D1188" s="11"/>
      <c r="E1188" s="11"/>
      <c r="F1188" s="11"/>
      <c r="G1188" s="11"/>
      <c r="H1188" s="11"/>
      <c r="I1188" s="11"/>
      <c r="J1188" s="11"/>
      <c r="K1188" s="11"/>
      <c r="L1188" s="11"/>
      <c r="M1188" s="11"/>
      <c r="N1188" s="44" t="n">
        <v>14.5</v>
      </c>
      <c r="O1188" s="11"/>
    </row>
    <row r="1189" customFormat="false" ht="14.25" hidden="false" customHeight="true" outlineLevel="0" collapsed="false">
      <c r="C1189" s="11"/>
      <c r="D1189" s="11"/>
      <c r="E1189" s="11"/>
      <c r="F1189" s="11"/>
      <c r="G1189" s="11"/>
      <c r="H1189" s="11"/>
      <c r="I1189" s="11"/>
      <c r="J1189" s="11"/>
      <c r="K1189" s="11"/>
      <c r="L1189" s="11"/>
      <c r="M1189" s="11"/>
      <c r="N1189" s="44" t="n">
        <v>13.96</v>
      </c>
      <c r="O1189" s="11"/>
    </row>
    <row r="1190" customFormat="false" ht="14.25" hidden="false" customHeight="true" outlineLevel="0" collapsed="false">
      <c r="C1190" s="11"/>
      <c r="D1190" s="11"/>
      <c r="E1190" s="11"/>
      <c r="F1190" s="11"/>
      <c r="G1190" s="11"/>
      <c r="H1190" s="11"/>
      <c r="I1190" s="11"/>
      <c r="J1190" s="11"/>
      <c r="K1190" s="11"/>
      <c r="L1190" s="11"/>
      <c r="M1190" s="11"/>
      <c r="N1190" s="44" t="n">
        <v>14.16</v>
      </c>
      <c r="O1190" s="11"/>
    </row>
    <row r="1191" customFormat="false" ht="14.25" hidden="false" customHeight="true" outlineLevel="0" collapsed="false">
      <c r="C1191" s="11"/>
      <c r="D1191" s="11"/>
      <c r="E1191" s="11"/>
      <c r="F1191" s="11"/>
      <c r="G1191" s="11"/>
      <c r="H1191" s="11"/>
      <c r="I1191" s="11"/>
      <c r="J1191" s="11"/>
      <c r="K1191" s="11"/>
      <c r="L1191" s="11"/>
      <c r="M1191" s="11"/>
      <c r="N1191" s="44" t="n">
        <v>13.43</v>
      </c>
      <c r="O1191" s="11"/>
    </row>
    <row r="1192" customFormat="false" ht="14.25" hidden="false" customHeight="true" outlineLevel="0" collapsed="false">
      <c r="C1192" s="11"/>
      <c r="D1192" s="11"/>
      <c r="E1192" s="11"/>
      <c r="F1192" s="11"/>
      <c r="G1192" s="11"/>
      <c r="H1192" s="11"/>
      <c r="I1192" s="11"/>
      <c r="J1192" s="11"/>
      <c r="K1192" s="11"/>
      <c r="L1192" s="11"/>
      <c r="M1192" s="11"/>
      <c r="N1192" s="44" t="n">
        <v>14.25</v>
      </c>
      <c r="O1192" s="11"/>
    </row>
    <row r="1193" customFormat="false" ht="14.25" hidden="false" customHeight="true" outlineLevel="0" collapsed="false">
      <c r="C1193" s="11"/>
      <c r="D1193" s="11"/>
      <c r="E1193" s="11"/>
      <c r="F1193" s="11"/>
      <c r="G1193" s="11"/>
      <c r="H1193" s="11"/>
      <c r="I1193" s="11"/>
      <c r="J1193" s="11"/>
      <c r="K1193" s="11"/>
      <c r="L1193" s="11"/>
      <c r="M1193" s="11"/>
      <c r="N1193" s="44" t="n">
        <v>14.72</v>
      </c>
      <c r="O1193" s="11"/>
    </row>
    <row r="1194" customFormat="false" ht="14.25" hidden="false" customHeight="true" outlineLevel="0" collapsed="false">
      <c r="C1194" s="11"/>
      <c r="D1194" s="11"/>
      <c r="E1194" s="11"/>
      <c r="F1194" s="11"/>
      <c r="G1194" s="11"/>
      <c r="H1194" s="11"/>
      <c r="I1194" s="11"/>
      <c r="J1194" s="11"/>
      <c r="K1194" s="11"/>
      <c r="L1194" s="11"/>
      <c r="M1194" s="11"/>
      <c r="N1194" s="44" t="n">
        <v>14</v>
      </c>
      <c r="O1194" s="11"/>
    </row>
    <row r="1195" customFormat="false" ht="14.25" hidden="false" customHeight="true" outlineLevel="0" collapsed="false">
      <c r="C1195" s="11"/>
      <c r="D1195" s="11"/>
      <c r="E1195" s="11"/>
      <c r="F1195" s="11"/>
      <c r="G1195" s="11"/>
      <c r="H1195" s="11"/>
      <c r="I1195" s="11"/>
      <c r="J1195" s="11"/>
      <c r="K1195" s="11"/>
      <c r="L1195" s="11"/>
      <c r="M1195" s="11"/>
      <c r="N1195" s="44" t="n">
        <v>14.27</v>
      </c>
      <c r="O1195" s="11"/>
    </row>
    <row r="1196" customFormat="false" ht="14.25" hidden="false" customHeight="true" outlineLevel="0" collapsed="false">
      <c r="C1196" s="11"/>
      <c r="D1196" s="11"/>
      <c r="E1196" s="11"/>
      <c r="F1196" s="11"/>
      <c r="G1196" s="11"/>
      <c r="H1196" s="11"/>
      <c r="I1196" s="11"/>
      <c r="J1196" s="11"/>
      <c r="K1196" s="11"/>
      <c r="L1196" s="11"/>
      <c r="M1196" s="11"/>
      <c r="N1196" s="44" t="n">
        <v>14.27</v>
      </c>
      <c r="O1196" s="11"/>
    </row>
    <row r="1197" customFormat="false" ht="14.25" hidden="false" customHeight="true" outlineLevel="0" collapsed="false">
      <c r="C1197" s="11"/>
      <c r="D1197" s="11"/>
      <c r="E1197" s="11"/>
      <c r="F1197" s="11"/>
      <c r="G1197" s="11"/>
      <c r="H1197" s="11"/>
      <c r="I1197" s="11"/>
      <c r="J1197" s="11"/>
      <c r="K1197" s="11"/>
      <c r="L1197" s="11"/>
      <c r="M1197" s="11"/>
      <c r="N1197" s="44" t="n">
        <v>14.76</v>
      </c>
      <c r="O1197" s="11"/>
    </row>
    <row r="1198" customFormat="false" ht="14.25" hidden="false" customHeight="true" outlineLevel="0" collapsed="false">
      <c r="C1198" s="11"/>
      <c r="D1198" s="11"/>
      <c r="E1198" s="11"/>
      <c r="F1198" s="11"/>
      <c r="G1198" s="11"/>
      <c r="H1198" s="11"/>
      <c r="I1198" s="11"/>
      <c r="J1198" s="11"/>
      <c r="K1198" s="11"/>
      <c r="L1198" s="11"/>
      <c r="M1198" s="11"/>
      <c r="N1198" s="44" t="n">
        <v>14.08</v>
      </c>
      <c r="O1198" s="11"/>
    </row>
    <row r="1199" customFormat="false" ht="14.25" hidden="false" customHeight="true" outlineLevel="0" collapsed="false">
      <c r="C1199" s="11"/>
      <c r="D1199" s="11"/>
      <c r="E1199" s="11"/>
      <c r="F1199" s="11"/>
      <c r="G1199" s="11"/>
      <c r="H1199" s="11"/>
      <c r="I1199" s="11"/>
      <c r="J1199" s="11"/>
      <c r="K1199" s="11"/>
      <c r="L1199" s="11"/>
      <c r="M1199" s="11"/>
      <c r="N1199" s="44" t="n">
        <v>14.21</v>
      </c>
      <c r="O1199" s="11"/>
    </row>
    <row r="1200" customFormat="false" ht="14.25" hidden="false" customHeight="true" outlineLevel="0" collapsed="false">
      <c r="C1200" s="11"/>
      <c r="D1200" s="11"/>
      <c r="E1200" s="11"/>
      <c r="F1200" s="11"/>
      <c r="G1200" s="11"/>
      <c r="H1200" s="11"/>
      <c r="I1200" s="11"/>
      <c r="J1200" s="11"/>
      <c r="K1200" s="11"/>
      <c r="L1200" s="11"/>
      <c r="M1200" s="11"/>
      <c r="N1200" s="44" t="n">
        <v>13.93</v>
      </c>
      <c r="O1200" s="11"/>
    </row>
    <row r="1201" customFormat="false" ht="14.25" hidden="false" customHeight="true" outlineLevel="0" collapsed="false">
      <c r="C1201" s="11"/>
      <c r="D1201" s="11"/>
      <c r="E1201" s="11"/>
      <c r="F1201" s="11"/>
      <c r="G1201" s="11"/>
      <c r="H1201" s="11"/>
      <c r="I1201" s="11"/>
      <c r="J1201" s="11"/>
      <c r="K1201" s="11"/>
      <c r="L1201" s="11"/>
      <c r="M1201" s="11"/>
      <c r="N1201" s="44" t="n">
        <v>14.49</v>
      </c>
      <c r="O1201" s="11"/>
    </row>
    <row r="1202" customFormat="false" ht="14.25" hidden="false" customHeight="true" outlineLevel="0" collapsed="false">
      <c r="C1202" s="11"/>
      <c r="D1202" s="11"/>
      <c r="E1202" s="11"/>
      <c r="F1202" s="11"/>
      <c r="G1202" s="11"/>
      <c r="H1202" s="11"/>
      <c r="I1202" s="11"/>
      <c r="J1202" s="11"/>
      <c r="K1202" s="11"/>
      <c r="L1202" s="11"/>
      <c r="M1202" s="11"/>
      <c r="N1202" s="44" t="n">
        <v>14.48</v>
      </c>
      <c r="O1202" s="11"/>
    </row>
    <row r="1203" customFormat="false" ht="14.25" hidden="false" customHeight="true" outlineLevel="0" collapsed="false">
      <c r="C1203" s="11"/>
      <c r="D1203" s="11"/>
      <c r="E1203" s="11"/>
      <c r="F1203" s="11"/>
      <c r="G1203" s="11"/>
      <c r="H1203" s="11"/>
      <c r="I1203" s="11"/>
      <c r="J1203" s="11"/>
      <c r="K1203" s="11"/>
      <c r="L1203" s="11"/>
      <c r="M1203" s="11"/>
      <c r="N1203" s="44" t="n">
        <v>14.75</v>
      </c>
      <c r="O1203" s="11"/>
    </row>
    <row r="1204" customFormat="false" ht="14.25" hidden="false" customHeight="true" outlineLevel="0" collapsed="false">
      <c r="C1204" s="11"/>
      <c r="D1204" s="11"/>
      <c r="E1204" s="11"/>
      <c r="F1204" s="11"/>
      <c r="G1204" s="11"/>
      <c r="H1204" s="11"/>
      <c r="I1204" s="11"/>
      <c r="J1204" s="11"/>
      <c r="K1204" s="11"/>
      <c r="L1204" s="11"/>
      <c r="M1204" s="11"/>
      <c r="N1204" s="44" t="n">
        <v>15.55</v>
      </c>
      <c r="O1204" s="11"/>
    </row>
    <row r="1205" customFormat="false" ht="14.25" hidden="false" customHeight="true" outlineLevel="0" collapsed="false">
      <c r="C1205" s="11"/>
      <c r="D1205" s="11"/>
      <c r="E1205" s="11"/>
      <c r="F1205" s="11"/>
      <c r="G1205" s="11"/>
      <c r="H1205" s="11"/>
      <c r="I1205" s="11"/>
      <c r="J1205" s="11"/>
      <c r="K1205" s="11"/>
      <c r="L1205" s="11"/>
      <c r="M1205" s="11"/>
      <c r="N1205" s="44" t="n">
        <v>15.78</v>
      </c>
      <c r="O1205" s="11"/>
    </row>
    <row r="1206" customFormat="false" ht="14.25" hidden="false" customHeight="true" outlineLevel="0" collapsed="false">
      <c r="C1206" s="11"/>
      <c r="D1206" s="11"/>
      <c r="E1206" s="11"/>
      <c r="F1206" s="11"/>
      <c r="G1206" s="11"/>
      <c r="H1206" s="11"/>
      <c r="I1206" s="11"/>
      <c r="J1206" s="11"/>
      <c r="K1206" s="11"/>
      <c r="L1206" s="11"/>
      <c r="M1206" s="11"/>
      <c r="N1206" s="44" t="n">
        <v>15.26</v>
      </c>
      <c r="O1206" s="11"/>
    </row>
    <row r="1207" customFormat="false" ht="14.25" hidden="false" customHeight="true" outlineLevel="0" collapsed="false">
      <c r="C1207" s="11"/>
      <c r="D1207" s="11"/>
      <c r="E1207" s="11"/>
      <c r="F1207" s="11"/>
      <c r="G1207" s="11"/>
      <c r="H1207" s="11"/>
      <c r="I1207" s="11"/>
      <c r="J1207" s="11"/>
      <c r="K1207" s="11"/>
      <c r="L1207" s="11"/>
      <c r="M1207" s="11"/>
      <c r="N1207" s="44" t="n">
        <v>15.06</v>
      </c>
      <c r="O1207" s="11"/>
    </row>
    <row r="1208" customFormat="false" ht="14.25" hidden="false" customHeight="true" outlineLevel="0" collapsed="false">
      <c r="C1208" s="11"/>
      <c r="D1208" s="11"/>
      <c r="E1208" s="11"/>
      <c r="F1208" s="11"/>
      <c r="G1208" s="11"/>
      <c r="H1208" s="11"/>
      <c r="I1208" s="11"/>
      <c r="J1208" s="11"/>
      <c r="K1208" s="11"/>
      <c r="L1208" s="11"/>
      <c r="M1208" s="11"/>
      <c r="N1208" s="44" t="n">
        <v>15.21</v>
      </c>
      <c r="O1208" s="11"/>
    </row>
    <row r="1209" customFormat="false" ht="14.25" hidden="false" customHeight="true" outlineLevel="0" collapsed="false">
      <c r="C1209" s="11"/>
      <c r="D1209" s="11"/>
      <c r="E1209" s="11"/>
      <c r="F1209" s="11"/>
      <c r="G1209" s="11"/>
      <c r="H1209" s="11"/>
      <c r="I1209" s="11"/>
      <c r="J1209" s="11"/>
      <c r="K1209" s="11"/>
      <c r="L1209" s="11"/>
      <c r="M1209" s="11"/>
      <c r="N1209" s="44" t="n">
        <v>15.19</v>
      </c>
      <c r="O1209" s="11"/>
    </row>
    <row r="1210" customFormat="false" ht="14.25" hidden="false" customHeight="true" outlineLevel="0" collapsed="false">
      <c r="C1210" s="11"/>
      <c r="D1210" s="11"/>
      <c r="E1210" s="11"/>
      <c r="F1210" s="11"/>
      <c r="G1210" s="11"/>
      <c r="H1210" s="11"/>
      <c r="I1210" s="11"/>
      <c r="J1210" s="11"/>
      <c r="K1210" s="11"/>
      <c r="L1210" s="11"/>
      <c r="M1210" s="11"/>
      <c r="N1210" s="44" t="n">
        <v>15.27</v>
      </c>
      <c r="O1210" s="11"/>
    </row>
    <row r="1211" customFormat="false" ht="14.25" hidden="false" customHeight="true" outlineLevel="0" collapsed="false">
      <c r="C1211" s="11"/>
      <c r="D1211" s="11"/>
      <c r="E1211" s="11"/>
      <c r="F1211" s="11"/>
      <c r="G1211" s="11"/>
      <c r="H1211" s="11"/>
      <c r="I1211" s="11"/>
      <c r="J1211" s="11"/>
      <c r="K1211" s="11"/>
      <c r="L1211" s="11"/>
      <c r="M1211" s="11"/>
      <c r="N1211" s="44" t="n">
        <v>15.2</v>
      </c>
      <c r="O1211" s="11"/>
    </row>
    <row r="1212" customFormat="false" ht="14.25" hidden="false" customHeight="true" outlineLevel="0" collapsed="false">
      <c r="C1212" s="11"/>
      <c r="D1212" s="11"/>
      <c r="E1212" s="11"/>
      <c r="F1212" s="11"/>
      <c r="G1212" s="11"/>
      <c r="H1212" s="11"/>
      <c r="I1212" s="11"/>
      <c r="J1212" s="11"/>
      <c r="K1212" s="11"/>
      <c r="L1212" s="11"/>
      <c r="M1212" s="11"/>
      <c r="N1212" s="44" t="n">
        <v>15.09</v>
      </c>
      <c r="O1212" s="11"/>
    </row>
    <row r="1213" customFormat="false" ht="14.25" hidden="false" customHeight="true" outlineLevel="0" collapsed="false">
      <c r="C1213" s="11"/>
      <c r="D1213" s="11"/>
      <c r="E1213" s="11"/>
      <c r="F1213" s="11"/>
      <c r="G1213" s="11"/>
      <c r="H1213" s="11"/>
      <c r="I1213" s="11"/>
      <c r="J1213" s="11"/>
      <c r="K1213" s="11"/>
      <c r="L1213" s="11"/>
      <c r="M1213" s="11"/>
      <c r="N1213" s="44" t="n">
        <v>14.9</v>
      </c>
      <c r="O1213" s="11"/>
    </row>
    <row r="1214" customFormat="false" ht="14.25" hidden="false" customHeight="true" outlineLevel="0" collapsed="false">
      <c r="C1214" s="11"/>
      <c r="D1214" s="11"/>
      <c r="E1214" s="11"/>
      <c r="F1214" s="11"/>
      <c r="G1214" s="11"/>
      <c r="H1214" s="11"/>
      <c r="I1214" s="11"/>
      <c r="J1214" s="11"/>
      <c r="K1214" s="11"/>
      <c r="L1214" s="11"/>
      <c r="M1214" s="11"/>
      <c r="N1214" s="44" t="n">
        <v>15.01</v>
      </c>
      <c r="O1214" s="11"/>
    </row>
    <row r="1215" customFormat="false" ht="14.25" hidden="false" customHeight="true" outlineLevel="0" collapsed="false">
      <c r="C1215" s="11"/>
      <c r="D1215" s="11"/>
      <c r="E1215" s="11"/>
      <c r="F1215" s="11"/>
      <c r="G1215" s="11"/>
      <c r="H1215" s="11"/>
      <c r="I1215" s="11"/>
      <c r="J1215" s="11"/>
      <c r="K1215" s="11"/>
      <c r="L1215" s="11"/>
      <c r="M1215" s="11"/>
      <c r="N1215" s="44" t="n">
        <v>14.7</v>
      </c>
      <c r="O1215" s="11"/>
    </row>
    <row r="1216" customFormat="false" ht="14.25" hidden="false" customHeight="true" outlineLevel="0" collapsed="false">
      <c r="C1216" s="11"/>
      <c r="D1216" s="11"/>
      <c r="E1216" s="11"/>
      <c r="F1216" s="11"/>
      <c r="G1216" s="11"/>
      <c r="H1216" s="11"/>
      <c r="I1216" s="11"/>
      <c r="J1216" s="11"/>
      <c r="K1216" s="11"/>
      <c r="L1216" s="11"/>
      <c r="M1216" s="11"/>
      <c r="N1216" s="44" t="n">
        <v>14.75</v>
      </c>
      <c r="O1216" s="11"/>
    </row>
    <row r="1217" customFormat="false" ht="14.25" hidden="false" customHeight="true" outlineLevel="0" collapsed="false">
      <c r="C1217" s="11"/>
      <c r="D1217" s="11"/>
      <c r="E1217" s="11"/>
      <c r="F1217" s="11"/>
      <c r="G1217" s="11"/>
      <c r="H1217" s="11"/>
      <c r="I1217" s="11"/>
      <c r="J1217" s="11"/>
      <c r="K1217" s="11"/>
      <c r="L1217" s="11"/>
      <c r="M1217" s="11"/>
      <c r="N1217" s="44" t="n">
        <v>14.71</v>
      </c>
      <c r="O1217" s="11"/>
    </row>
    <row r="1218" customFormat="false" ht="14.25" hidden="false" customHeight="true" outlineLevel="0" collapsed="false">
      <c r="C1218" s="11"/>
      <c r="D1218" s="11"/>
      <c r="E1218" s="11"/>
      <c r="F1218" s="11"/>
      <c r="G1218" s="11"/>
      <c r="H1218" s="11"/>
      <c r="I1218" s="11"/>
      <c r="J1218" s="11"/>
      <c r="K1218" s="11"/>
      <c r="L1218" s="11"/>
      <c r="M1218" s="11"/>
      <c r="N1218" s="44" t="n">
        <v>14.93</v>
      </c>
      <c r="O1218" s="11"/>
    </row>
    <row r="1219" customFormat="false" ht="14.25" hidden="false" customHeight="true" outlineLevel="0" collapsed="false">
      <c r="C1219" s="11"/>
      <c r="D1219" s="11"/>
      <c r="E1219" s="11"/>
      <c r="F1219" s="11"/>
      <c r="G1219" s="11"/>
      <c r="H1219" s="11"/>
      <c r="I1219" s="11"/>
      <c r="J1219" s="11"/>
      <c r="K1219" s="11"/>
      <c r="L1219" s="11"/>
      <c r="M1219" s="11"/>
      <c r="N1219" s="44" t="n">
        <v>15.35</v>
      </c>
      <c r="O1219" s="11"/>
    </row>
    <row r="1220" customFormat="false" ht="14.25" hidden="false" customHeight="true" outlineLevel="0" collapsed="false">
      <c r="C1220" s="11"/>
      <c r="D1220" s="11"/>
      <c r="E1220" s="11"/>
      <c r="F1220" s="11"/>
      <c r="G1220" s="11"/>
      <c r="H1220" s="11"/>
      <c r="I1220" s="11"/>
      <c r="J1220" s="11"/>
      <c r="K1220" s="11"/>
      <c r="L1220" s="11"/>
      <c r="M1220" s="11"/>
      <c r="N1220" s="44" t="n">
        <v>15.49</v>
      </c>
      <c r="O1220" s="11"/>
    </row>
    <row r="1221" customFormat="false" ht="14.25" hidden="false" customHeight="true" outlineLevel="0" collapsed="false">
      <c r="C1221" s="11"/>
      <c r="D1221" s="11"/>
      <c r="E1221" s="11"/>
      <c r="F1221" s="11"/>
      <c r="G1221" s="11"/>
      <c r="H1221" s="11"/>
      <c r="I1221" s="11"/>
      <c r="J1221" s="11"/>
      <c r="K1221" s="11"/>
      <c r="L1221" s="11"/>
      <c r="M1221" s="11"/>
      <c r="N1221" s="44" t="n">
        <v>15.68</v>
      </c>
      <c r="O1221" s="11"/>
    </row>
    <row r="1222" customFormat="false" ht="14.25" hidden="false" customHeight="true" outlineLevel="0" collapsed="false">
      <c r="C1222" s="11"/>
      <c r="D1222" s="11"/>
      <c r="E1222" s="11"/>
      <c r="F1222" s="11"/>
      <c r="G1222" s="11"/>
      <c r="H1222" s="11"/>
      <c r="I1222" s="11"/>
      <c r="J1222" s="11"/>
      <c r="K1222" s="11"/>
      <c r="L1222" s="11"/>
      <c r="M1222" s="11"/>
      <c r="N1222" s="44" t="n">
        <v>16.11</v>
      </c>
      <c r="O1222" s="11"/>
    </row>
    <row r="1223" customFormat="false" ht="14.25" hidden="false" customHeight="true" outlineLevel="0" collapsed="false">
      <c r="C1223" s="11"/>
      <c r="D1223" s="11"/>
      <c r="E1223" s="11"/>
      <c r="F1223" s="11"/>
      <c r="G1223" s="11"/>
      <c r="H1223" s="11"/>
      <c r="I1223" s="11"/>
      <c r="J1223" s="11"/>
      <c r="K1223" s="11"/>
      <c r="L1223" s="11"/>
      <c r="M1223" s="11"/>
      <c r="N1223" s="44" t="n">
        <v>16.33</v>
      </c>
      <c r="O1223" s="11"/>
    </row>
    <row r="1224" customFormat="false" ht="14.25" hidden="false" customHeight="true" outlineLevel="0" collapsed="false">
      <c r="C1224" s="11"/>
      <c r="D1224" s="11"/>
      <c r="E1224" s="11"/>
      <c r="F1224" s="11"/>
      <c r="G1224" s="11"/>
      <c r="H1224" s="11"/>
      <c r="I1224" s="11"/>
      <c r="J1224" s="11"/>
      <c r="K1224" s="11"/>
      <c r="L1224" s="11"/>
      <c r="M1224" s="11"/>
      <c r="N1224" s="44" t="n">
        <v>16.12</v>
      </c>
      <c r="O1224" s="11"/>
    </row>
    <row r="1225" customFormat="false" ht="14.25" hidden="false" customHeight="true" outlineLevel="0" collapsed="false">
      <c r="C1225" s="11"/>
      <c r="D1225" s="11"/>
      <c r="E1225" s="11"/>
      <c r="F1225" s="11"/>
      <c r="G1225" s="11"/>
      <c r="H1225" s="11"/>
      <c r="I1225" s="11"/>
      <c r="J1225" s="11"/>
      <c r="K1225" s="11"/>
      <c r="L1225" s="11"/>
      <c r="M1225" s="11"/>
      <c r="N1225" s="44" t="n">
        <v>15.9</v>
      </c>
      <c r="O1225" s="11"/>
    </row>
    <row r="1226" customFormat="false" ht="14.25" hidden="false" customHeight="true" outlineLevel="0" collapsed="false">
      <c r="C1226" s="11"/>
      <c r="D1226" s="11"/>
      <c r="E1226" s="11"/>
      <c r="F1226" s="11"/>
      <c r="G1226" s="11"/>
      <c r="H1226" s="11"/>
      <c r="I1226" s="11"/>
      <c r="J1226" s="11"/>
      <c r="K1226" s="11"/>
      <c r="L1226" s="11"/>
      <c r="M1226" s="11"/>
      <c r="N1226" s="44" t="n">
        <v>16.21</v>
      </c>
      <c r="O1226" s="11"/>
    </row>
    <row r="1227" customFormat="false" ht="14.25" hidden="false" customHeight="true" outlineLevel="0" collapsed="false">
      <c r="C1227" s="11"/>
      <c r="D1227" s="11"/>
      <c r="E1227" s="11"/>
      <c r="F1227" s="11"/>
      <c r="G1227" s="11"/>
      <c r="H1227" s="11"/>
      <c r="I1227" s="11"/>
      <c r="J1227" s="11"/>
      <c r="K1227" s="11"/>
      <c r="L1227" s="11"/>
      <c r="M1227" s="11"/>
      <c r="N1227" s="44" t="n">
        <v>16</v>
      </c>
      <c r="O1227" s="11"/>
    </row>
    <row r="1228" customFormat="false" ht="14.25" hidden="false" customHeight="true" outlineLevel="0" collapsed="false">
      <c r="C1228" s="11"/>
      <c r="D1228" s="11"/>
      <c r="E1228" s="11"/>
      <c r="F1228" s="11"/>
      <c r="G1228" s="11"/>
      <c r="H1228" s="11"/>
      <c r="I1228" s="11"/>
      <c r="J1228" s="11"/>
      <c r="K1228" s="11"/>
      <c r="L1228" s="11"/>
      <c r="M1228" s="11"/>
      <c r="N1228" s="44" t="n">
        <v>15.53</v>
      </c>
      <c r="O1228" s="11"/>
    </row>
    <row r="1229" customFormat="false" ht="14.25" hidden="false" customHeight="true" outlineLevel="0" collapsed="false">
      <c r="C1229" s="11"/>
      <c r="D1229" s="11"/>
      <c r="E1229" s="11"/>
      <c r="F1229" s="11"/>
      <c r="G1229" s="11"/>
      <c r="H1229" s="11"/>
      <c r="I1229" s="11"/>
      <c r="J1229" s="11"/>
      <c r="K1229" s="11"/>
      <c r="L1229" s="11"/>
      <c r="M1229" s="11"/>
      <c r="N1229" s="44" t="n">
        <v>15.82</v>
      </c>
      <c r="O1229" s="11"/>
    </row>
    <row r="1230" customFormat="false" ht="14.25" hidden="false" customHeight="true" outlineLevel="0" collapsed="false">
      <c r="C1230" s="11"/>
      <c r="D1230" s="11"/>
      <c r="E1230" s="11"/>
      <c r="F1230" s="11"/>
      <c r="G1230" s="11"/>
      <c r="H1230" s="11"/>
      <c r="I1230" s="11"/>
      <c r="J1230" s="11"/>
      <c r="K1230" s="11"/>
      <c r="L1230" s="11"/>
      <c r="M1230" s="11"/>
      <c r="N1230" s="44" t="n">
        <v>15.75</v>
      </c>
      <c r="O1230" s="11"/>
    </row>
    <row r="1231" customFormat="false" ht="14.25" hidden="false" customHeight="true" outlineLevel="0" collapsed="false">
      <c r="C1231" s="11"/>
      <c r="D1231" s="11"/>
      <c r="E1231" s="11"/>
      <c r="F1231" s="11"/>
      <c r="G1231" s="11"/>
      <c r="H1231" s="11"/>
      <c r="I1231" s="11"/>
      <c r="J1231" s="11"/>
      <c r="K1231" s="11"/>
      <c r="L1231" s="11"/>
      <c r="M1231" s="11"/>
      <c r="N1231" s="44" t="n">
        <v>15.64</v>
      </c>
      <c r="O1231" s="11"/>
    </row>
    <row r="1232" customFormat="false" ht="14.25" hidden="false" customHeight="true" outlineLevel="0" collapsed="false">
      <c r="C1232" s="11"/>
      <c r="D1232" s="11"/>
      <c r="E1232" s="11"/>
      <c r="F1232" s="11"/>
      <c r="G1232" s="11"/>
      <c r="H1232" s="11"/>
      <c r="I1232" s="11"/>
      <c r="J1232" s="11"/>
      <c r="K1232" s="11"/>
      <c r="L1232" s="11"/>
      <c r="M1232" s="11"/>
      <c r="N1232" s="44" t="n">
        <v>15.91</v>
      </c>
      <c r="O1232" s="11"/>
    </row>
    <row r="1233" customFormat="false" ht="14.25" hidden="false" customHeight="true" outlineLevel="0" collapsed="false">
      <c r="C1233" s="11"/>
      <c r="D1233" s="11"/>
      <c r="E1233" s="11"/>
      <c r="F1233" s="11"/>
      <c r="G1233" s="11"/>
      <c r="H1233" s="11"/>
      <c r="I1233" s="11"/>
      <c r="J1233" s="11"/>
      <c r="K1233" s="11"/>
      <c r="L1233" s="11"/>
      <c r="M1233" s="11"/>
      <c r="N1233" s="44" t="n">
        <v>15.98</v>
      </c>
      <c r="O1233" s="11"/>
    </row>
    <row r="1234" customFormat="false" ht="14.25" hidden="false" customHeight="true" outlineLevel="0" collapsed="false">
      <c r="C1234" s="11"/>
      <c r="D1234" s="11"/>
      <c r="E1234" s="11"/>
      <c r="F1234" s="11"/>
      <c r="G1234" s="11"/>
      <c r="H1234" s="11"/>
      <c r="I1234" s="11"/>
      <c r="J1234" s="11"/>
      <c r="K1234" s="11"/>
      <c r="L1234" s="11"/>
      <c r="M1234" s="11"/>
      <c r="N1234" s="44" t="n">
        <v>16.02</v>
      </c>
      <c r="O1234" s="11"/>
    </row>
    <row r="1235" customFormat="false" ht="14.25" hidden="false" customHeight="true" outlineLevel="0" collapsed="false">
      <c r="C1235" s="11"/>
      <c r="D1235" s="11"/>
      <c r="E1235" s="11"/>
      <c r="F1235" s="11"/>
      <c r="G1235" s="11"/>
      <c r="H1235" s="11"/>
      <c r="I1235" s="11"/>
      <c r="J1235" s="11"/>
      <c r="K1235" s="11"/>
      <c r="L1235" s="11"/>
      <c r="M1235" s="11"/>
      <c r="N1235" s="44" t="n">
        <v>16.38</v>
      </c>
      <c r="O1235" s="11"/>
    </row>
    <row r="1236" customFormat="false" ht="14.25" hidden="false" customHeight="true" outlineLevel="0" collapsed="false">
      <c r="C1236" s="11"/>
      <c r="D1236" s="11"/>
      <c r="E1236" s="11"/>
      <c r="F1236" s="11"/>
      <c r="G1236" s="11"/>
      <c r="H1236" s="11"/>
      <c r="I1236" s="11"/>
      <c r="J1236" s="11"/>
      <c r="K1236" s="11"/>
      <c r="L1236" s="11"/>
      <c r="M1236" s="11"/>
      <c r="N1236" s="44" t="n">
        <v>16.52</v>
      </c>
      <c r="O1236" s="11"/>
    </row>
    <row r="1237" customFormat="false" ht="14.25" hidden="false" customHeight="true" outlineLevel="0" collapsed="false">
      <c r="C1237" s="11"/>
      <c r="D1237" s="11"/>
      <c r="E1237" s="11"/>
      <c r="F1237" s="11"/>
      <c r="G1237" s="11"/>
      <c r="H1237" s="11"/>
      <c r="I1237" s="11"/>
      <c r="J1237" s="11"/>
      <c r="K1237" s="11"/>
      <c r="L1237" s="11"/>
      <c r="M1237" s="11"/>
      <c r="N1237" s="44" t="n">
        <v>16.2</v>
      </c>
      <c r="O1237" s="11"/>
    </row>
    <row r="1238" customFormat="false" ht="14.25" hidden="false" customHeight="true" outlineLevel="0" collapsed="false">
      <c r="C1238" s="11"/>
      <c r="D1238" s="11"/>
      <c r="E1238" s="11"/>
      <c r="F1238" s="11"/>
      <c r="G1238" s="11"/>
      <c r="H1238" s="11"/>
      <c r="I1238" s="11"/>
      <c r="J1238" s="11"/>
      <c r="K1238" s="11"/>
      <c r="L1238" s="11"/>
      <c r="M1238" s="11"/>
      <c r="N1238" s="44" t="n">
        <v>16.48</v>
      </c>
      <c r="O1238" s="11"/>
    </row>
    <row r="1239" customFormat="false" ht="14.25" hidden="false" customHeight="true" outlineLevel="0" collapsed="false">
      <c r="C1239" s="11"/>
      <c r="D1239" s="11"/>
      <c r="E1239" s="11"/>
      <c r="F1239" s="11"/>
      <c r="G1239" s="11"/>
      <c r="H1239" s="11"/>
      <c r="I1239" s="11"/>
      <c r="J1239" s="11"/>
      <c r="K1239" s="11"/>
      <c r="L1239" s="11"/>
      <c r="M1239" s="11"/>
      <c r="N1239" s="44" t="n">
        <v>16.39</v>
      </c>
      <c r="O1239" s="11"/>
    </row>
    <row r="1240" customFormat="false" ht="14.25" hidden="false" customHeight="true" outlineLevel="0" collapsed="false">
      <c r="C1240" s="11"/>
      <c r="D1240" s="11"/>
      <c r="E1240" s="11"/>
      <c r="F1240" s="11"/>
      <c r="G1240" s="11"/>
      <c r="H1240" s="11"/>
      <c r="I1240" s="11"/>
      <c r="J1240" s="11"/>
      <c r="K1240" s="11"/>
      <c r="L1240" s="11"/>
      <c r="M1240" s="11"/>
      <c r="N1240" s="44" t="n">
        <v>16.11</v>
      </c>
      <c r="O1240" s="11"/>
    </row>
    <row r="1241" customFormat="false" ht="14.25" hidden="false" customHeight="true" outlineLevel="0" collapsed="false">
      <c r="C1241" s="11"/>
      <c r="D1241" s="11"/>
      <c r="E1241" s="11"/>
      <c r="F1241" s="11"/>
      <c r="G1241" s="11"/>
      <c r="H1241" s="11"/>
      <c r="I1241" s="11"/>
      <c r="J1241" s="11"/>
      <c r="K1241" s="11"/>
      <c r="L1241" s="11"/>
      <c r="M1241" s="11"/>
      <c r="N1241" s="44" t="n">
        <v>16.12</v>
      </c>
      <c r="O1241" s="11"/>
    </row>
    <row r="1242" customFormat="false" ht="14.25" hidden="false" customHeight="true" outlineLevel="0" collapsed="false">
      <c r="C1242" s="11"/>
      <c r="D1242" s="11"/>
      <c r="E1242" s="11"/>
      <c r="F1242" s="11"/>
      <c r="G1242" s="11"/>
      <c r="H1242" s="11"/>
      <c r="I1242" s="11"/>
      <c r="J1242" s="11"/>
      <c r="K1242" s="11"/>
      <c r="L1242" s="11"/>
      <c r="M1242" s="11"/>
      <c r="N1242" s="44" t="n">
        <v>16.13</v>
      </c>
      <c r="O1242" s="11"/>
    </row>
    <row r="1243" customFormat="false" ht="14.25" hidden="false" customHeight="true" outlineLevel="0" collapsed="false">
      <c r="C1243" s="11"/>
      <c r="D1243" s="11"/>
      <c r="E1243" s="11"/>
      <c r="F1243" s="11"/>
      <c r="G1243" s="11"/>
      <c r="H1243" s="11"/>
      <c r="I1243" s="11"/>
      <c r="J1243" s="11"/>
      <c r="K1243" s="11"/>
      <c r="L1243" s="11"/>
      <c r="M1243" s="11"/>
      <c r="N1243" s="44" t="n">
        <v>15.52</v>
      </c>
      <c r="O1243" s="11"/>
    </row>
    <row r="1244" customFormat="false" ht="14.25" hidden="false" customHeight="true" outlineLevel="0" collapsed="false">
      <c r="C1244" s="11"/>
      <c r="D1244" s="11"/>
      <c r="E1244" s="11"/>
      <c r="F1244" s="11"/>
      <c r="G1244" s="11"/>
      <c r="H1244" s="11"/>
      <c r="I1244" s="11"/>
      <c r="J1244" s="11"/>
      <c r="K1244" s="11"/>
      <c r="L1244" s="11"/>
      <c r="M1244" s="11"/>
      <c r="N1244" s="44" t="n">
        <v>15.47</v>
      </c>
      <c r="O1244" s="11"/>
    </row>
    <row r="1245" customFormat="false" ht="14.25" hidden="false" customHeight="true" outlineLevel="0" collapsed="false">
      <c r="C1245" s="11"/>
      <c r="D1245" s="11"/>
      <c r="E1245" s="11"/>
      <c r="F1245" s="11"/>
      <c r="G1245" s="11"/>
      <c r="H1245" s="11"/>
      <c r="I1245" s="11"/>
      <c r="J1245" s="11"/>
      <c r="K1245" s="11"/>
      <c r="L1245" s="11"/>
      <c r="M1245" s="11"/>
      <c r="N1245" s="44" t="n">
        <v>15.19</v>
      </c>
      <c r="O1245" s="11"/>
    </row>
    <row r="1246" customFormat="false" ht="14.25" hidden="false" customHeight="true" outlineLevel="0" collapsed="false">
      <c r="C1246" s="11"/>
      <c r="D1246" s="11"/>
      <c r="E1246" s="11"/>
      <c r="F1246" s="11"/>
      <c r="G1246" s="11"/>
      <c r="H1246" s="11"/>
      <c r="I1246" s="11"/>
      <c r="J1246" s="11"/>
      <c r="K1246" s="11"/>
      <c r="L1246" s="11"/>
      <c r="M1246" s="11"/>
      <c r="N1246" s="44" t="n">
        <v>15.26</v>
      </c>
      <c r="O1246" s="11"/>
    </row>
    <row r="1247" customFormat="false" ht="14.25" hidden="false" customHeight="true" outlineLevel="0" collapsed="false">
      <c r="C1247" s="11"/>
      <c r="D1247" s="11"/>
      <c r="E1247" s="11"/>
      <c r="F1247" s="11"/>
      <c r="G1247" s="11"/>
      <c r="H1247" s="11"/>
      <c r="I1247" s="11"/>
      <c r="J1247" s="11"/>
      <c r="K1247" s="11"/>
      <c r="L1247" s="11"/>
      <c r="M1247" s="11"/>
      <c r="N1247" s="44" t="n">
        <v>15.48</v>
      </c>
      <c r="O1247" s="11"/>
    </row>
    <row r="1248" customFormat="false" ht="14.25" hidden="false" customHeight="true" outlineLevel="0" collapsed="false">
      <c r="C1248" s="11"/>
      <c r="D1248" s="11"/>
      <c r="E1248" s="11"/>
      <c r="F1248" s="11"/>
      <c r="G1248" s="11"/>
      <c r="H1248" s="11"/>
      <c r="I1248" s="11"/>
      <c r="J1248" s="11"/>
      <c r="K1248" s="11"/>
      <c r="L1248" s="11"/>
      <c r="M1248" s="11"/>
      <c r="N1248" s="44" t="n">
        <v>15.49</v>
      </c>
      <c r="O1248" s="11"/>
    </row>
    <row r="1249" customFormat="false" ht="14.25" hidden="false" customHeight="true" outlineLevel="0" collapsed="false">
      <c r="C1249" s="11"/>
      <c r="D1249" s="11"/>
      <c r="E1249" s="11"/>
      <c r="F1249" s="11"/>
      <c r="G1249" s="11"/>
      <c r="H1249" s="11"/>
      <c r="I1249" s="11"/>
      <c r="J1249" s="11"/>
      <c r="K1249" s="11"/>
      <c r="L1249" s="11"/>
      <c r="M1249" s="11"/>
      <c r="N1249" s="44" t="n">
        <v>15.69</v>
      </c>
      <c r="O1249" s="11"/>
    </row>
    <row r="1250" customFormat="false" ht="14.25" hidden="false" customHeight="true" outlineLevel="0" collapsed="false">
      <c r="C1250" s="11"/>
      <c r="D1250" s="11"/>
      <c r="E1250" s="11"/>
      <c r="F1250" s="11"/>
      <c r="G1250" s="11"/>
      <c r="H1250" s="11"/>
      <c r="I1250" s="11"/>
      <c r="J1250" s="11"/>
      <c r="K1250" s="11"/>
      <c r="L1250" s="11"/>
      <c r="M1250" s="11"/>
      <c r="N1250" s="44" t="n">
        <v>16.27</v>
      </c>
      <c r="O1250" s="11"/>
    </row>
    <row r="1251" customFormat="false" ht="14.25" hidden="false" customHeight="true" outlineLevel="0" collapsed="false">
      <c r="C1251" s="11"/>
      <c r="D1251" s="11"/>
      <c r="E1251" s="11"/>
      <c r="F1251" s="11"/>
      <c r="G1251" s="11"/>
      <c r="H1251" s="11"/>
      <c r="I1251" s="11"/>
      <c r="J1251" s="11"/>
      <c r="K1251" s="11"/>
      <c r="L1251" s="11"/>
      <c r="M1251" s="11"/>
      <c r="N1251" s="44" t="n">
        <v>16.18</v>
      </c>
      <c r="O1251" s="11"/>
    </row>
    <row r="1252" customFormat="false" ht="14.25" hidden="false" customHeight="true" outlineLevel="0" collapsed="false">
      <c r="C1252" s="11"/>
      <c r="D1252" s="11"/>
      <c r="E1252" s="11"/>
      <c r="F1252" s="11"/>
      <c r="G1252" s="11"/>
      <c r="H1252" s="11"/>
      <c r="I1252" s="11"/>
      <c r="J1252" s="11"/>
      <c r="K1252" s="11"/>
      <c r="L1252" s="11"/>
      <c r="M1252" s="11"/>
      <c r="N1252" s="44" t="n">
        <v>15.34</v>
      </c>
      <c r="O1252" s="11"/>
    </row>
    <row r="1253" customFormat="false" ht="14.25" hidden="false" customHeight="true" outlineLevel="0" collapsed="false">
      <c r="C1253" s="11"/>
      <c r="D1253" s="11"/>
      <c r="E1253" s="11"/>
      <c r="F1253" s="11"/>
      <c r="G1253" s="11"/>
      <c r="H1253" s="11"/>
      <c r="I1253" s="11"/>
      <c r="J1253" s="11"/>
      <c r="K1253" s="11"/>
      <c r="L1253" s="11"/>
      <c r="M1253" s="11"/>
      <c r="N1253" s="44" t="n">
        <v>15.59</v>
      </c>
      <c r="O1253" s="11"/>
    </row>
    <row r="1254" customFormat="false" ht="14.25" hidden="false" customHeight="true" outlineLevel="0" collapsed="false">
      <c r="C1254" s="11"/>
      <c r="D1254" s="11"/>
      <c r="E1254" s="11"/>
      <c r="F1254" s="11"/>
      <c r="G1254" s="11"/>
      <c r="H1254" s="11"/>
      <c r="I1254" s="11"/>
      <c r="J1254" s="11"/>
      <c r="K1254" s="11"/>
      <c r="L1254" s="11"/>
      <c r="M1254" s="11"/>
      <c r="N1254" s="44" t="n">
        <v>15.39</v>
      </c>
      <c r="O1254" s="11"/>
    </row>
    <row r="1255" customFormat="false" ht="14.25" hidden="false" customHeight="true" outlineLevel="0" collapsed="false">
      <c r="C1255" s="11"/>
      <c r="D1255" s="11"/>
      <c r="E1255" s="11"/>
      <c r="F1255" s="11"/>
      <c r="G1255" s="11"/>
      <c r="H1255" s="11"/>
      <c r="I1255" s="11"/>
      <c r="J1255" s="11"/>
      <c r="K1255" s="11"/>
      <c r="L1255" s="11"/>
      <c r="M1255" s="11"/>
      <c r="N1255" s="44" t="n">
        <v>15.46</v>
      </c>
      <c r="O1255" s="11"/>
    </row>
    <row r="1256" customFormat="false" ht="14.25" hidden="false" customHeight="true" outlineLevel="0" collapsed="false">
      <c r="C1256" s="11"/>
      <c r="D1256" s="11"/>
      <c r="E1256" s="11"/>
      <c r="F1256" s="11"/>
      <c r="G1256" s="11"/>
      <c r="H1256" s="11"/>
      <c r="I1256" s="11"/>
      <c r="J1256" s="11"/>
      <c r="K1256" s="11"/>
      <c r="L1256" s="11"/>
      <c r="M1256" s="11"/>
      <c r="N1256" s="44" t="n">
        <v>15.53</v>
      </c>
      <c r="O1256" s="11"/>
    </row>
    <row r="1257" customFormat="false" ht="14.25" hidden="false" customHeight="true" outlineLevel="0" collapsed="false">
      <c r="C1257" s="11"/>
      <c r="D1257" s="11"/>
      <c r="E1257" s="11"/>
      <c r="F1257" s="11"/>
      <c r="G1257" s="11"/>
      <c r="H1257" s="11"/>
      <c r="I1257" s="11"/>
      <c r="J1257" s="11"/>
      <c r="K1257" s="11"/>
      <c r="L1257" s="11"/>
      <c r="M1257" s="11"/>
      <c r="N1257" s="44" t="n">
        <v>15.85</v>
      </c>
      <c r="O1257" s="11"/>
    </row>
    <row r="1258" customFormat="false" ht="14.25" hidden="false" customHeight="true" outlineLevel="0" collapsed="false">
      <c r="C1258" s="11"/>
      <c r="D1258" s="11"/>
      <c r="E1258" s="11"/>
      <c r="F1258" s="11"/>
      <c r="G1258" s="11"/>
      <c r="H1258" s="11"/>
      <c r="I1258" s="11"/>
      <c r="J1258" s="11"/>
      <c r="K1258" s="11"/>
      <c r="L1258" s="11"/>
      <c r="M1258" s="11"/>
      <c r="N1258" s="44" t="n">
        <v>15.72</v>
      </c>
      <c r="O1258" s="11"/>
    </row>
    <row r="1259" customFormat="false" ht="14.25" hidden="false" customHeight="true" outlineLevel="0" collapsed="false">
      <c r="C1259" s="11"/>
      <c r="D1259" s="11"/>
      <c r="E1259" s="11"/>
      <c r="F1259" s="11"/>
      <c r="G1259" s="11"/>
      <c r="H1259" s="11"/>
      <c r="I1259" s="11"/>
      <c r="J1259" s="11"/>
      <c r="K1259" s="11"/>
      <c r="L1259" s="11"/>
      <c r="M1259" s="11"/>
      <c r="N1259" s="44" t="n">
        <v>15.75</v>
      </c>
      <c r="O1259" s="11"/>
    </row>
    <row r="1260" customFormat="false" ht="14.25" hidden="false" customHeight="true" outlineLevel="0" collapsed="false">
      <c r="C1260" s="11"/>
      <c r="D1260" s="11"/>
      <c r="E1260" s="11"/>
      <c r="F1260" s="11"/>
      <c r="G1260" s="11"/>
      <c r="H1260" s="11"/>
      <c r="I1260" s="11"/>
      <c r="J1260" s="11"/>
      <c r="K1260" s="11"/>
      <c r="L1260" s="11"/>
      <c r="M1260" s="11"/>
      <c r="N1260" s="44" t="n">
        <v>15.83</v>
      </c>
      <c r="O1260" s="11"/>
    </row>
    <row r="1261" customFormat="false" ht="14.25" hidden="false" customHeight="true" outlineLevel="0" collapsed="false">
      <c r="C1261" s="11"/>
      <c r="D1261" s="11"/>
      <c r="E1261" s="11"/>
      <c r="F1261" s="11"/>
      <c r="G1261" s="11"/>
      <c r="H1261" s="11"/>
      <c r="I1261" s="11"/>
      <c r="J1261" s="11"/>
      <c r="K1261" s="11"/>
      <c r="L1261" s="11"/>
      <c r="M1261" s="11"/>
      <c r="N1261" s="44" t="n">
        <v>16.17</v>
      </c>
      <c r="O1261" s="11"/>
    </row>
    <row r="1262" customFormat="false" ht="14.25" hidden="false" customHeight="true" outlineLevel="0" collapsed="false">
      <c r="C1262" s="11"/>
      <c r="D1262" s="11"/>
      <c r="E1262" s="11"/>
      <c r="F1262" s="11"/>
      <c r="G1262" s="11"/>
      <c r="H1262" s="11"/>
      <c r="I1262" s="11"/>
      <c r="J1262" s="11"/>
      <c r="K1262" s="11"/>
      <c r="L1262" s="11"/>
      <c r="M1262" s="11"/>
      <c r="N1262" s="44" t="n">
        <v>16.32</v>
      </c>
      <c r="O1262" s="11"/>
    </row>
    <row r="1263" customFormat="false" ht="14.25" hidden="false" customHeight="true" outlineLevel="0" collapsed="false">
      <c r="C1263" s="11"/>
      <c r="D1263" s="11"/>
      <c r="E1263" s="11"/>
      <c r="F1263" s="11"/>
      <c r="G1263" s="11"/>
      <c r="H1263" s="11"/>
      <c r="I1263" s="11"/>
      <c r="J1263" s="11"/>
      <c r="K1263" s="11"/>
      <c r="L1263" s="11"/>
      <c r="M1263" s="11"/>
      <c r="N1263" s="44" t="n">
        <v>16.24</v>
      </c>
      <c r="O1263" s="11"/>
    </row>
    <row r="1264" customFormat="false" ht="14.25" hidden="false" customHeight="true" outlineLevel="0" collapsed="false">
      <c r="C1264" s="11"/>
      <c r="D1264" s="11"/>
      <c r="E1264" s="11"/>
      <c r="F1264" s="11"/>
      <c r="G1264" s="11"/>
      <c r="H1264" s="11"/>
      <c r="I1264" s="11"/>
      <c r="J1264" s="11"/>
      <c r="K1264" s="11"/>
      <c r="L1264" s="11"/>
      <c r="M1264" s="11"/>
      <c r="N1264" s="44" t="n">
        <v>16.66</v>
      </c>
      <c r="O1264" s="11"/>
    </row>
    <row r="1265" customFormat="false" ht="14.25" hidden="false" customHeight="true" outlineLevel="0" collapsed="false">
      <c r="C1265" s="11"/>
      <c r="D1265" s="11"/>
      <c r="E1265" s="11"/>
      <c r="F1265" s="11"/>
      <c r="G1265" s="11"/>
      <c r="H1265" s="11"/>
      <c r="I1265" s="11"/>
      <c r="J1265" s="11"/>
      <c r="K1265" s="11"/>
      <c r="L1265" s="11"/>
      <c r="M1265" s="11"/>
      <c r="N1265" s="44" t="n">
        <v>16.76</v>
      </c>
      <c r="O1265" s="11"/>
    </row>
    <row r="1266" customFormat="false" ht="14.25" hidden="false" customHeight="true" outlineLevel="0" collapsed="false">
      <c r="C1266" s="11"/>
      <c r="D1266" s="11"/>
      <c r="E1266" s="11"/>
      <c r="F1266" s="11"/>
      <c r="G1266" s="11"/>
      <c r="H1266" s="11"/>
      <c r="I1266" s="11"/>
      <c r="J1266" s="11"/>
      <c r="K1266" s="11"/>
      <c r="L1266" s="11"/>
      <c r="M1266" s="11"/>
      <c r="N1266" s="44" t="n">
        <v>16.55</v>
      </c>
      <c r="O1266" s="11"/>
    </row>
    <row r="1267" customFormat="false" ht="14.25" hidden="false" customHeight="true" outlineLevel="0" collapsed="false">
      <c r="C1267" s="11"/>
      <c r="D1267" s="11"/>
      <c r="E1267" s="11"/>
      <c r="F1267" s="11"/>
      <c r="G1267" s="11"/>
      <c r="H1267" s="11"/>
      <c r="I1267" s="11"/>
      <c r="J1267" s="11"/>
      <c r="K1267" s="11"/>
      <c r="L1267" s="11"/>
      <c r="M1267" s="11"/>
      <c r="N1267" s="44" t="n">
        <v>16.68</v>
      </c>
      <c r="O1267" s="11"/>
    </row>
    <row r="1268" customFormat="false" ht="14.25" hidden="false" customHeight="true" outlineLevel="0" collapsed="false">
      <c r="C1268" s="11"/>
      <c r="D1268" s="11"/>
      <c r="E1268" s="11"/>
      <c r="F1268" s="11"/>
      <c r="G1268" s="11"/>
      <c r="H1268" s="11"/>
      <c r="I1268" s="11"/>
      <c r="J1268" s="11"/>
      <c r="K1268" s="11"/>
      <c r="L1268" s="11"/>
      <c r="M1268" s="11"/>
      <c r="N1268" s="44" t="n">
        <v>16.26</v>
      </c>
      <c r="O1268" s="11"/>
    </row>
    <row r="1269" customFormat="false" ht="14.25" hidden="false" customHeight="true" outlineLevel="0" collapsed="false">
      <c r="C1269" s="11"/>
      <c r="D1269" s="11"/>
      <c r="E1269" s="11"/>
      <c r="F1269" s="11"/>
      <c r="G1269" s="11"/>
      <c r="H1269" s="11"/>
      <c r="I1269" s="11"/>
      <c r="J1269" s="11"/>
      <c r="K1269" s="11"/>
      <c r="L1269" s="11"/>
      <c r="M1269" s="11"/>
      <c r="N1269" s="44" t="n">
        <v>16.59</v>
      </c>
      <c r="O1269" s="11"/>
    </row>
    <row r="1270" customFormat="false" ht="14.25" hidden="false" customHeight="true" outlineLevel="0" collapsed="false">
      <c r="C1270" s="11"/>
      <c r="D1270" s="11"/>
      <c r="E1270" s="11"/>
      <c r="F1270" s="11"/>
      <c r="G1270" s="11"/>
      <c r="H1270" s="11"/>
      <c r="I1270" s="11"/>
      <c r="J1270" s="11"/>
      <c r="K1270" s="11"/>
      <c r="L1270" s="11"/>
      <c r="M1270" s="11"/>
      <c r="N1270" s="44" t="n">
        <v>16.75</v>
      </c>
      <c r="O1270" s="11"/>
    </row>
    <row r="1271" customFormat="false" ht="14.25" hidden="false" customHeight="true" outlineLevel="0" collapsed="false">
      <c r="C1271" s="11"/>
      <c r="D1271" s="11"/>
      <c r="E1271" s="11"/>
      <c r="F1271" s="11"/>
      <c r="G1271" s="11"/>
      <c r="H1271" s="11"/>
      <c r="I1271" s="11"/>
      <c r="J1271" s="11"/>
      <c r="K1271" s="11"/>
      <c r="L1271" s="11"/>
      <c r="M1271" s="11"/>
      <c r="N1271" s="44" t="n">
        <v>16.82</v>
      </c>
      <c r="O1271" s="11"/>
    </row>
    <row r="1272" customFormat="false" ht="14.25" hidden="false" customHeight="true" outlineLevel="0" collapsed="false">
      <c r="C1272" s="11"/>
      <c r="D1272" s="11"/>
      <c r="E1272" s="11"/>
      <c r="F1272" s="11"/>
      <c r="G1272" s="11"/>
      <c r="H1272" s="11"/>
      <c r="I1272" s="11"/>
      <c r="J1272" s="11"/>
      <c r="K1272" s="11"/>
      <c r="L1272" s="11"/>
      <c r="M1272" s="11"/>
      <c r="N1272" s="44" t="n">
        <v>16.68</v>
      </c>
      <c r="O1272" s="11"/>
    </row>
    <row r="1273" customFormat="false" ht="14.25" hidden="false" customHeight="true" outlineLevel="0" collapsed="false">
      <c r="C1273" s="11"/>
      <c r="D1273" s="11"/>
      <c r="E1273" s="11"/>
      <c r="F1273" s="11"/>
      <c r="G1273" s="11"/>
      <c r="H1273" s="11"/>
      <c r="I1273" s="11"/>
      <c r="J1273" s="11"/>
      <c r="K1273" s="11"/>
      <c r="L1273" s="11"/>
      <c r="M1273" s="11"/>
      <c r="N1273" s="44" t="n">
        <v>16.92</v>
      </c>
      <c r="O1273" s="11"/>
    </row>
    <row r="1274" customFormat="false" ht="14.25" hidden="false" customHeight="true" outlineLevel="0" collapsed="false">
      <c r="C1274" s="11"/>
      <c r="D1274" s="11"/>
      <c r="E1274" s="11"/>
      <c r="F1274" s="11"/>
      <c r="G1274" s="11"/>
      <c r="H1274" s="11"/>
      <c r="I1274" s="11"/>
      <c r="J1274" s="11"/>
      <c r="K1274" s="11"/>
      <c r="L1274" s="11"/>
      <c r="M1274" s="11"/>
      <c r="N1274" s="44" t="n">
        <v>16.59</v>
      </c>
      <c r="O1274" s="11"/>
    </row>
    <row r="1275" customFormat="false" ht="14.25" hidden="false" customHeight="true" outlineLevel="0" collapsed="false">
      <c r="C1275" s="11"/>
      <c r="D1275" s="11"/>
      <c r="E1275" s="11"/>
      <c r="F1275" s="11"/>
      <c r="G1275" s="11"/>
      <c r="H1275" s="11"/>
      <c r="I1275" s="11"/>
      <c r="J1275" s="11"/>
      <c r="K1275" s="11"/>
      <c r="L1275" s="11"/>
      <c r="M1275" s="11"/>
      <c r="N1275" s="44" t="n">
        <v>16.9</v>
      </c>
      <c r="O1275" s="11"/>
    </row>
    <row r="1276" customFormat="false" ht="14.25" hidden="false" customHeight="true" outlineLevel="0" collapsed="false">
      <c r="C1276" s="11"/>
      <c r="D1276" s="11"/>
      <c r="E1276" s="11"/>
      <c r="F1276" s="11"/>
      <c r="G1276" s="11"/>
      <c r="H1276" s="11"/>
      <c r="I1276" s="11"/>
      <c r="J1276" s="11"/>
      <c r="K1276" s="11"/>
      <c r="L1276" s="11"/>
      <c r="M1276" s="11"/>
      <c r="N1276" s="44" t="n">
        <v>17.01</v>
      </c>
      <c r="O1276" s="11"/>
    </row>
    <row r="1277" customFormat="false" ht="14.25" hidden="false" customHeight="true" outlineLevel="0" collapsed="false">
      <c r="C1277" s="11"/>
      <c r="D1277" s="11"/>
      <c r="E1277" s="11"/>
      <c r="F1277" s="11"/>
      <c r="G1277" s="11"/>
      <c r="H1277" s="11"/>
      <c r="I1277" s="11"/>
      <c r="J1277" s="11"/>
      <c r="K1277" s="11"/>
      <c r="L1277" s="11"/>
      <c r="M1277" s="11"/>
      <c r="N1277" s="44" t="n">
        <v>16.79</v>
      </c>
      <c r="O1277" s="11"/>
    </row>
    <row r="1278" customFormat="false" ht="14.25" hidden="false" customHeight="true" outlineLevel="0" collapsed="false">
      <c r="C1278" s="11"/>
      <c r="D1278" s="11"/>
      <c r="E1278" s="11"/>
      <c r="F1278" s="11"/>
      <c r="G1278" s="11"/>
      <c r="H1278" s="11"/>
      <c r="I1278" s="11"/>
      <c r="J1278" s="11"/>
      <c r="K1278" s="11"/>
      <c r="L1278" s="11"/>
      <c r="M1278" s="11"/>
      <c r="N1278" s="44" t="n">
        <v>16.76</v>
      </c>
      <c r="O1278" s="11"/>
    </row>
    <row r="1279" customFormat="false" ht="14.25" hidden="false" customHeight="true" outlineLevel="0" collapsed="false">
      <c r="C1279" s="11"/>
      <c r="D1279" s="11"/>
      <c r="E1279" s="11"/>
      <c r="F1279" s="11"/>
      <c r="G1279" s="11"/>
      <c r="H1279" s="11"/>
      <c r="I1279" s="11"/>
      <c r="J1279" s="11"/>
      <c r="K1279" s="11"/>
      <c r="L1279" s="11"/>
      <c r="M1279" s="11"/>
      <c r="N1279" s="44" t="n">
        <v>15.8</v>
      </c>
      <c r="O1279" s="11"/>
    </row>
    <row r="1280" customFormat="false" ht="14.25" hidden="false" customHeight="true" outlineLevel="0" collapsed="false">
      <c r="C1280" s="11"/>
      <c r="D1280" s="11"/>
      <c r="E1280" s="11"/>
      <c r="F1280" s="11"/>
      <c r="G1280" s="11"/>
      <c r="H1280" s="11"/>
      <c r="I1280" s="11"/>
      <c r="J1280" s="11"/>
      <c r="K1280" s="11"/>
      <c r="L1280" s="11"/>
      <c r="M1280" s="11"/>
      <c r="N1280" s="44" t="n">
        <v>16.24</v>
      </c>
      <c r="O1280" s="11"/>
    </row>
    <row r="1281" customFormat="false" ht="14.25" hidden="false" customHeight="true" outlineLevel="0" collapsed="false">
      <c r="C1281" s="11"/>
      <c r="D1281" s="11"/>
      <c r="E1281" s="11"/>
      <c r="F1281" s="11"/>
      <c r="G1281" s="11"/>
      <c r="H1281" s="11"/>
      <c r="I1281" s="11"/>
      <c r="J1281" s="11"/>
      <c r="K1281" s="11"/>
      <c r="L1281" s="11"/>
      <c r="M1281" s="11"/>
      <c r="N1281" s="44" t="n">
        <v>16.37</v>
      </c>
      <c r="O1281" s="11"/>
    </row>
    <row r="1282" customFormat="false" ht="14.25" hidden="false" customHeight="true" outlineLevel="0" collapsed="false">
      <c r="C1282" s="11"/>
      <c r="D1282" s="11"/>
      <c r="E1282" s="11"/>
      <c r="F1282" s="11"/>
      <c r="G1282" s="11"/>
      <c r="H1282" s="11"/>
      <c r="I1282" s="11"/>
      <c r="J1282" s="11"/>
      <c r="K1282" s="11"/>
      <c r="L1282" s="11"/>
      <c r="M1282" s="11"/>
      <c r="N1282" s="44" t="n">
        <v>16.89</v>
      </c>
      <c r="O1282" s="11"/>
    </row>
    <row r="1283" customFormat="false" ht="14.25" hidden="false" customHeight="true" outlineLevel="0" collapsed="false">
      <c r="C1283" s="11"/>
      <c r="D1283" s="11"/>
      <c r="E1283" s="11"/>
      <c r="F1283" s="11"/>
      <c r="G1283" s="11"/>
      <c r="H1283" s="11"/>
      <c r="I1283" s="11"/>
      <c r="J1283" s="11"/>
      <c r="K1283" s="11"/>
      <c r="L1283" s="11"/>
      <c r="M1283" s="11"/>
      <c r="N1283" s="44" t="n">
        <v>17.62</v>
      </c>
      <c r="O1283" s="11"/>
    </row>
    <row r="1284" customFormat="false" ht="14.25" hidden="false" customHeight="true" outlineLevel="0" collapsed="false">
      <c r="C1284" s="11"/>
      <c r="D1284" s="11"/>
      <c r="E1284" s="11"/>
      <c r="F1284" s="11"/>
      <c r="G1284" s="11"/>
      <c r="H1284" s="11"/>
      <c r="I1284" s="11"/>
      <c r="J1284" s="11"/>
      <c r="K1284" s="11"/>
      <c r="L1284" s="11"/>
      <c r="M1284" s="11"/>
      <c r="N1284" s="44" t="n">
        <v>16.74</v>
      </c>
      <c r="O1284" s="11"/>
    </row>
    <row r="1285" customFormat="false" ht="14.25" hidden="false" customHeight="true" outlineLevel="0" collapsed="false">
      <c r="C1285" s="11"/>
      <c r="D1285" s="11"/>
      <c r="E1285" s="11"/>
      <c r="F1285" s="11"/>
      <c r="G1285" s="11"/>
      <c r="H1285" s="11"/>
      <c r="I1285" s="11"/>
      <c r="J1285" s="11"/>
      <c r="K1285" s="11"/>
      <c r="L1285" s="11"/>
      <c r="M1285" s="11"/>
      <c r="N1285" s="44" t="n">
        <v>17.41</v>
      </c>
      <c r="O1285" s="11"/>
    </row>
    <row r="1286" customFormat="false" ht="14.25" hidden="false" customHeight="true" outlineLevel="0" collapsed="false">
      <c r="C1286" s="11"/>
      <c r="D1286" s="11"/>
      <c r="E1286" s="11"/>
      <c r="F1286" s="11"/>
      <c r="G1286" s="11"/>
      <c r="H1286" s="11"/>
      <c r="I1286" s="11"/>
      <c r="J1286" s="11"/>
      <c r="K1286" s="11"/>
      <c r="L1286" s="11"/>
      <c r="M1286" s="11"/>
      <c r="N1286" s="44" t="n">
        <v>17.3</v>
      </c>
      <c r="O1286" s="11"/>
    </row>
    <row r="1287" customFormat="false" ht="14.25" hidden="false" customHeight="true" outlineLevel="0" collapsed="false">
      <c r="C1287" s="11"/>
      <c r="D1287" s="11"/>
      <c r="E1287" s="11"/>
      <c r="F1287" s="11"/>
      <c r="G1287" s="11"/>
      <c r="H1287" s="11"/>
      <c r="I1287" s="11"/>
      <c r="J1287" s="11"/>
      <c r="K1287" s="11"/>
      <c r="L1287" s="11"/>
      <c r="M1287" s="11"/>
      <c r="N1287" s="44" t="n">
        <v>18.62</v>
      </c>
      <c r="O1287" s="11"/>
    </row>
    <row r="1288" customFormat="false" ht="14.25" hidden="false" customHeight="true" outlineLevel="0" collapsed="false">
      <c r="C1288" s="11"/>
      <c r="D1288" s="11"/>
      <c r="E1288" s="11"/>
      <c r="F1288" s="11"/>
      <c r="G1288" s="11"/>
      <c r="H1288" s="11"/>
      <c r="I1288" s="11"/>
      <c r="J1288" s="11"/>
      <c r="K1288" s="11"/>
      <c r="L1288" s="11"/>
      <c r="M1288" s="11"/>
      <c r="N1288" s="44" t="n">
        <v>19.23</v>
      </c>
      <c r="O1288" s="11"/>
    </row>
    <row r="1289" customFormat="false" ht="14.25" hidden="false" customHeight="true" outlineLevel="0" collapsed="false">
      <c r="C1289" s="11"/>
      <c r="D1289" s="11"/>
      <c r="E1289" s="11"/>
      <c r="F1289" s="11"/>
      <c r="G1289" s="11"/>
      <c r="H1289" s="11"/>
      <c r="I1289" s="11"/>
      <c r="J1289" s="11"/>
      <c r="K1289" s="11"/>
      <c r="L1289" s="11"/>
      <c r="M1289" s="11"/>
      <c r="N1289" s="44" t="n">
        <v>19.19</v>
      </c>
      <c r="O1289" s="11"/>
    </row>
    <row r="1290" customFormat="false" ht="14.25" hidden="false" customHeight="true" outlineLevel="0" collapsed="false">
      <c r="C1290" s="11"/>
      <c r="D1290" s="11"/>
      <c r="E1290" s="11"/>
      <c r="F1290" s="11"/>
      <c r="G1290" s="11"/>
      <c r="H1290" s="11"/>
      <c r="I1290" s="11"/>
      <c r="J1290" s="11"/>
      <c r="K1290" s="11"/>
      <c r="L1290" s="11"/>
      <c r="M1290" s="11"/>
      <c r="N1290" s="44" t="n">
        <v>18.67</v>
      </c>
      <c r="O1290" s="11"/>
    </row>
    <row r="1291" customFormat="false" ht="14.25" hidden="false" customHeight="true" outlineLevel="0" collapsed="false">
      <c r="C1291" s="11"/>
      <c r="D1291" s="11"/>
      <c r="E1291" s="11"/>
      <c r="F1291" s="11"/>
      <c r="G1291" s="11"/>
      <c r="H1291" s="11"/>
      <c r="I1291" s="11"/>
      <c r="J1291" s="11"/>
      <c r="K1291" s="11"/>
      <c r="L1291" s="11"/>
      <c r="M1291" s="11"/>
      <c r="N1291" s="44" t="n">
        <v>19.02</v>
      </c>
      <c r="O1291" s="11"/>
    </row>
    <row r="1292" customFormat="false" ht="14.25" hidden="false" customHeight="true" outlineLevel="0" collapsed="false">
      <c r="C1292" s="11"/>
      <c r="D1292" s="11"/>
      <c r="E1292" s="11"/>
      <c r="F1292" s="11"/>
      <c r="G1292" s="11"/>
      <c r="H1292" s="11"/>
      <c r="I1292" s="11"/>
      <c r="J1292" s="11"/>
      <c r="K1292" s="11"/>
      <c r="L1292" s="11"/>
      <c r="M1292" s="11"/>
      <c r="N1292" s="44" t="n">
        <v>19.74</v>
      </c>
      <c r="O1292" s="11"/>
    </row>
    <row r="1293" customFormat="false" ht="14.25" hidden="false" customHeight="true" outlineLevel="0" collapsed="false">
      <c r="C1293" s="11"/>
      <c r="D1293" s="11"/>
      <c r="E1293" s="11"/>
      <c r="F1293" s="11"/>
      <c r="G1293" s="11"/>
      <c r="H1293" s="11"/>
      <c r="I1293" s="11"/>
      <c r="J1293" s="11"/>
      <c r="K1293" s="11"/>
      <c r="L1293" s="11"/>
      <c r="M1293" s="11"/>
      <c r="N1293" s="44" t="n">
        <v>19.45</v>
      </c>
      <c r="O1293" s="11"/>
    </row>
    <row r="1294" customFormat="false" ht="14.25" hidden="false" customHeight="true" outlineLevel="0" collapsed="false">
      <c r="C1294" s="11"/>
      <c r="D1294" s="11"/>
      <c r="E1294" s="11"/>
      <c r="F1294" s="11"/>
      <c r="G1294" s="11"/>
      <c r="H1294" s="11"/>
      <c r="I1294" s="11"/>
      <c r="J1294" s="11"/>
      <c r="K1294" s="11"/>
      <c r="L1294" s="11"/>
      <c r="M1294" s="11"/>
      <c r="N1294" s="44" t="n">
        <v>19.28</v>
      </c>
      <c r="O1294" s="11"/>
    </row>
    <row r="1295" customFormat="false" ht="14.25" hidden="false" customHeight="true" outlineLevel="0" collapsed="false">
      <c r="C1295" s="11"/>
      <c r="D1295" s="11"/>
      <c r="E1295" s="11"/>
      <c r="F1295" s="11"/>
      <c r="G1295" s="11"/>
      <c r="H1295" s="11"/>
      <c r="I1295" s="11"/>
      <c r="J1295" s="11"/>
      <c r="K1295" s="11"/>
      <c r="L1295" s="11"/>
      <c r="M1295" s="11"/>
      <c r="N1295" s="44" t="n">
        <v>19.38</v>
      </c>
      <c r="O1295" s="11"/>
    </row>
    <row r="1296" customFormat="false" ht="14.25" hidden="false" customHeight="true" outlineLevel="0" collapsed="false">
      <c r="C1296" s="11"/>
      <c r="D1296" s="11"/>
      <c r="E1296" s="11"/>
      <c r="F1296" s="11"/>
      <c r="G1296" s="11"/>
      <c r="H1296" s="11"/>
      <c r="I1296" s="11"/>
      <c r="J1296" s="11"/>
      <c r="K1296" s="11"/>
      <c r="L1296" s="11"/>
      <c r="M1296" s="11"/>
      <c r="N1296" s="44" t="n">
        <v>19.27</v>
      </c>
      <c r="O1296" s="11"/>
    </row>
    <row r="1297" customFormat="false" ht="14.25" hidden="false" customHeight="true" outlineLevel="0" collapsed="false">
      <c r="C1297" s="11"/>
      <c r="D1297" s="11"/>
      <c r="E1297" s="11"/>
      <c r="F1297" s="11"/>
      <c r="G1297" s="11"/>
      <c r="H1297" s="11"/>
      <c r="I1297" s="11"/>
      <c r="J1297" s="11"/>
      <c r="K1297" s="11"/>
      <c r="L1297" s="11"/>
      <c r="M1297" s="11"/>
      <c r="N1297" s="44" t="n">
        <v>20.03</v>
      </c>
      <c r="O1297" s="11"/>
    </row>
    <row r="1298" customFormat="false" ht="14.25" hidden="false" customHeight="true" outlineLevel="0" collapsed="false">
      <c r="C1298" s="11"/>
      <c r="D1298" s="11"/>
      <c r="E1298" s="11"/>
      <c r="F1298" s="11"/>
      <c r="G1298" s="11"/>
      <c r="H1298" s="11"/>
      <c r="I1298" s="11"/>
      <c r="J1298" s="11"/>
      <c r="K1298" s="11"/>
      <c r="L1298" s="11"/>
      <c r="M1298" s="11"/>
      <c r="N1298" s="44" t="n">
        <v>20.25</v>
      </c>
      <c r="O1298" s="11"/>
    </row>
    <row r="1299" customFormat="false" ht="14.25" hidden="false" customHeight="true" outlineLevel="0" collapsed="false">
      <c r="C1299" s="11"/>
      <c r="D1299" s="11"/>
      <c r="E1299" s="11"/>
      <c r="F1299" s="11"/>
      <c r="G1299" s="11"/>
      <c r="H1299" s="11"/>
      <c r="I1299" s="11"/>
      <c r="J1299" s="11"/>
      <c r="K1299" s="11"/>
      <c r="L1299" s="11"/>
      <c r="M1299" s="11"/>
      <c r="N1299" s="44" t="n">
        <v>19.72</v>
      </c>
      <c r="O1299" s="11"/>
    </row>
    <row r="1300" customFormat="false" ht="14.25" hidden="false" customHeight="true" outlineLevel="0" collapsed="false">
      <c r="C1300" s="11"/>
      <c r="D1300" s="11"/>
      <c r="E1300" s="11"/>
      <c r="F1300" s="11"/>
      <c r="G1300" s="11"/>
      <c r="H1300" s="11"/>
      <c r="I1300" s="11"/>
      <c r="J1300" s="11"/>
      <c r="K1300" s="11"/>
      <c r="L1300" s="11"/>
      <c r="M1300" s="11"/>
      <c r="N1300" s="44" t="n">
        <v>19.73</v>
      </c>
      <c r="O1300" s="11"/>
    </row>
    <row r="1301" customFormat="false" ht="14.25" hidden="false" customHeight="true" outlineLevel="0" collapsed="false">
      <c r="C1301" s="11"/>
      <c r="D1301" s="11"/>
      <c r="E1301" s="11"/>
      <c r="F1301" s="11"/>
      <c r="G1301" s="11"/>
      <c r="H1301" s="11"/>
      <c r="I1301" s="11"/>
      <c r="J1301" s="11"/>
      <c r="K1301" s="11"/>
      <c r="L1301" s="11"/>
      <c r="M1301" s="11"/>
      <c r="N1301" s="44" t="n">
        <v>19.75</v>
      </c>
      <c r="O1301" s="11"/>
    </row>
    <row r="1302" customFormat="false" ht="14.25" hidden="false" customHeight="true" outlineLevel="0" collapsed="false">
      <c r="C1302" s="11"/>
      <c r="D1302" s="11"/>
      <c r="E1302" s="11"/>
      <c r="F1302" s="11"/>
      <c r="G1302" s="11"/>
      <c r="H1302" s="11"/>
      <c r="I1302" s="11"/>
      <c r="J1302" s="11"/>
      <c r="K1302" s="11"/>
      <c r="L1302" s="11"/>
      <c r="M1302" s="11"/>
      <c r="N1302" s="44" t="n">
        <v>19.4</v>
      </c>
      <c r="O1302" s="11"/>
    </row>
    <row r="1303" customFormat="false" ht="14.25" hidden="false" customHeight="true" outlineLevel="0" collapsed="false">
      <c r="C1303" s="11"/>
      <c r="D1303" s="11"/>
      <c r="E1303" s="11"/>
      <c r="F1303" s="11"/>
      <c r="G1303" s="11"/>
      <c r="H1303" s="11"/>
      <c r="I1303" s="11"/>
      <c r="J1303" s="11"/>
      <c r="K1303" s="11"/>
      <c r="L1303" s="11"/>
      <c r="M1303" s="11"/>
      <c r="N1303" s="44" t="n">
        <v>19.48</v>
      </c>
      <c r="O1303" s="11"/>
    </row>
    <row r="1304" customFormat="false" ht="14.25" hidden="false" customHeight="true" outlineLevel="0" collapsed="false">
      <c r="C1304" s="11"/>
      <c r="D1304" s="11"/>
      <c r="E1304" s="11"/>
      <c r="F1304" s="11"/>
      <c r="G1304" s="11"/>
      <c r="H1304" s="11"/>
      <c r="I1304" s="11"/>
      <c r="J1304" s="11"/>
      <c r="K1304" s="11"/>
      <c r="L1304" s="11"/>
      <c r="M1304" s="11"/>
      <c r="N1304" s="44" t="n">
        <v>19.88</v>
      </c>
      <c r="O1304" s="11"/>
    </row>
    <row r="1305" customFormat="false" ht="14.25" hidden="false" customHeight="true" outlineLevel="0" collapsed="false">
      <c r="C1305" s="11"/>
      <c r="D1305" s="11"/>
      <c r="E1305" s="11"/>
      <c r="F1305" s="11"/>
      <c r="G1305" s="11"/>
      <c r="H1305" s="11"/>
      <c r="I1305" s="11"/>
      <c r="J1305" s="11"/>
      <c r="K1305" s="11"/>
      <c r="L1305" s="11"/>
      <c r="M1305" s="11"/>
      <c r="N1305" s="44" t="n">
        <v>19.91</v>
      </c>
      <c r="O1305" s="11"/>
    </row>
    <row r="1306" customFormat="false" ht="14.25" hidden="false" customHeight="true" outlineLevel="0" collapsed="false">
      <c r="C1306" s="11"/>
      <c r="D1306" s="11"/>
      <c r="E1306" s="11"/>
      <c r="F1306" s="11"/>
      <c r="G1306" s="11"/>
      <c r="H1306" s="11"/>
      <c r="I1306" s="11"/>
      <c r="J1306" s="11"/>
      <c r="K1306" s="11"/>
      <c r="L1306" s="11"/>
      <c r="M1306" s="11"/>
      <c r="N1306" s="44" t="n">
        <v>20.67</v>
      </c>
      <c r="O1306" s="11"/>
    </row>
    <row r="1307" customFormat="false" ht="14.25" hidden="false" customHeight="true" outlineLevel="0" collapsed="false">
      <c r="C1307" s="11"/>
      <c r="D1307" s="11"/>
      <c r="E1307" s="11"/>
      <c r="F1307" s="11"/>
      <c r="G1307" s="11"/>
      <c r="H1307" s="11"/>
      <c r="I1307" s="11"/>
      <c r="J1307" s="11"/>
      <c r="K1307" s="11"/>
      <c r="L1307" s="11"/>
      <c r="M1307" s="11"/>
      <c r="N1307" s="44" t="n">
        <v>21.09</v>
      </c>
      <c r="O1307" s="11"/>
    </row>
    <row r="1308" customFormat="false" ht="14.25" hidden="false" customHeight="true" outlineLevel="0" collapsed="false">
      <c r="C1308" s="11"/>
      <c r="D1308" s="11"/>
      <c r="E1308" s="11"/>
      <c r="F1308" s="11"/>
      <c r="G1308" s="11"/>
      <c r="H1308" s="11"/>
      <c r="I1308" s="11"/>
      <c r="J1308" s="11"/>
      <c r="K1308" s="11"/>
      <c r="L1308" s="11"/>
      <c r="M1308" s="11"/>
      <c r="N1308" s="44" t="n">
        <v>21.13</v>
      </c>
      <c r="O1308" s="11"/>
    </row>
    <row r="1309" customFormat="false" ht="14.25" hidden="false" customHeight="true" outlineLevel="0" collapsed="false">
      <c r="C1309" s="11"/>
      <c r="D1309" s="11"/>
      <c r="E1309" s="11"/>
      <c r="F1309" s="11"/>
      <c r="G1309" s="11"/>
      <c r="H1309" s="11"/>
      <c r="I1309" s="11"/>
      <c r="J1309" s="11"/>
      <c r="K1309" s="11"/>
      <c r="L1309" s="11"/>
      <c r="M1309" s="11"/>
      <c r="N1309" s="44" t="n">
        <v>20.99</v>
      </c>
      <c r="O1309" s="11"/>
    </row>
    <row r="1310" customFormat="false" ht="14.25" hidden="false" customHeight="true" outlineLevel="0" collapsed="false">
      <c r="C1310" s="11"/>
      <c r="D1310" s="11"/>
      <c r="E1310" s="11"/>
      <c r="F1310" s="11"/>
      <c r="G1310" s="11"/>
      <c r="H1310" s="11"/>
      <c r="I1310" s="11"/>
      <c r="J1310" s="11"/>
      <c r="K1310" s="11"/>
      <c r="L1310" s="11"/>
      <c r="M1310" s="11"/>
      <c r="N1310" s="44" t="n">
        <v>20.83</v>
      </c>
      <c r="O1310" s="11"/>
    </row>
    <row r="1311" customFormat="false" ht="14.25" hidden="false" customHeight="true" outlineLevel="0" collapsed="false">
      <c r="C1311" s="11"/>
      <c r="D1311" s="11"/>
      <c r="E1311" s="11"/>
      <c r="F1311" s="11"/>
      <c r="G1311" s="11"/>
      <c r="H1311" s="11"/>
      <c r="I1311" s="11"/>
      <c r="J1311" s="11"/>
      <c r="K1311" s="11"/>
      <c r="L1311" s="11"/>
      <c r="M1311" s="11"/>
      <c r="N1311" s="44" t="n">
        <v>20.79</v>
      </c>
      <c r="O1311" s="11"/>
    </row>
    <row r="1312" customFormat="false" ht="14.25" hidden="false" customHeight="true" outlineLevel="0" collapsed="false">
      <c r="C1312" s="11"/>
      <c r="D1312" s="11"/>
      <c r="E1312" s="11"/>
      <c r="F1312" s="11"/>
      <c r="G1312" s="11"/>
      <c r="H1312" s="11"/>
      <c r="I1312" s="11"/>
      <c r="J1312" s="11"/>
      <c r="K1312" s="11"/>
      <c r="L1312" s="11"/>
      <c r="M1312" s="11"/>
      <c r="N1312" s="44" t="n">
        <v>20.37</v>
      </c>
      <c r="O1312" s="11"/>
    </row>
    <row r="1313" customFormat="false" ht="14.25" hidden="false" customHeight="true" outlineLevel="0" collapsed="false">
      <c r="C1313" s="11"/>
      <c r="D1313" s="11"/>
      <c r="E1313" s="11"/>
      <c r="F1313" s="11"/>
      <c r="G1313" s="11"/>
      <c r="H1313" s="11"/>
      <c r="I1313" s="11"/>
      <c r="J1313" s="11"/>
      <c r="K1313" s="11"/>
      <c r="L1313" s="11"/>
      <c r="M1313" s="11"/>
      <c r="N1313" s="44" t="n">
        <v>20.54</v>
      </c>
      <c r="O1313" s="11"/>
    </row>
    <row r="1314" customFormat="false" ht="14.25" hidden="false" customHeight="true" outlineLevel="0" collapsed="false">
      <c r="C1314" s="11"/>
      <c r="D1314" s="11"/>
      <c r="E1314" s="11"/>
      <c r="F1314" s="11"/>
      <c r="G1314" s="11"/>
      <c r="H1314" s="11"/>
      <c r="I1314" s="11"/>
      <c r="J1314" s="11"/>
      <c r="K1314" s="11"/>
      <c r="L1314" s="11"/>
      <c r="M1314" s="11"/>
      <c r="N1314" s="44" t="n">
        <v>20.39</v>
      </c>
      <c r="O1314" s="11"/>
    </row>
    <row r="1315" customFormat="false" ht="14.25" hidden="false" customHeight="true" outlineLevel="0" collapsed="false">
      <c r="C1315" s="11"/>
      <c r="D1315" s="11"/>
      <c r="E1315" s="11"/>
      <c r="F1315" s="11"/>
      <c r="G1315" s="11"/>
      <c r="H1315" s="11"/>
      <c r="I1315" s="11"/>
      <c r="J1315" s="11"/>
      <c r="K1315" s="11"/>
      <c r="L1315" s="11"/>
      <c r="M1315" s="11"/>
      <c r="N1315" s="44" t="n">
        <v>20.45</v>
      </c>
      <c r="O1315" s="11"/>
    </row>
    <row r="1316" customFormat="false" ht="14.25" hidden="false" customHeight="true" outlineLevel="0" collapsed="false">
      <c r="C1316" s="11"/>
      <c r="D1316" s="11"/>
      <c r="E1316" s="11"/>
      <c r="F1316" s="11"/>
      <c r="G1316" s="11"/>
      <c r="H1316" s="11"/>
      <c r="I1316" s="11"/>
      <c r="J1316" s="11"/>
      <c r="K1316" s="11"/>
      <c r="L1316" s="11"/>
      <c r="M1316" s="11"/>
      <c r="N1316" s="44" t="n">
        <v>20.37</v>
      </c>
      <c r="O1316" s="11"/>
    </row>
    <row r="1317" customFormat="false" ht="14.25" hidden="false" customHeight="true" outlineLevel="0" collapsed="false">
      <c r="C1317" s="11"/>
      <c r="D1317" s="11"/>
      <c r="E1317" s="11"/>
      <c r="F1317" s="11"/>
      <c r="G1317" s="11"/>
      <c r="H1317" s="11"/>
      <c r="I1317" s="11"/>
      <c r="J1317" s="11"/>
      <c r="K1317" s="11"/>
      <c r="L1317" s="11"/>
      <c r="M1317" s="11"/>
      <c r="N1317" s="44" t="n">
        <v>20.44</v>
      </c>
      <c r="O1317" s="11"/>
    </row>
    <row r="1318" customFormat="false" ht="14.25" hidden="false" customHeight="true" outlineLevel="0" collapsed="false">
      <c r="C1318" s="11"/>
      <c r="D1318" s="11"/>
      <c r="E1318" s="11"/>
      <c r="F1318" s="11"/>
      <c r="G1318" s="11"/>
      <c r="H1318" s="11"/>
      <c r="I1318" s="11"/>
      <c r="J1318" s="11"/>
      <c r="K1318" s="11"/>
      <c r="L1318" s="11"/>
      <c r="M1318" s="11"/>
      <c r="N1318" s="44" t="n">
        <v>20.47</v>
      </c>
      <c r="O1318" s="11"/>
    </row>
    <row r="1319" customFormat="false" ht="14.25" hidden="false" customHeight="true" outlineLevel="0" collapsed="false">
      <c r="C1319" s="11"/>
      <c r="D1319" s="11"/>
      <c r="E1319" s="11"/>
      <c r="F1319" s="11"/>
      <c r="G1319" s="11"/>
      <c r="H1319" s="11"/>
      <c r="I1319" s="11"/>
      <c r="J1319" s="11"/>
      <c r="K1319" s="11"/>
      <c r="L1319" s="11"/>
      <c r="M1319" s="11"/>
      <c r="N1319" s="44" t="n">
        <v>20.7</v>
      </c>
      <c r="O1319" s="11"/>
    </row>
    <row r="1320" customFormat="false" ht="14.25" hidden="false" customHeight="true" outlineLevel="0" collapsed="false">
      <c r="C1320" s="11"/>
      <c r="D1320" s="11"/>
      <c r="E1320" s="11"/>
      <c r="F1320" s="11"/>
      <c r="G1320" s="11"/>
      <c r="H1320" s="11"/>
      <c r="I1320" s="11"/>
      <c r="J1320" s="11"/>
      <c r="K1320" s="11"/>
      <c r="L1320" s="11"/>
      <c r="M1320" s="11"/>
      <c r="N1320" s="44" t="n">
        <v>20.77</v>
      </c>
      <c r="O1320" s="11"/>
    </row>
    <row r="1321" customFormat="false" ht="14.25" hidden="false" customHeight="true" outlineLevel="0" collapsed="false">
      <c r="C1321" s="11"/>
      <c r="D1321" s="11"/>
      <c r="E1321" s="11"/>
      <c r="F1321" s="11"/>
      <c r="G1321" s="11"/>
      <c r="H1321" s="11"/>
      <c r="I1321" s="11"/>
      <c r="J1321" s="11"/>
      <c r="K1321" s="11"/>
      <c r="L1321" s="11"/>
      <c r="M1321" s="11"/>
      <c r="N1321" s="44" t="n">
        <v>20.78</v>
      </c>
      <c r="O1321" s="11"/>
    </row>
    <row r="1322" customFormat="false" ht="14.25" hidden="false" customHeight="true" outlineLevel="0" collapsed="false">
      <c r="C1322" s="11"/>
      <c r="D1322" s="11"/>
      <c r="E1322" s="11"/>
      <c r="F1322" s="11"/>
      <c r="G1322" s="11"/>
      <c r="H1322" s="11"/>
      <c r="I1322" s="11"/>
      <c r="J1322" s="11"/>
      <c r="K1322" s="11"/>
      <c r="L1322" s="11"/>
      <c r="M1322" s="11"/>
      <c r="N1322" s="44" t="n">
        <v>20.91</v>
      </c>
      <c r="O1322" s="11"/>
    </row>
    <row r="1323" customFormat="false" ht="14.25" hidden="false" customHeight="true" outlineLevel="0" collapsed="false">
      <c r="C1323" s="11"/>
      <c r="D1323" s="11"/>
      <c r="E1323" s="11"/>
      <c r="F1323" s="11"/>
      <c r="G1323" s="11"/>
      <c r="H1323" s="11"/>
      <c r="I1323" s="11"/>
      <c r="J1323" s="11"/>
      <c r="K1323" s="11"/>
      <c r="L1323" s="11"/>
      <c r="M1323" s="11"/>
      <c r="N1323" s="44" t="n">
        <v>20.59</v>
      </c>
      <c r="O1323" s="11"/>
    </row>
    <row r="1324" customFormat="false" ht="14.25" hidden="false" customHeight="true" outlineLevel="0" collapsed="false">
      <c r="C1324" s="11"/>
      <c r="D1324" s="11"/>
      <c r="E1324" s="11"/>
      <c r="F1324" s="11"/>
      <c r="G1324" s="11"/>
      <c r="H1324" s="11"/>
      <c r="I1324" s="11"/>
      <c r="J1324" s="11"/>
      <c r="K1324" s="11"/>
      <c r="L1324" s="11"/>
      <c r="M1324" s="11"/>
      <c r="N1324" s="44" t="n">
        <v>20.79</v>
      </c>
      <c r="O1324" s="11"/>
    </row>
    <row r="1325" customFormat="false" ht="14.25" hidden="false" customHeight="true" outlineLevel="0" collapsed="false">
      <c r="C1325" s="11"/>
      <c r="D1325" s="11"/>
      <c r="E1325" s="11"/>
      <c r="F1325" s="11"/>
      <c r="G1325" s="11"/>
      <c r="H1325" s="11"/>
      <c r="I1325" s="11"/>
      <c r="J1325" s="11"/>
      <c r="K1325" s="11"/>
      <c r="L1325" s="11"/>
      <c r="M1325" s="11"/>
      <c r="N1325" s="44" t="n">
        <v>20.55</v>
      </c>
      <c r="O1325" s="11"/>
    </row>
    <row r="1326" customFormat="false" ht="14.25" hidden="false" customHeight="true" outlineLevel="0" collapsed="false">
      <c r="C1326" s="11"/>
      <c r="D1326" s="11"/>
      <c r="E1326" s="11"/>
      <c r="F1326" s="11"/>
      <c r="G1326" s="11"/>
      <c r="H1326" s="11"/>
      <c r="I1326" s="11"/>
      <c r="J1326" s="11"/>
      <c r="K1326" s="11"/>
      <c r="L1326" s="11"/>
      <c r="M1326" s="11"/>
      <c r="N1326" s="44" t="n">
        <v>20.54</v>
      </c>
      <c r="O1326" s="11"/>
    </row>
    <row r="1327" customFormat="false" ht="14.25" hidden="false" customHeight="true" outlineLevel="0" collapsed="false">
      <c r="C1327" s="11"/>
      <c r="D1327" s="11"/>
      <c r="E1327" s="11"/>
      <c r="F1327" s="11"/>
      <c r="G1327" s="11"/>
      <c r="H1327" s="11"/>
      <c r="I1327" s="11"/>
      <c r="J1327" s="11"/>
      <c r="K1327" s="11"/>
      <c r="L1327" s="11"/>
      <c r="M1327" s="11"/>
      <c r="N1327" s="44" t="n">
        <v>20.16</v>
      </c>
      <c r="O1327" s="11"/>
    </row>
    <row r="1328" customFormat="false" ht="14.25" hidden="false" customHeight="true" outlineLevel="0" collapsed="false">
      <c r="C1328" s="11"/>
      <c r="D1328" s="11"/>
      <c r="E1328" s="11"/>
      <c r="F1328" s="11"/>
      <c r="G1328" s="11"/>
      <c r="H1328" s="11"/>
      <c r="I1328" s="11"/>
      <c r="J1328" s="11"/>
      <c r="K1328" s="11"/>
      <c r="L1328" s="11"/>
      <c r="M1328" s="11"/>
      <c r="N1328" s="44" t="n">
        <v>20.36</v>
      </c>
      <c r="O1328" s="11"/>
    </row>
    <row r="1329" customFormat="false" ht="14.25" hidden="false" customHeight="true" outlineLevel="0" collapsed="false">
      <c r="C1329" s="11"/>
      <c r="D1329" s="11"/>
      <c r="E1329" s="11"/>
      <c r="F1329" s="11"/>
      <c r="G1329" s="11"/>
      <c r="H1329" s="11"/>
      <c r="I1329" s="11"/>
      <c r="J1329" s="11"/>
      <c r="K1329" s="11"/>
      <c r="L1329" s="11"/>
      <c r="M1329" s="11"/>
      <c r="N1329" s="44" t="n">
        <v>21.26</v>
      </c>
      <c r="O1329" s="11"/>
    </row>
    <row r="1330" customFormat="false" ht="14.25" hidden="false" customHeight="true" outlineLevel="0" collapsed="false">
      <c r="C1330" s="11"/>
      <c r="D1330" s="11"/>
      <c r="E1330" s="11"/>
      <c r="F1330" s="11"/>
      <c r="G1330" s="11"/>
      <c r="H1330" s="11"/>
      <c r="I1330" s="11"/>
      <c r="J1330" s="11"/>
      <c r="K1330" s="11"/>
      <c r="L1330" s="11"/>
      <c r="M1330" s="11"/>
      <c r="N1330" s="44" t="n">
        <v>21.45</v>
      </c>
      <c r="O1330" s="11"/>
    </row>
    <row r="1331" customFormat="false" ht="14.25" hidden="false" customHeight="true" outlineLevel="0" collapsed="false">
      <c r="C1331" s="11"/>
      <c r="D1331" s="11"/>
      <c r="E1331" s="11"/>
      <c r="F1331" s="11"/>
      <c r="G1331" s="11"/>
      <c r="H1331" s="11"/>
      <c r="I1331" s="11"/>
      <c r="J1331" s="11"/>
      <c r="K1331" s="11"/>
      <c r="L1331" s="11"/>
      <c r="M1331" s="11"/>
      <c r="N1331" s="44" t="n">
        <v>21.39</v>
      </c>
      <c r="O1331" s="11"/>
    </row>
    <row r="1332" customFormat="false" ht="14.25" hidden="false" customHeight="true" outlineLevel="0" collapsed="false">
      <c r="C1332" s="11"/>
      <c r="D1332" s="11"/>
      <c r="E1332" s="11"/>
      <c r="F1332" s="11"/>
      <c r="G1332" s="11"/>
      <c r="H1332" s="11"/>
      <c r="I1332" s="11"/>
      <c r="J1332" s="11"/>
      <c r="K1332" s="11"/>
      <c r="L1332" s="11"/>
      <c r="M1332" s="11"/>
      <c r="N1332" s="44" t="n">
        <v>21.5</v>
      </c>
      <c r="O1332" s="11"/>
    </row>
    <row r="1333" customFormat="false" ht="14.25" hidden="false" customHeight="true" outlineLevel="0" collapsed="false">
      <c r="C1333" s="11"/>
      <c r="D1333" s="11"/>
      <c r="E1333" s="11"/>
      <c r="F1333" s="11"/>
      <c r="G1333" s="11"/>
      <c r="H1333" s="11"/>
      <c r="I1333" s="11"/>
      <c r="J1333" s="11"/>
      <c r="K1333" s="11"/>
      <c r="L1333" s="11"/>
      <c r="M1333" s="11"/>
      <c r="N1333" s="44" t="n">
        <v>21.98</v>
      </c>
      <c r="O1333" s="11"/>
    </row>
    <row r="1334" customFormat="false" ht="14.25" hidden="false" customHeight="true" outlineLevel="0" collapsed="false">
      <c r="C1334" s="11"/>
      <c r="D1334" s="11"/>
      <c r="E1334" s="11"/>
      <c r="F1334" s="11"/>
      <c r="G1334" s="11"/>
      <c r="H1334" s="11"/>
      <c r="I1334" s="11"/>
      <c r="J1334" s="11"/>
      <c r="K1334" s="11"/>
      <c r="L1334" s="11"/>
      <c r="M1334" s="11"/>
      <c r="N1334" s="44" t="n">
        <v>21.44</v>
      </c>
      <c r="O1334" s="11"/>
    </row>
    <row r="1335" customFormat="false" ht="14.25" hidden="false" customHeight="true" outlineLevel="0" collapsed="false">
      <c r="C1335" s="11"/>
      <c r="D1335" s="11"/>
      <c r="E1335" s="11"/>
      <c r="F1335" s="11"/>
      <c r="G1335" s="11"/>
      <c r="H1335" s="11"/>
      <c r="I1335" s="11"/>
      <c r="J1335" s="11"/>
      <c r="K1335" s="11"/>
      <c r="L1335" s="11"/>
      <c r="M1335" s="11"/>
      <c r="N1335" s="44" t="n">
        <v>21.67</v>
      </c>
      <c r="O1335" s="11"/>
    </row>
    <row r="1336" customFormat="false" ht="14.25" hidden="false" customHeight="true" outlineLevel="0" collapsed="false">
      <c r="C1336" s="11"/>
      <c r="D1336" s="11"/>
      <c r="E1336" s="11"/>
      <c r="F1336" s="11"/>
      <c r="G1336" s="11"/>
      <c r="H1336" s="11"/>
      <c r="I1336" s="11"/>
      <c r="J1336" s="11"/>
      <c r="K1336" s="11"/>
      <c r="L1336" s="11"/>
      <c r="M1336" s="11"/>
      <c r="N1336" s="44" t="n">
        <v>21.82</v>
      </c>
      <c r="O1336" s="11"/>
    </row>
    <row r="1337" customFormat="false" ht="14.25" hidden="false" customHeight="true" outlineLevel="0" collapsed="false">
      <c r="C1337" s="11"/>
      <c r="D1337" s="11"/>
      <c r="E1337" s="11"/>
      <c r="F1337" s="11"/>
      <c r="G1337" s="11"/>
      <c r="H1337" s="11"/>
      <c r="I1337" s="11"/>
      <c r="J1337" s="11"/>
      <c r="K1337" s="11"/>
      <c r="L1337" s="11"/>
      <c r="M1337" s="11"/>
      <c r="N1337" s="44" t="n">
        <v>21.79</v>
      </c>
      <c r="O1337" s="11"/>
    </row>
    <row r="1338" customFormat="false" ht="14.25" hidden="false" customHeight="true" outlineLevel="0" collapsed="false">
      <c r="C1338" s="11"/>
      <c r="D1338" s="11"/>
      <c r="E1338" s="11"/>
      <c r="F1338" s="11"/>
      <c r="G1338" s="11"/>
      <c r="H1338" s="11"/>
      <c r="I1338" s="11"/>
      <c r="J1338" s="11"/>
      <c r="K1338" s="11"/>
      <c r="L1338" s="11"/>
      <c r="M1338" s="11"/>
      <c r="N1338" s="44" t="n">
        <v>21.93</v>
      </c>
      <c r="O1338" s="11"/>
    </row>
    <row r="1339" customFormat="false" ht="14.25" hidden="false" customHeight="true" outlineLevel="0" collapsed="false">
      <c r="C1339" s="11"/>
      <c r="D1339" s="11"/>
      <c r="E1339" s="11"/>
      <c r="F1339" s="11"/>
      <c r="G1339" s="11"/>
      <c r="H1339" s="11"/>
      <c r="I1339" s="11"/>
      <c r="J1339" s="11"/>
      <c r="K1339" s="11"/>
      <c r="L1339" s="11"/>
      <c r="M1339" s="11"/>
      <c r="N1339" s="44" t="n">
        <v>21.7</v>
      </c>
      <c r="O1339" s="11"/>
    </row>
    <row r="1340" customFormat="false" ht="14.25" hidden="false" customHeight="true" outlineLevel="0" collapsed="false">
      <c r="C1340" s="11"/>
      <c r="D1340" s="11"/>
      <c r="E1340" s="11"/>
      <c r="F1340" s="11"/>
      <c r="G1340" s="11"/>
      <c r="H1340" s="11"/>
      <c r="I1340" s="11"/>
      <c r="J1340" s="11"/>
      <c r="K1340" s="11"/>
      <c r="L1340" s="11"/>
      <c r="M1340" s="11"/>
      <c r="N1340" s="44" t="n">
        <v>21.08</v>
      </c>
      <c r="O1340" s="11"/>
    </row>
    <row r="1341" customFormat="false" ht="14.25" hidden="false" customHeight="true" outlineLevel="0" collapsed="false">
      <c r="C1341" s="11"/>
      <c r="D1341" s="11"/>
      <c r="E1341" s="11"/>
      <c r="F1341" s="11"/>
      <c r="G1341" s="11"/>
      <c r="H1341" s="11"/>
      <c r="I1341" s="11"/>
      <c r="J1341" s="11"/>
      <c r="K1341" s="11"/>
      <c r="L1341" s="11"/>
      <c r="M1341" s="11"/>
      <c r="N1341" s="44" t="n">
        <v>21.15</v>
      </c>
      <c r="O1341" s="11"/>
    </row>
    <row r="1342" customFormat="false" ht="14.25" hidden="false" customHeight="true" outlineLevel="0" collapsed="false">
      <c r="C1342" s="11"/>
      <c r="D1342" s="11"/>
      <c r="E1342" s="11"/>
      <c r="F1342" s="11"/>
      <c r="G1342" s="11"/>
      <c r="H1342" s="11"/>
      <c r="I1342" s="11"/>
      <c r="J1342" s="11"/>
      <c r="K1342" s="11"/>
      <c r="L1342" s="11"/>
      <c r="M1342" s="11"/>
      <c r="N1342" s="44" t="n">
        <v>21.43</v>
      </c>
      <c r="O1342" s="11"/>
    </row>
    <row r="1343" customFormat="false" ht="14.25" hidden="false" customHeight="true" outlineLevel="0" collapsed="false">
      <c r="C1343" s="11"/>
      <c r="D1343" s="11"/>
      <c r="E1343" s="11"/>
      <c r="F1343" s="11"/>
      <c r="G1343" s="11"/>
      <c r="H1343" s="11"/>
      <c r="I1343" s="11"/>
      <c r="J1343" s="11"/>
      <c r="K1343" s="11"/>
      <c r="L1343" s="11"/>
      <c r="M1343" s="11"/>
      <c r="N1343" s="44" t="n">
        <v>21.32</v>
      </c>
      <c r="O1343" s="11"/>
    </row>
    <row r="1344" customFormat="false" ht="14.25" hidden="false" customHeight="true" outlineLevel="0" collapsed="false">
      <c r="C1344" s="11"/>
      <c r="D1344" s="11"/>
      <c r="E1344" s="11"/>
      <c r="F1344" s="11"/>
      <c r="G1344" s="11"/>
      <c r="H1344" s="11"/>
      <c r="I1344" s="11"/>
      <c r="J1344" s="11"/>
      <c r="K1344" s="11"/>
      <c r="L1344" s="11"/>
      <c r="M1344" s="11"/>
      <c r="N1344" s="44" t="n">
        <v>21.91</v>
      </c>
      <c r="O1344" s="11"/>
    </row>
    <row r="1345" customFormat="false" ht="14.25" hidden="false" customHeight="true" outlineLevel="0" collapsed="false">
      <c r="C1345" s="11"/>
      <c r="D1345" s="11"/>
      <c r="E1345" s="11"/>
      <c r="F1345" s="11"/>
      <c r="G1345" s="11"/>
      <c r="H1345" s="11"/>
      <c r="I1345" s="11"/>
      <c r="J1345" s="11"/>
      <c r="K1345" s="11"/>
      <c r="L1345" s="11"/>
      <c r="M1345" s="11"/>
      <c r="N1345" s="44" t="n">
        <v>20.52</v>
      </c>
      <c r="O1345" s="11"/>
    </row>
    <row r="1346" customFormat="false" ht="14.25" hidden="false" customHeight="true" outlineLevel="0" collapsed="false">
      <c r="C1346" s="11"/>
      <c r="D1346" s="11"/>
      <c r="E1346" s="11"/>
      <c r="F1346" s="11"/>
      <c r="G1346" s="11"/>
      <c r="H1346" s="11"/>
      <c r="I1346" s="11"/>
      <c r="J1346" s="11"/>
      <c r="K1346" s="11"/>
      <c r="L1346" s="11"/>
      <c r="M1346" s="11"/>
      <c r="N1346" s="44" t="n">
        <v>22.2</v>
      </c>
      <c r="O1346" s="11"/>
    </row>
    <row r="1347" customFormat="false" ht="14.25" hidden="false" customHeight="true" outlineLevel="0" collapsed="false">
      <c r="C1347" s="11"/>
      <c r="D1347" s="11"/>
      <c r="E1347" s="11"/>
      <c r="F1347" s="11"/>
      <c r="G1347" s="11"/>
      <c r="H1347" s="11"/>
      <c r="I1347" s="11"/>
      <c r="J1347" s="11"/>
      <c r="K1347" s="11"/>
      <c r="L1347" s="11"/>
      <c r="M1347" s="11"/>
      <c r="N1347" s="44" t="n">
        <v>22.09</v>
      </c>
      <c r="O1347" s="11"/>
    </row>
    <row r="1348" customFormat="false" ht="14.25" hidden="false" customHeight="true" outlineLevel="0" collapsed="false">
      <c r="C1348" s="11"/>
      <c r="D1348" s="11"/>
      <c r="E1348" s="11"/>
      <c r="F1348" s="11"/>
      <c r="G1348" s="11"/>
      <c r="H1348" s="11"/>
      <c r="I1348" s="11"/>
      <c r="J1348" s="11"/>
      <c r="K1348" s="11"/>
      <c r="L1348" s="11"/>
      <c r="M1348" s="11"/>
      <c r="N1348" s="44" t="n">
        <v>22.06</v>
      </c>
      <c r="O1348" s="11"/>
    </row>
    <row r="1349" customFormat="false" ht="14.25" hidden="false" customHeight="true" outlineLevel="0" collapsed="false">
      <c r="C1349" s="11"/>
      <c r="D1349" s="11"/>
      <c r="E1349" s="11"/>
      <c r="F1349" s="11"/>
      <c r="G1349" s="11"/>
      <c r="H1349" s="11"/>
      <c r="I1349" s="11"/>
      <c r="J1349" s="11"/>
      <c r="K1349" s="11"/>
      <c r="L1349" s="11"/>
      <c r="M1349" s="11"/>
      <c r="N1349" s="44" t="n">
        <v>22</v>
      </c>
      <c r="O1349" s="11"/>
    </row>
    <row r="1350" customFormat="false" ht="14.25" hidden="false" customHeight="true" outlineLevel="0" collapsed="false">
      <c r="C1350" s="11"/>
      <c r="D1350" s="11"/>
      <c r="E1350" s="11"/>
      <c r="F1350" s="11"/>
      <c r="G1350" s="11"/>
      <c r="H1350" s="11"/>
      <c r="I1350" s="11"/>
      <c r="J1350" s="11"/>
      <c r="K1350" s="11"/>
      <c r="L1350" s="11"/>
      <c r="M1350" s="11"/>
      <c r="N1350" s="44" t="n">
        <v>22.32</v>
      </c>
      <c r="O1350" s="11"/>
    </row>
    <row r="1351" customFormat="false" ht="14.25" hidden="false" customHeight="true" outlineLevel="0" collapsed="false">
      <c r="C1351" s="11"/>
      <c r="D1351" s="11"/>
      <c r="E1351" s="11"/>
      <c r="F1351" s="11"/>
      <c r="G1351" s="11"/>
      <c r="H1351" s="11"/>
      <c r="I1351" s="11"/>
      <c r="J1351" s="11"/>
      <c r="K1351" s="11"/>
      <c r="L1351" s="11"/>
      <c r="M1351" s="11"/>
      <c r="N1351" s="44" t="n">
        <v>22.8</v>
      </c>
      <c r="O1351" s="11"/>
    </row>
    <row r="1352" customFormat="false" ht="14.25" hidden="false" customHeight="true" outlineLevel="0" collapsed="false">
      <c r="C1352" s="11"/>
      <c r="D1352" s="11"/>
      <c r="E1352" s="11"/>
      <c r="F1352" s="11"/>
      <c r="G1352" s="11"/>
      <c r="H1352" s="11"/>
      <c r="I1352" s="11"/>
      <c r="J1352" s="11"/>
      <c r="K1352" s="11"/>
      <c r="L1352" s="11"/>
      <c r="M1352" s="11"/>
      <c r="N1352" s="44" t="n">
        <v>23.22</v>
      </c>
      <c r="O1352" s="11"/>
    </row>
    <row r="1353" customFormat="false" ht="14.25" hidden="false" customHeight="true" outlineLevel="0" collapsed="false">
      <c r="C1353" s="11"/>
      <c r="D1353" s="11"/>
      <c r="E1353" s="11"/>
      <c r="F1353" s="11"/>
      <c r="G1353" s="11"/>
      <c r="H1353" s="11"/>
      <c r="I1353" s="11"/>
      <c r="J1353" s="11"/>
      <c r="K1353" s="11"/>
      <c r="L1353" s="11"/>
      <c r="M1353" s="11"/>
      <c r="N1353" s="44" t="n">
        <v>23.17</v>
      </c>
      <c r="O1353" s="11"/>
    </row>
    <row r="1354" customFormat="false" ht="14.25" hidden="false" customHeight="true" outlineLevel="0" collapsed="false">
      <c r="C1354" s="11"/>
      <c r="D1354" s="11"/>
      <c r="E1354" s="11"/>
      <c r="F1354" s="11"/>
      <c r="G1354" s="11"/>
      <c r="H1354" s="11"/>
      <c r="I1354" s="11"/>
      <c r="J1354" s="11"/>
      <c r="K1354" s="11"/>
      <c r="L1354" s="11"/>
      <c r="M1354" s="11"/>
      <c r="N1354" s="44" t="n">
        <v>22.96</v>
      </c>
      <c r="O1354" s="11"/>
    </row>
    <row r="1355" customFormat="false" ht="14.25" hidden="false" customHeight="true" outlineLevel="0" collapsed="false">
      <c r="C1355" s="11"/>
      <c r="D1355" s="11"/>
      <c r="E1355" s="11"/>
      <c r="F1355" s="11"/>
      <c r="G1355" s="11"/>
      <c r="H1355" s="11"/>
      <c r="I1355" s="11"/>
      <c r="J1355" s="11"/>
      <c r="K1355" s="11"/>
      <c r="L1355" s="11"/>
      <c r="M1355" s="11"/>
      <c r="N1355" s="44" t="n">
        <v>23.03</v>
      </c>
      <c r="O1355" s="11"/>
    </row>
    <row r="1356" customFormat="false" ht="14.25" hidden="false" customHeight="true" outlineLevel="0" collapsed="false">
      <c r="C1356" s="11"/>
      <c r="D1356" s="11"/>
      <c r="E1356" s="11"/>
      <c r="F1356" s="11"/>
      <c r="G1356" s="11"/>
      <c r="H1356" s="11"/>
      <c r="I1356" s="11"/>
      <c r="J1356" s="11"/>
      <c r="K1356" s="11"/>
      <c r="L1356" s="11"/>
      <c r="M1356" s="11"/>
      <c r="N1356" s="44" t="n">
        <v>23.44</v>
      </c>
      <c r="O1356" s="11"/>
    </row>
    <row r="1357" customFormat="false" ht="14.25" hidden="false" customHeight="true" outlineLevel="0" collapsed="false">
      <c r="C1357" s="11"/>
      <c r="D1357" s="11"/>
      <c r="E1357" s="11"/>
      <c r="F1357" s="11"/>
      <c r="G1357" s="11"/>
      <c r="H1357" s="11"/>
      <c r="I1357" s="11"/>
      <c r="J1357" s="11"/>
      <c r="K1357" s="11"/>
      <c r="L1357" s="11"/>
      <c r="M1357" s="11"/>
      <c r="N1357" s="44" t="n">
        <v>23.41</v>
      </c>
      <c r="O1357" s="11"/>
    </row>
    <row r="1358" customFormat="false" ht="14.25" hidden="false" customHeight="true" outlineLevel="0" collapsed="false">
      <c r="C1358" s="11"/>
      <c r="D1358" s="11"/>
      <c r="E1358" s="11"/>
      <c r="F1358" s="11"/>
      <c r="G1358" s="11"/>
      <c r="H1358" s="11"/>
      <c r="I1358" s="11"/>
      <c r="J1358" s="11"/>
      <c r="K1358" s="11"/>
      <c r="L1358" s="11"/>
      <c r="M1358" s="11"/>
      <c r="N1358" s="44" t="n">
        <v>23.29</v>
      </c>
      <c r="O1358" s="11"/>
    </row>
    <row r="1359" customFormat="false" ht="14.25" hidden="false" customHeight="true" outlineLevel="0" collapsed="false">
      <c r="C1359" s="11"/>
      <c r="D1359" s="11"/>
      <c r="E1359" s="11"/>
      <c r="F1359" s="11"/>
      <c r="G1359" s="11"/>
      <c r="H1359" s="11"/>
      <c r="I1359" s="11"/>
      <c r="J1359" s="11"/>
      <c r="K1359" s="11"/>
      <c r="L1359" s="11"/>
      <c r="M1359" s="11"/>
      <c r="N1359" s="44" t="n">
        <v>22.79</v>
      </c>
      <c r="O1359" s="11"/>
    </row>
    <row r="1360" customFormat="false" ht="14.25" hidden="false" customHeight="true" outlineLevel="0" collapsed="false">
      <c r="C1360" s="11"/>
      <c r="D1360" s="11"/>
      <c r="E1360" s="11"/>
      <c r="F1360" s="11"/>
      <c r="G1360" s="11"/>
      <c r="H1360" s="11"/>
      <c r="I1360" s="11"/>
      <c r="J1360" s="11"/>
      <c r="K1360" s="11"/>
      <c r="L1360" s="11"/>
      <c r="M1360" s="11"/>
      <c r="N1360" s="44" t="n">
        <v>22.75</v>
      </c>
      <c r="O1360" s="11"/>
    </row>
    <row r="1361" customFormat="false" ht="14.25" hidden="false" customHeight="true" outlineLevel="0" collapsed="false">
      <c r="C1361" s="11"/>
      <c r="D1361" s="11"/>
      <c r="E1361" s="11"/>
      <c r="F1361" s="11"/>
      <c r="G1361" s="11"/>
      <c r="H1361" s="11"/>
      <c r="I1361" s="11"/>
      <c r="J1361" s="11"/>
      <c r="K1361" s="11"/>
      <c r="L1361" s="11"/>
      <c r="M1361" s="11"/>
      <c r="N1361" s="44" t="n">
        <v>23.47</v>
      </c>
      <c r="O1361" s="11"/>
    </row>
    <row r="1362" customFormat="false" ht="14.25" hidden="false" customHeight="true" outlineLevel="0" collapsed="false">
      <c r="C1362" s="11"/>
      <c r="D1362" s="11"/>
      <c r="E1362" s="11"/>
      <c r="F1362" s="11"/>
      <c r="G1362" s="11"/>
      <c r="H1362" s="11"/>
      <c r="I1362" s="11"/>
      <c r="J1362" s="11"/>
      <c r="K1362" s="11"/>
      <c r="L1362" s="11"/>
      <c r="M1362" s="11"/>
      <c r="N1362" s="44" t="n">
        <v>23.35</v>
      </c>
      <c r="O1362" s="11"/>
    </row>
    <row r="1363" customFormat="false" ht="14.25" hidden="false" customHeight="true" outlineLevel="0" collapsed="false">
      <c r="C1363" s="11"/>
      <c r="D1363" s="11"/>
      <c r="E1363" s="11"/>
      <c r="F1363" s="11"/>
      <c r="G1363" s="11"/>
      <c r="H1363" s="11"/>
      <c r="I1363" s="11"/>
      <c r="J1363" s="11"/>
      <c r="K1363" s="11"/>
      <c r="L1363" s="11"/>
      <c r="M1363" s="11"/>
      <c r="N1363" s="44" t="n">
        <v>23.24</v>
      </c>
      <c r="O1363" s="11"/>
    </row>
    <row r="1364" customFormat="false" ht="14.25" hidden="false" customHeight="true" outlineLevel="0" collapsed="false">
      <c r="C1364" s="11"/>
      <c r="D1364" s="11"/>
      <c r="E1364" s="11"/>
      <c r="F1364" s="11"/>
      <c r="G1364" s="11"/>
      <c r="H1364" s="11"/>
      <c r="I1364" s="11"/>
      <c r="J1364" s="11"/>
      <c r="K1364" s="11"/>
      <c r="L1364" s="11"/>
      <c r="M1364" s="11"/>
      <c r="N1364" s="44" t="n">
        <v>23.38</v>
      </c>
      <c r="O1364" s="11"/>
    </row>
    <row r="1365" customFormat="false" ht="14.25" hidden="false" customHeight="true" outlineLevel="0" collapsed="false">
      <c r="C1365" s="11"/>
      <c r="D1365" s="11"/>
      <c r="E1365" s="11"/>
      <c r="F1365" s="11"/>
      <c r="G1365" s="11"/>
      <c r="H1365" s="11"/>
      <c r="I1365" s="11"/>
      <c r="J1365" s="11"/>
      <c r="K1365" s="11"/>
      <c r="L1365" s="11"/>
      <c r="M1365" s="11"/>
      <c r="N1365" s="44" t="n">
        <v>22.61</v>
      </c>
      <c r="O1365" s="11"/>
    </row>
    <row r="1366" customFormat="false" ht="14.25" hidden="false" customHeight="true" outlineLevel="0" collapsed="false">
      <c r="C1366" s="11"/>
      <c r="D1366" s="11"/>
      <c r="E1366" s="11"/>
      <c r="F1366" s="11"/>
      <c r="G1366" s="11"/>
      <c r="H1366" s="11"/>
      <c r="I1366" s="11"/>
      <c r="J1366" s="11"/>
      <c r="K1366" s="11"/>
      <c r="L1366" s="11"/>
      <c r="M1366" s="11"/>
      <c r="N1366" s="44" t="n">
        <v>22.45</v>
      </c>
      <c r="O1366" s="11"/>
    </row>
    <row r="1367" customFormat="false" ht="14.25" hidden="false" customHeight="true" outlineLevel="0" collapsed="false">
      <c r="C1367" s="11"/>
      <c r="D1367" s="11"/>
      <c r="E1367" s="11"/>
      <c r="F1367" s="11"/>
      <c r="G1367" s="11"/>
      <c r="H1367" s="11"/>
      <c r="I1367" s="11"/>
      <c r="J1367" s="11"/>
      <c r="K1367" s="11"/>
      <c r="L1367" s="11"/>
      <c r="M1367" s="11"/>
      <c r="N1367" s="44" t="n">
        <v>23.11</v>
      </c>
      <c r="O1367" s="11"/>
    </row>
    <row r="1368" customFormat="false" ht="14.25" hidden="false" customHeight="true" outlineLevel="0" collapsed="false">
      <c r="C1368" s="11"/>
      <c r="D1368" s="11"/>
      <c r="E1368" s="11"/>
      <c r="F1368" s="11"/>
      <c r="G1368" s="11"/>
      <c r="H1368" s="11"/>
      <c r="I1368" s="11"/>
      <c r="J1368" s="11"/>
      <c r="K1368" s="11"/>
      <c r="L1368" s="11"/>
      <c r="M1368" s="11"/>
      <c r="N1368" s="44" t="n">
        <v>22.6</v>
      </c>
      <c r="O1368" s="11"/>
    </row>
    <row r="1369" customFormat="false" ht="14.25" hidden="false" customHeight="true" outlineLevel="0" collapsed="false">
      <c r="C1369" s="11"/>
      <c r="D1369" s="11"/>
      <c r="E1369" s="11"/>
      <c r="F1369" s="11"/>
      <c r="G1369" s="11"/>
      <c r="H1369" s="11"/>
      <c r="I1369" s="11"/>
      <c r="J1369" s="11"/>
      <c r="K1369" s="11"/>
      <c r="L1369" s="11"/>
      <c r="M1369" s="11"/>
      <c r="N1369" s="44" t="n">
        <v>22.67</v>
      </c>
      <c r="O1369" s="11"/>
    </row>
    <row r="1370" customFormat="false" ht="14.25" hidden="false" customHeight="true" outlineLevel="0" collapsed="false">
      <c r="C1370" s="11"/>
      <c r="D1370" s="11"/>
      <c r="E1370" s="11"/>
      <c r="F1370" s="11"/>
      <c r="G1370" s="11"/>
      <c r="H1370" s="11"/>
      <c r="I1370" s="11"/>
      <c r="J1370" s="11"/>
      <c r="K1370" s="11"/>
      <c r="L1370" s="11"/>
      <c r="M1370" s="11"/>
      <c r="N1370" s="44" t="n">
        <v>22.42</v>
      </c>
      <c r="O1370" s="11"/>
    </row>
    <row r="1371" customFormat="false" ht="14.25" hidden="false" customHeight="true" outlineLevel="0" collapsed="false">
      <c r="C1371" s="11"/>
      <c r="D1371" s="11"/>
      <c r="E1371" s="11"/>
      <c r="F1371" s="11"/>
      <c r="G1371" s="11"/>
      <c r="H1371" s="11"/>
      <c r="I1371" s="11"/>
      <c r="J1371" s="11"/>
      <c r="K1371" s="11"/>
      <c r="L1371" s="11"/>
      <c r="M1371" s="11"/>
      <c r="N1371" s="44" t="n">
        <v>22.85</v>
      </c>
      <c r="O1371" s="11"/>
    </row>
    <row r="1372" customFormat="false" ht="14.25" hidden="false" customHeight="true" outlineLevel="0" collapsed="false">
      <c r="C1372" s="11"/>
      <c r="D1372" s="11"/>
      <c r="E1372" s="11"/>
      <c r="F1372" s="11"/>
      <c r="G1372" s="11"/>
      <c r="H1372" s="11"/>
      <c r="I1372" s="11"/>
      <c r="J1372" s="11"/>
      <c r="K1372" s="11"/>
      <c r="L1372" s="11"/>
      <c r="M1372" s="11"/>
      <c r="N1372" s="44" t="n">
        <v>22.9</v>
      </c>
      <c r="O1372" s="11"/>
    </row>
    <row r="1373" customFormat="false" ht="14.25" hidden="false" customHeight="true" outlineLevel="0" collapsed="false">
      <c r="C1373" s="11"/>
      <c r="D1373" s="11"/>
      <c r="E1373" s="11"/>
      <c r="F1373" s="11"/>
      <c r="G1373" s="11"/>
      <c r="H1373" s="11"/>
      <c r="I1373" s="11"/>
      <c r="J1373" s="11"/>
      <c r="K1373" s="11"/>
      <c r="L1373" s="11"/>
      <c r="M1373" s="11"/>
      <c r="N1373" s="44" t="n">
        <v>22.58</v>
      </c>
      <c r="O1373" s="11"/>
    </row>
    <row r="1374" customFormat="false" ht="14.25" hidden="false" customHeight="true" outlineLevel="0" collapsed="false">
      <c r="C1374" s="11"/>
      <c r="D1374" s="11"/>
      <c r="E1374" s="11"/>
      <c r="F1374" s="11"/>
      <c r="G1374" s="11"/>
      <c r="H1374" s="11"/>
      <c r="I1374" s="11"/>
      <c r="J1374" s="11"/>
      <c r="K1374" s="11"/>
      <c r="L1374" s="11"/>
      <c r="M1374" s="11"/>
      <c r="N1374" s="44" t="n">
        <v>22.88</v>
      </c>
      <c r="O1374" s="11"/>
    </row>
    <row r="1375" customFormat="false" ht="14.25" hidden="false" customHeight="true" outlineLevel="0" collapsed="false">
      <c r="C1375" s="11"/>
      <c r="D1375" s="11"/>
      <c r="E1375" s="11"/>
      <c r="F1375" s="11"/>
      <c r="G1375" s="11"/>
      <c r="H1375" s="11"/>
      <c r="I1375" s="11"/>
      <c r="J1375" s="11"/>
      <c r="K1375" s="11"/>
      <c r="L1375" s="11"/>
      <c r="M1375" s="11"/>
      <c r="N1375" s="44" t="n">
        <v>23.23</v>
      </c>
      <c r="O1375" s="11"/>
    </row>
    <row r="1376" customFormat="false" ht="14.25" hidden="false" customHeight="true" outlineLevel="0" collapsed="false">
      <c r="C1376" s="11"/>
      <c r="D1376" s="11"/>
      <c r="E1376" s="11"/>
      <c r="F1376" s="11"/>
      <c r="G1376" s="11"/>
      <c r="H1376" s="11"/>
      <c r="I1376" s="11"/>
      <c r="J1376" s="11"/>
      <c r="K1376" s="11"/>
      <c r="L1376" s="11"/>
      <c r="M1376" s="11"/>
      <c r="N1376" s="44" t="n">
        <v>23.58</v>
      </c>
      <c r="O1376" s="11"/>
    </row>
    <row r="1377" customFormat="false" ht="14.25" hidden="false" customHeight="true" outlineLevel="0" collapsed="false">
      <c r="C1377" s="11"/>
      <c r="D1377" s="11"/>
      <c r="E1377" s="11"/>
      <c r="F1377" s="11"/>
      <c r="G1377" s="11"/>
      <c r="H1377" s="11"/>
      <c r="I1377" s="11"/>
      <c r="J1377" s="11"/>
      <c r="K1377" s="11"/>
      <c r="L1377" s="11"/>
      <c r="M1377" s="11"/>
      <c r="N1377" s="44" t="n">
        <v>22.91</v>
      </c>
      <c r="O1377" s="11"/>
    </row>
    <row r="1378" customFormat="false" ht="14.25" hidden="false" customHeight="true" outlineLevel="0" collapsed="false">
      <c r="C1378" s="11"/>
      <c r="D1378" s="11"/>
      <c r="E1378" s="11"/>
      <c r="F1378" s="11"/>
      <c r="G1378" s="11"/>
      <c r="H1378" s="11"/>
      <c r="I1378" s="11"/>
      <c r="J1378" s="11"/>
      <c r="K1378" s="11"/>
      <c r="L1378" s="11"/>
      <c r="M1378" s="11"/>
      <c r="N1378" s="44" t="n">
        <v>22.66</v>
      </c>
      <c r="O1378" s="11"/>
    </row>
    <row r="1379" customFormat="false" ht="14.25" hidden="false" customHeight="true" outlineLevel="0" collapsed="false">
      <c r="C1379" s="11"/>
      <c r="D1379" s="11"/>
      <c r="E1379" s="11"/>
      <c r="F1379" s="11"/>
      <c r="G1379" s="11"/>
      <c r="H1379" s="11"/>
      <c r="I1379" s="11"/>
      <c r="J1379" s="11"/>
      <c r="K1379" s="11"/>
      <c r="L1379" s="11"/>
      <c r="M1379" s="11"/>
      <c r="N1379" s="44" t="n">
        <v>22.26</v>
      </c>
      <c r="O1379" s="11"/>
    </row>
    <row r="1380" customFormat="false" ht="14.25" hidden="false" customHeight="true" outlineLevel="0" collapsed="false">
      <c r="C1380" s="11"/>
      <c r="D1380" s="11"/>
      <c r="E1380" s="11"/>
      <c r="F1380" s="11"/>
      <c r="G1380" s="11"/>
      <c r="H1380" s="11"/>
      <c r="I1380" s="11"/>
      <c r="J1380" s="11"/>
      <c r="K1380" s="11"/>
      <c r="L1380" s="11"/>
      <c r="M1380" s="11"/>
      <c r="N1380" s="44" t="n">
        <v>21.11</v>
      </c>
      <c r="O1380" s="11"/>
    </row>
    <row r="1381" customFormat="false" ht="14.25" hidden="false" customHeight="true" outlineLevel="0" collapsed="false">
      <c r="C1381" s="11"/>
      <c r="D1381" s="11"/>
      <c r="E1381" s="11"/>
      <c r="F1381" s="11"/>
      <c r="G1381" s="11"/>
      <c r="H1381" s="11"/>
      <c r="I1381" s="11"/>
      <c r="J1381" s="11"/>
      <c r="K1381" s="11"/>
      <c r="L1381" s="11"/>
      <c r="M1381" s="11"/>
      <c r="N1381" s="44" t="n">
        <v>20.58</v>
      </c>
      <c r="O1381" s="11"/>
    </row>
    <row r="1382" customFormat="false" ht="14.25" hidden="false" customHeight="true" outlineLevel="0" collapsed="false">
      <c r="C1382" s="11"/>
      <c r="D1382" s="11"/>
      <c r="E1382" s="11"/>
      <c r="F1382" s="11"/>
      <c r="G1382" s="11"/>
      <c r="H1382" s="11"/>
      <c r="I1382" s="11"/>
      <c r="J1382" s="11"/>
      <c r="K1382" s="11"/>
      <c r="L1382" s="11"/>
      <c r="M1382" s="11"/>
      <c r="N1382" s="44" t="n">
        <v>20.55</v>
      </c>
      <c r="O1382" s="11"/>
    </row>
    <row r="1383" customFormat="false" ht="14.25" hidden="false" customHeight="true" outlineLevel="0" collapsed="false">
      <c r="C1383" s="11"/>
      <c r="D1383" s="11"/>
      <c r="E1383" s="11"/>
      <c r="F1383" s="11"/>
      <c r="G1383" s="11"/>
      <c r="H1383" s="11"/>
      <c r="I1383" s="11"/>
      <c r="J1383" s="11"/>
      <c r="K1383" s="11"/>
      <c r="L1383" s="11"/>
      <c r="M1383" s="11"/>
      <c r="N1383" s="44" t="n">
        <v>20.28</v>
      </c>
      <c r="O1383" s="11"/>
    </row>
    <row r="1384" customFormat="false" ht="14.25" hidden="false" customHeight="true" outlineLevel="0" collapsed="false">
      <c r="C1384" s="11"/>
      <c r="D1384" s="11"/>
      <c r="E1384" s="11"/>
      <c r="F1384" s="11"/>
      <c r="G1384" s="11"/>
      <c r="H1384" s="11"/>
      <c r="I1384" s="11"/>
      <c r="J1384" s="11"/>
      <c r="K1384" s="11"/>
      <c r="L1384" s="11"/>
      <c r="M1384" s="11"/>
      <c r="N1384" s="44" t="n">
        <v>20.7</v>
      </c>
      <c r="O1384" s="11"/>
    </row>
    <row r="1385" customFormat="false" ht="14.25" hidden="false" customHeight="true" outlineLevel="0" collapsed="false">
      <c r="C1385" s="11"/>
      <c r="D1385" s="11"/>
      <c r="E1385" s="11"/>
      <c r="F1385" s="11"/>
      <c r="G1385" s="11"/>
      <c r="H1385" s="11"/>
      <c r="I1385" s="11"/>
      <c r="J1385" s="11"/>
      <c r="K1385" s="11"/>
      <c r="L1385" s="11"/>
      <c r="M1385" s="11"/>
      <c r="N1385" s="44" t="n">
        <v>20.97</v>
      </c>
      <c r="O1385" s="11"/>
    </row>
    <row r="1386" customFormat="false" ht="14.25" hidden="false" customHeight="true" outlineLevel="0" collapsed="false">
      <c r="C1386" s="11"/>
      <c r="D1386" s="11"/>
      <c r="E1386" s="11"/>
      <c r="F1386" s="11"/>
      <c r="G1386" s="11"/>
      <c r="H1386" s="11"/>
      <c r="I1386" s="11"/>
      <c r="J1386" s="11"/>
      <c r="K1386" s="11"/>
      <c r="L1386" s="11"/>
      <c r="M1386" s="11"/>
      <c r="N1386" s="44" t="n">
        <v>21.59</v>
      </c>
      <c r="O1386" s="11"/>
    </row>
    <row r="1387" customFormat="false" ht="14.25" hidden="false" customHeight="true" outlineLevel="0" collapsed="false">
      <c r="C1387" s="11"/>
      <c r="D1387" s="11"/>
      <c r="E1387" s="11"/>
      <c r="F1387" s="11"/>
      <c r="G1387" s="11"/>
      <c r="H1387" s="11"/>
      <c r="I1387" s="11"/>
      <c r="J1387" s="11"/>
      <c r="K1387" s="11"/>
      <c r="L1387" s="11"/>
      <c r="M1387" s="11"/>
      <c r="N1387" s="44" t="n">
        <v>21.03</v>
      </c>
      <c r="O1387" s="11"/>
    </row>
    <row r="1388" customFormat="false" ht="14.25" hidden="false" customHeight="true" outlineLevel="0" collapsed="false">
      <c r="C1388" s="11"/>
      <c r="D1388" s="11"/>
      <c r="E1388" s="11"/>
      <c r="F1388" s="11"/>
      <c r="G1388" s="11"/>
      <c r="H1388" s="11"/>
      <c r="I1388" s="11"/>
      <c r="J1388" s="11"/>
      <c r="K1388" s="11"/>
      <c r="L1388" s="11"/>
      <c r="M1388" s="11"/>
      <c r="N1388" s="44" t="n">
        <v>21.44</v>
      </c>
      <c r="O1388" s="11"/>
    </row>
    <row r="1389" customFormat="false" ht="14.25" hidden="false" customHeight="true" outlineLevel="0" collapsed="false">
      <c r="C1389" s="11"/>
      <c r="D1389" s="11"/>
      <c r="E1389" s="11"/>
      <c r="F1389" s="11"/>
      <c r="G1389" s="11"/>
      <c r="H1389" s="11"/>
      <c r="I1389" s="11"/>
      <c r="J1389" s="11"/>
      <c r="K1389" s="11"/>
      <c r="L1389" s="11"/>
      <c r="M1389" s="11"/>
      <c r="N1389" s="44" t="n">
        <v>21.45</v>
      </c>
      <c r="O1389" s="11"/>
    </row>
    <row r="1390" customFormat="false" ht="14.25" hidden="false" customHeight="true" outlineLevel="0" collapsed="false">
      <c r="C1390" s="11"/>
      <c r="D1390" s="11"/>
      <c r="E1390" s="11"/>
      <c r="F1390" s="11"/>
      <c r="G1390" s="11"/>
      <c r="H1390" s="11"/>
      <c r="I1390" s="11"/>
      <c r="J1390" s="11"/>
      <c r="K1390" s="11"/>
      <c r="L1390" s="11"/>
      <c r="M1390" s="11"/>
      <c r="N1390" s="44" t="n">
        <v>21.77</v>
      </c>
      <c r="O1390" s="11"/>
    </row>
    <row r="1391" customFormat="false" ht="14.25" hidden="false" customHeight="true" outlineLevel="0" collapsed="false">
      <c r="C1391" s="11"/>
      <c r="D1391" s="11"/>
      <c r="E1391" s="11"/>
      <c r="F1391" s="11"/>
      <c r="G1391" s="11"/>
      <c r="H1391" s="11"/>
      <c r="I1391" s="11"/>
      <c r="J1391" s="11"/>
      <c r="K1391" s="11"/>
      <c r="L1391" s="11"/>
      <c r="M1391" s="11"/>
      <c r="N1391" s="44" t="n">
        <v>21.76</v>
      </c>
      <c r="O1391" s="11"/>
    </row>
    <row r="1392" customFormat="false" ht="14.25" hidden="false" customHeight="true" outlineLevel="0" collapsed="false">
      <c r="C1392" s="11"/>
      <c r="D1392" s="11"/>
      <c r="E1392" s="11"/>
      <c r="F1392" s="11"/>
      <c r="G1392" s="11"/>
      <c r="H1392" s="11"/>
      <c r="I1392" s="11"/>
      <c r="J1392" s="11"/>
      <c r="K1392" s="11"/>
      <c r="L1392" s="11"/>
      <c r="M1392" s="11"/>
      <c r="N1392" s="44" t="n">
        <v>21.96</v>
      </c>
      <c r="O1392" s="11"/>
    </row>
    <row r="1393" customFormat="false" ht="14.25" hidden="false" customHeight="true" outlineLevel="0" collapsed="false">
      <c r="C1393" s="11"/>
      <c r="D1393" s="11"/>
      <c r="E1393" s="11"/>
      <c r="F1393" s="11"/>
      <c r="G1393" s="11"/>
      <c r="H1393" s="11"/>
      <c r="I1393" s="11"/>
      <c r="J1393" s="11"/>
      <c r="K1393" s="11"/>
      <c r="L1393" s="11"/>
      <c r="M1393" s="11"/>
      <c r="N1393" s="44" t="n">
        <v>21.92</v>
      </c>
      <c r="O1393" s="11"/>
    </row>
    <row r="1394" customFormat="false" ht="14.25" hidden="false" customHeight="true" outlineLevel="0" collapsed="false">
      <c r="C1394" s="11"/>
      <c r="D1394" s="11"/>
      <c r="E1394" s="11"/>
      <c r="F1394" s="11"/>
      <c r="G1394" s="11"/>
      <c r="H1394" s="11"/>
      <c r="I1394" s="11"/>
      <c r="J1394" s="11"/>
      <c r="K1394" s="11"/>
      <c r="L1394" s="11"/>
      <c r="M1394" s="11"/>
      <c r="N1394" s="44" t="n">
        <v>21.64</v>
      </c>
      <c r="O1394" s="11"/>
    </row>
    <row r="1395" customFormat="false" ht="14.25" hidden="false" customHeight="true" outlineLevel="0" collapsed="false">
      <c r="C1395" s="11"/>
      <c r="D1395" s="11"/>
      <c r="E1395" s="11"/>
      <c r="F1395" s="11"/>
      <c r="G1395" s="11"/>
      <c r="H1395" s="11"/>
      <c r="I1395" s="11"/>
      <c r="J1395" s="11"/>
      <c r="K1395" s="11"/>
      <c r="L1395" s="11"/>
      <c r="M1395" s="11"/>
      <c r="N1395" s="44" t="n">
        <v>21.62</v>
      </c>
      <c r="O1395" s="11"/>
    </row>
    <row r="1396" customFormat="false" ht="14.25" hidden="false" customHeight="true" outlineLevel="0" collapsed="false">
      <c r="C1396" s="11"/>
      <c r="D1396" s="11"/>
      <c r="E1396" s="11"/>
      <c r="F1396" s="11"/>
      <c r="G1396" s="11"/>
      <c r="H1396" s="11"/>
      <c r="I1396" s="11"/>
      <c r="J1396" s="11"/>
      <c r="K1396" s="11"/>
      <c r="L1396" s="11"/>
      <c r="M1396" s="11"/>
      <c r="N1396" s="44" t="n">
        <v>21.64</v>
      </c>
      <c r="O1396" s="11"/>
    </row>
    <row r="1397" customFormat="false" ht="14.25" hidden="false" customHeight="true" outlineLevel="0" collapsed="false">
      <c r="C1397" s="11"/>
      <c r="D1397" s="11"/>
      <c r="E1397" s="11"/>
      <c r="F1397" s="11"/>
      <c r="G1397" s="11"/>
      <c r="H1397" s="11"/>
      <c r="I1397" s="11"/>
      <c r="J1397" s="11"/>
      <c r="K1397" s="11"/>
      <c r="L1397" s="11"/>
      <c r="M1397" s="11"/>
      <c r="N1397" s="44" t="n">
        <v>22</v>
      </c>
      <c r="O1397" s="11"/>
    </row>
    <row r="1398" customFormat="false" ht="14.25" hidden="false" customHeight="true" outlineLevel="0" collapsed="false">
      <c r="C1398" s="11"/>
      <c r="D1398" s="11"/>
      <c r="E1398" s="11"/>
      <c r="F1398" s="11"/>
      <c r="G1398" s="11"/>
      <c r="H1398" s="11"/>
      <c r="I1398" s="11"/>
      <c r="J1398" s="11"/>
      <c r="K1398" s="11"/>
      <c r="L1398" s="11"/>
      <c r="M1398" s="11"/>
      <c r="N1398" s="44" t="n">
        <v>21.58</v>
      </c>
      <c r="O1398" s="11"/>
    </row>
    <row r="1399" customFormat="false" ht="14.25" hidden="false" customHeight="true" outlineLevel="0" collapsed="false">
      <c r="C1399" s="11"/>
      <c r="D1399" s="11"/>
      <c r="E1399" s="11"/>
      <c r="F1399" s="11"/>
      <c r="G1399" s="11"/>
      <c r="H1399" s="11"/>
      <c r="I1399" s="11"/>
      <c r="J1399" s="11"/>
      <c r="K1399" s="11"/>
      <c r="L1399" s="11"/>
      <c r="M1399" s="11"/>
      <c r="N1399" s="44" t="n">
        <v>21.98</v>
      </c>
      <c r="O1399" s="11"/>
    </row>
    <row r="1400" customFormat="false" ht="14.25" hidden="false" customHeight="true" outlineLevel="0" collapsed="false">
      <c r="C1400" s="11"/>
      <c r="D1400" s="11"/>
      <c r="E1400" s="11"/>
      <c r="F1400" s="11"/>
      <c r="G1400" s="11"/>
      <c r="H1400" s="11"/>
      <c r="I1400" s="11"/>
      <c r="J1400" s="11"/>
      <c r="K1400" s="11"/>
      <c r="L1400" s="11"/>
      <c r="M1400" s="11"/>
      <c r="N1400" s="44" t="n">
        <v>22.08</v>
      </c>
      <c r="O1400" s="11"/>
    </row>
    <row r="1401" customFormat="false" ht="14.25" hidden="false" customHeight="true" outlineLevel="0" collapsed="false">
      <c r="C1401" s="11"/>
      <c r="D1401" s="11"/>
      <c r="E1401" s="11"/>
      <c r="F1401" s="11"/>
      <c r="G1401" s="11"/>
      <c r="H1401" s="11"/>
      <c r="I1401" s="11"/>
      <c r="J1401" s="11"/>
      <c r="K1401" s="11"/>
      <c r="L1401" s="11"/>
      <c r="M1401" s="11"/>
      <c r="N1401" s="44" t="n">
        <v>21.9</v>
      </c>
      <c r="O1401" s="11"/>
    </row>
    <row r="1402" customFormat="false" ht="14.25" hidden="false" customHeight="true" outlineLevel="0" collapsed="false">
      <c r="C1402" s="11"/>
      <c r="D1402" s="11"/>
      <c r="E1402" s="11"/>
      <c r="F1402" s="11"/>
      <c r="G1402" s="11"/>
      <c r="H1402" s="11"/>
      <c r="I1402" s="11"/>
      <c r="J1402" s="11"/>
      <c r="K1402" s="11"/>
      <c r="L1402" s="11"/>
      <c r="M1402" s="11"/>
      <c r="N1402" s="44" t="n">
        <v>21.82</v>
      </c>
      <c r="O1402" s="11"/>
    </row>
    <row r="1403" customFormat="false" ht="14.25" hidden="false" customHeight="true" outlineLevel="0" collapsed="false">
      <c r="C1403" s="11"/>
      <c r="D1403" s="11"/>
      <c r="E1403" s="11"/>
      <c r="F1403" s="11"/>
      <c r="G1403" s="11"/>
      <c r="H1403" s="11"/>
      <c r="I1403" s="11"/>
      <c r="J1403" s="11"/>
      <c r="K1403" s="11"/>
      <c r="L1403" s="11"/>
      <c r="M1403" s="11"/>
      <c r="N1403" s="44" t="n">
        <v>21</v>
      </c>
      <c r="O1403" s="11"/>
    </row>
    <row r="1404" customFormat="false" ht="14.25" hidden="false" customHeight="true" outlineLevel="0" collapsed="false">
      <c r="C1404" s="11"/>
      <c r="D1404" s="11"/>
      <c r="E1404" s="11"/>
      <c r="F1404" s="11"/>
      <c r="G1404" s="11"/>
      <c r="H1404" s="11"/>
      <c r="I1404" s="11"/>
      <c r="J1404" s="11"/>
      <c r="K1404" s="11"/>
      <c r="L1404" s="11"/>
      <c r="M1404" s="11"/>
      <c r="N1404" s="44" t="n">
        <v>21.55</v>
      </c>
      <c r="O1404" s="11"/>
    </row>
    <row r="1405" customFormat="false" ht="14.25" hidden="false" customHeight="true" outlineLevel="0" collapsed="false">
      <c r="C1405" s="11"/>
      <c r="D1405" s="11"/>
      <c r="E1405" s="11"/>
      <c r="F1405" s="11"/>
      <c r="G1405" s="11"/>
      <c r="H1405" s="11"/>
      <c r="I1405" s="11"/>
      <c r="J1405" s="11"/>
      <c r="K1405" s="11"/>
      <c r="L1405" s="11"/>
      <c r="M1405" s="11"/>
      <c r="N1405" s="44" t="n">
        <v>21.38</v>
      </c>
      <c r="O1405" s="11"/>
    </row>
    <row r="1406" customFormat="false" ht="14.25" hidden="false" customHeight="true" outlineLevel="0" collapsed="false">
      <c r="C1406" s="11"/>
      <c r="D1406" s="11"/>
      <c r="E1406" s="11"/>
      <c r="F1406" s="11"/>
      <c r="G1406" s="11"/>
      <c r="H1406" s="11"/>
      <c r="I1406" s="11"/>
      <c r="J1406" s="11"/>
      <c r="K1406" s="11"/>
      <c r="L1406" s="11"/>
      <c r="M1406" s="11"/>
      <c r="N1406" s="44" t="n">
        <v>21.88</v>
      </c>
      <c r="O1406" s="11"/>
    </row>
    <row r="1407" customFormat="false" ht="14.25" hidden="false" customHeight="true" outlineLevel="0" collapsed="false">
      <c r="C1407" s="11"/>
      <c r="D1407" s="11"/>
      <c r="E1407" s="11"/>
      <c r="F1407" s="11"/>
      <c r="G1407" s="11"/>
      <c r="H1407" s="11"/>
      <c r="I1407" s="11"/>
      <c r="J1407" s="11"/>
      <c r="K1407" s="11"/>
      <c r="L1407" s="11"/>
      <c r="M1407" s="11"/>
      <c r="N1407" s="44" t="n">
        <v>22.01</v>
      </c>
      <c r="O1407" s="11"/>
    </row>
    <row r="1408" customFormat="false" ht="14.25" hidden="false" customHeight="true" outlineLevel="0" collapsed="false">
      <c r="C1408" s="11"/>
      <c r="D1408" s="11"/>
      <c r="E1408" s="11"/>
      <c r="F1408" s="11"/>
      <c r="G1408" s="11"/>
      <c r="H1408" s="11"/>
      <c r="I1408" s="11"/>
      <c r="J1408" s="11"/>
      <c r="K1408" s="11"/>
      <c r="L1408" s="11"/>
      <c r="M1408" s="11"/>
      <c r="N1408" s="44" t="n">
        <v>21.99</v>
      </c>
      <c r="O1408" s="11"/>
    </row>
    <row r="1409" customFormat="false" ht="14.25" hidden="false" customHeight="true" outlineLevel="0" collapsed="false">
      <c r="C1409" s="11"/>
      <c r="D1409" s="11"/>
      <c r="E1409" s="11"/>
      <c r="F1409" s="11"/>
      <c r="G1409" s="11"/>
      <c r="H1409" s="11"/>
      <c r="I1409" s="11"/>
      <c r="J1409" s="11"/>
      <c r="K1409" s="11"/>
      <c r="L1409" s="11"/>
      <c r="M1409" s="11"/>
      <c r="N1409" s="44" t="n">
        <v>22.11</v>
      </c>
      <c r="O1409" s="11"/>
    </row>
    <row r="1410" customFormat="false" ht="14.25" hidden="false" customHeight="true" outlineLevel="0" collapsed="false">
      <c r="C1410" s="11"/>
      <c r="D1410" s="11"/>
      <c r="E1410" s="11"/>
      <c r="F1410" s="11"/>
      <c r="G1410" s="11"/>
      <c r="H1410" s="11"/>
      <c r="I1410" s="11"/>
      <c r="J1410" s="11"/>
      <c r="K1410" s="11"/>
      <c r="L1410" s="11"/>
      <c r="M1410" s="11"/>
      <c r="N1410" s="44" t="n">
        <v>22.19</v>
      </c>
      <c r="O1410" s="11"/>
    </row>
    <row r="1411" customFormat="false" ht="14.25" hidden="false" customHeight="true" outlineLevel="0" collapsed="false">
      <c r="C1411" s="11"/>
      <c r="D1411" s="11"/>
      <c r="E1411" s="11"/>
      <c r="F1411" s="11"/>
      <c r="G1411" s="11"/>
      <c r="H1411" s="11"/>
      <c r="I1411" s="11"/>
      <c r="J1411" s="11"/>
      <c r="K1411" s="11"/>
      <c r="L1411" s="11"/>
      <c r="M1411" s="11"/>
      <c r="N1411" s="44" t="n">
        <v>22.13</v>
      </c>
      <c r="O1411" s="11"/>
    </row>
    <row r="1412" customFormat="false" ht="14.25" hidden="false" customHeight="true" outlineLevel="0" collapsed="false">
      <c r="C1412" s="11"/>
      <c r="D1412" s="11"/>
      <c r="E1412" s="11"/>
      <c r="F1412" s="11"/>
      <c r="G1412" s="11"/>
      <c r="H1412" s="11"/>
      <c r="I1412" s="11"/>
      <c r="J1412" s="11"/>
      <c r="K1412" s="11"/>
      <c r="L1412" s="11"/>
      <c r="M1412" s="11"/>
      <c r="N1412" s="44" t="n">
        <v>22.19</v>
      </c>
      <c r="O1412" s="11"/>
    </row>
    <row r="1413" customFormat="false" ht="14.25" hidden="false" customHeight="true" outlineLevel="0" collapsed="false">
      <c r="C1413" s="11"/>
      <c r="D1413" s="11"/>
      <c r="E1413" s="11"/>
      <c r="F1413" s="11"/>
      <c r="G1413" s="11"/>
      <c r="H1413" s="11"/>
      <c r="I1413" s="11"/>
      <c r="J1413" s="11"/>
      <c r="K1413" s="11"/>
      <c r="L1413" s="11"/>
      <c r="M1413" s="11"/>
      <c r="N1413" s="44" t="n">
        <v>22.42</v>
      </c>
      <c r="O1413" s="11"/>
    </row>
    <row r="1414" customFormat="false" ht="14.25" hidden="false" customHeight="true" outlineLevel="0" collapsed="false">
      <c r="C1414" s="11"/>
      <c r="D1414" s="11"/>
      <c r="E1414" s="11"/>
      <c r="F1414" s="11"/>
      <c r="G1414" s="11"/>
      <c r="H1414" s="11"/>
      <c r="I1414" s="11"/>
      <c r="J1414" s="11"/>
      <c r="K1414" s="11"/>
      <c r="L1414" s="11"/>
      <c r="M1414" s="11"/>
      <c r="N1414" s="44" t="n">
        <v>22.64</v>
      </c>
      <c r="O1414" s="11"/>
    </row>
    <row r="1415" customFormat="false" ht="14.25" hidden="false" customHeight="true" outlineLevel="0" collapsed="false">
      <c r="C1415" s="11"/>
      <c r="D1415" s="11"/>
      <c r="E1415" s="11"/>
      <c r="F1415" s="11"/>
      <c r="G1415" s="11"/>
      <c r="H1415" s="11"/>
      <c r="I1415" s="11"/>
      <c r="J1415" s="11"/>
      <c r="K1415" s="11"/>
      <c r="L1415" s="11"/>
      <c r="M1415" s="11"/>
      <c r="N1415" s="44" t="n">
        <v>22.89</v>
      </c>
      <c r="O1415" s="11"/>
    </row>
    <row r="1416" customFormat="false" ht="14.25" hidden="false" customHeight="true" outlineLevel="0" collapsed="false">
      <c r="C1416" s="11"/>
      <c r="D1416" s="11"/>
      <c r="E1416" s="11"/>
      <c r="F1416" s="11"/>
      <c r="G1416" s="11"/>
      <c r="H1416" s="11"/>
      <c r="I1416" s="11"/>
      <c r="J1416" s="11"/>
      <c r="K1416" s="11"/>
      <c r="L1416" s="11"/>
      <c r="M1416" s="11"/>
      <c r="N1416" s="44" t="n">
        <v>23.39</v>
      </c>
      <c r="O1416" s="11"/>
    </row>
    <row r="1417" customFormat="false" ht="14.25" hidden="false" customHeight="true" outlineLevel="0" collapsed="false">
      <c r="C1417" s="11"/>
      <c r="D1417" s="11"/>
      <c r="E1417" s="11"/>
      <c r="F1417" s="11"/>
      <c r="G1417" s="11"/>
      <c r="H1417" s="11"/>
      <c r="I1417" s="11"/>
      <c r="J1417" s="11"/>
      <c r="K1417" s="11"/>
      <c r="L1417" s="11"/>
      <c r="M1417" s="11"/>
      <c r="N1417" s="44" t="n">
        <v>23.51</v>
      </c>
      <c r="O1417" s="11"/>
    </row>
    <row r="1418" customFormat="false" ht="14.25" hidden="false" customHeight="true" outlineLevel="0" collapsed="false">
      <c r="C1418" s="11"/>
      <c r="D1418" s="11"/>
      <c r="E1418" s="11"/>
      <c r="F1418" s="11"/>
      <c r="G1418" s="11"/>
      <c r="H1418" s="11"/>
      <c r="I1418" s="11"/>
      <c r="J1418" s="11"/>
      <c r="K1418" s="11"/>
      <c r="L1418" s="11"/>
      <c r="M1418" s="11"/>
      <c r="N1418" s="44" t="n">
        <v>23.36</v>
      </c>
      <c r="O1418" s="11"/>
    </row>
    <row r="1419" customFormat="false" ht="14.25" hidden="false" customHeight="true" outlineLevel="0" collapsed="false">
      <c r="C1419" s="11"/>
      <c r="D1419" s="11"/>
      <c r="E1419" s="11"/>
      <c r="F1419" s="11"/>
      <c r="G1419" s="11"/>
      <c r="H1419" s="11"/>
      <c r="I1419" s="11"/>
      <c r="J1419" s="11"/>
      <c r="K1419" s="11"/>
      <c r="L1419" s="11"/>
      <c r="M1419" s="11"/>
      <c r="N1419" s="44" t="n">
        <v>22.3</v>
      </c>
      <c r="O1419" s="11"/>
    </row>
    <row r="1420" customFormat="false" ht="14.25" hidden="false" customHeight="true" outlineLevel="0" collapsed="false">
      <c r="C1420" s="11"/>
      <c r="D1420" s="11"/>
      <c r="E1420" s="11"/>
      <c r="F1420" s="11"/>
      <c r="G1420" s="11"/>
      <c r="H1420" s="11"/>
      <c r="I1420" s="11"/>
      <c r="J1420" s="11"/>
      <c r="K1420" s="11"/>
      <c r="L1420" s="11"/>
      <c r="M1420" s="11"/>
      <c r="N1420" s="44" t="n">
        <v>22.41</v>
      </c>
      <c r="O1420" s="11"/>
    </row>
    <row r="1421" customFormat="false" ht="14.25" hidden="false" customHeight="true" outlineLevel="0" collapsed="false">
      <c r="C1421" s="11"/>
      <c r="D1421" s="11"/>
      <c r="E1421" s="11"/>
      <c r="F1421" s="11"/>
      <c r="G1421" s="11"/>
      <c r="H1421" s="11"/>
      <c r="I1421" s="11"/>
      <c r="J1421" s="11"/>
      <c r="K1421" s="11"/>
      <c r="L1421" s="11"/>
      <c r="M1421" s="11"/>
      <c r="N1421" s="44" t="n">
        <v>22.7</v>
      </c>
      <c r="O1421" s="11"/>
    </row>
    <row r="1422" customFormat="false" ht="14.25" hidden="false" customHeight="true" outlineLevel="0" collapsed="false">
      <c r="C1422" s="11"/>
      <c r="D1422" s="11"/>
      <c r="E1422" s="11"/>
      <c r="F1422" s="11"/>
      <c r="G1422" s="11"/>
      <c r="H1422" s="11"/>
      <c r="I1422" s="11"/>
      <c r="J1422" s="11"/>
      <c r="K1422" s="11"/>
      <c r="L1422" s="11"/>
      <c r="M1422" s="11"/>
      <c r="N1422" s="44" t="n">
        <v>22.26</v>
      </c>
      <c r="O1422" s="11"/>
    </row>
    <row r="1423" customFormat="false" ht="14.25" hidden="false" customHeight="true" outlineLevel="0" collapsed="false">
      <c r="C1423" s="11"/>
      <c r="D1423" s="11"/>
      <c r="E1423" s="11"/>
      <c r="F1423" s="11"/>
      <c r="G1423" s="11"/>
      <c r="H1423" s="11"/>
      <c r="I1423" s="11"/>
      <c r="J1423" s="11"/>
      <c r="K1423" s="11"/>
      <c r="L1423" s="11"/>
      <c r="M1423" s="11"/>
      <c r="N1423" s="44" t="n">
        <v>21.64</v>
      </c>
      <c r="O1423" s="11"/>
    </row>
    <row r="1424" customFormat="false" ht="14.25" hidden="false" customHeight="true" outlineLevel="0" collapsed="false">
      <c r="C1424" s="11"/>
      <c r="D1424" s="11"/>
      <c r="E1424" s="11"/>
      <c r="F1424" s="11"/>
      <c r="G1424" s="11"/>
      <c r="H1424" s="11"/>
      <c r="I1424" s="11"/>
      <c r="J1424" s="11"/>
      <c r="K1424" s="11"/>
      <c r="L1424" s="11"/>
      <c r="M1424" s="11"/>
      <c r="N1424" s="44" t="n">
        <v>21.47</v>
      </c>
      <c r="O1424" s="11"/>
    </row>
    <row r="1425" customFormat="false" ht="14.25" hidden="false" customHeight="true" outlineLevel="0" collapsed="false">
      <c r="C1425" s="11"/>
      <c r="D1425" s="11"/>
      <c r="E1425" s="11"/>
      <c r="F1425" s="11"/>
      <c r="G1425" s="11"/>
      <c r="H1425" s="11"/>
      <c r="I1425" s="11"/>
      <c r="J1425" s="11"/>
      <c r="K1425" s="11"/>
      <c r="L1425" s="11"/>
      <c r="M1425" s="11"/>
      <c r="N1425" s="44" t="n">
        <v>21.61</v>
      </c>
      <c r="O1425" s="11"/>
    </row>
    <row r="1426" customFormat="false" ht="14.25" hidden="false" customHeight="true" outlineLevel="0" collapsed="false">
      <c r="C1426" s="11"/>
      <c r="D1426" s="11"/>
      <c r="E1426" s="11"/>
      <c r="F1426" s="11"/>
      <c r="G1426" s="11"/>
      <c r="H1426" s="11"/>
      <c r="I1426" s="11"/>
      <c r="J1426" s="11"/>
      <c r="K1426" s="11"/>
      <c r="L1426" s="11"/>
      <c r="M1426" s="11"/>
      <c r="N1426" s="44" t="n">
        <v>21.8</v>
      </c>
      <c r="O1426" s="11"/>
    </row>
    <row r="1427" customFormat="false" ht="14.25" hidden="false" customHeight="true" outlineLevel="0" collapsed="false">
      <c r="C1427" s="11"/>
      <c r="D1427" s="11"/>
      <c r="E1427" s="11"/>
      <c r="F1427" s="11"/>
      <c r="G1427" s="11"/>
      <c r="H1427" s="11"/>
      <c r="I1427" s="11"/>
      <c r="J1427" s="11"/>
      <c r="K1427" s="11"/>
      <c r="L1427" s="11"/>
      <c r="M1427" s="11"/>
      <c r="N1427" s="44" t="n">
        <v>22.04</v>
      </c>
      <c r="O1427" s="11"/>
    </row>
    <row r="1428" customFormat="false" ht="14.25" hidden="false" customHeight="true" outlineLevel="0" collapsed="false">
      <c r="C1428" s="11"/>
      <c r="D1428" s="11"/>
      <c r="E1428" s="11"/>
      <c r="F1428" s="11"/>
      <c r="G1428" s="11"/>
      <c r="H1428" s="11"/>
      <c r="I1428" s="11"/>
      <c r="J1428" s="11"/>
      <c r="K1428" s="11"/>
      <c r="L1428" s="11"/>
      <c r="M1428" s="11"/>
      <c r="N1428" s="44" t="n">
        <v>21.65</v>
      </c>
      <c r="O1428" s="11"/>
    </row>
    <row r="1429" customFormat="false" ht="14.25" hidden="false" customHeight="true" outlineLevel="0" collapsed="false">
      <c r="C1429" s="11"/>
      <c r="D1429" s="11"/>
      <c r="E1429" s="11"/>
      <c r="F1429" s="11"/>
      <c r="G1429" s="11"/>
      <c r="H1429" s="11"/>
      <c r="I1429" s="11"/>
      <c r="J1429" s="11"/>
      <c r="K1429" s="11"/>
      <c r="L1429" s="11"/>
      <c r="M1429" s="11"/>
      <c r="N1429" s="44" t="n">
        <v>21.6</v>
      </c>
      <c r="O1429" s="11"/>
    </row>
    <row r="1430" customFormat="false" ht="14.25" hidden="false" customHeight="true" outlineLevel="0" collapsed="false">
      <c r="C1430" s="11"/>
      <c r="D1430" s="11"/>
      <c r="E1430" s="11"/>
      <c r="F1430" s="11"/>
      <c r="G1430" s="11"/>
      <c r="H1430" s="11"/>
      <c r="I1430" s="11"/>
      <c r="J1430" s="11"/>
      <c r="K1430" s="11"/>
      <c r="L1430" s="11"/>
      <c r="M1430" s="11"/>
      <c r="N1430" s="44" t="n">
        <v>21.88</v>
      </c>
      <c r="O1430" s="11"/>
    </row>
    <row r="1431" customFormat="false" ht="14.25" hidden="false" customHeight="true" outlineLevel="0" collapsed="false">
      <c r="C1431" s="11"/>
      <c r="D1431" s="11"/>
      <c r="E1431" s="11"/>
      <c r="F1431" s="11"/>
      <c r="G1431" s="11"/>
      <c r="H1431" s="11"/>
      <c r="I1431" s="11"/>
      <c r="J1431" s="11"/>
      <c r="K1431" s="11"/>
      <c r="L1431" s="11"/>
      <c r="M1431" s="11"/>
      <c r="N1431" s="44" t="n">
        <v>21.91</v>
      </c>
      <c r="O1431" s="11"/>
    </row>
    <row r="1432" customFormat="false" ht="14.25" hidden="false" customHeight="true" outlineLevel="0" collapsed="false">
      <c r="C1432" s="11"/>
      <c r="D1432" s="11"/>
      <c r="E1432" s="11"/>
      <c r="F1432" s="11"/>
      <c r="G1432" s="11"/>
      <c r="H1432" s="11"/>
      <c r="I1432" s="11"/>
      <c r="J1432" s="11"/>
      <c r="K1432" s="11"/>
      <c r="L1432" s="11"/>
      <c r="M1432" s="11"/>
      <c r="N1432" s="44" t="n">
        <v>21.87</v>
      </c>
      <c r="O1432" s="11"/>
    </row>
    <row r="1433" customFormat="false" ht="14.25" hidden="false" customHeight="true" outlineLevel="0" collapsed="false">
      <c r="C1433" s="11"/>
      <c r="D1433" s="11"/>
      <c r="E1433" s="11"/>
      <c r="F1433" s="11"/>
      <c r="G1433" s="11"/>
      <c r="H1433" s="11"/>
      <c r="I1433" s="11"/>
      <c r="J1433" s="11"/>
      <c r="K1433" s="11"/>
      <c r="L1433" s="11"/>
      <c r="M1433" s="11"/>
      <c r="N1433" s="44" t="n">
        <v>22.2</v>
      </c>
      <c r="O1433" s="11"/>
    </row>
    <row r="1434" customFormat="false" ht="14.25" hidden="false" customHeight="true" outlineLevel="0" collapsed="false">
      <c r="C1434" s="11"/>
      <c r="D1434" s="11"/>
      <c r="E1434" s="11"/>
      <c r="F1434" s="11"/>
      <c r="G1434" s="11"/>
      <c r="H1434" s="11"/>
      <c r="I1434" s="11"/>
      <c r="J1434" s="11"/>
      <c r="K1434" s="11"/>
      <c r="L1434" s="11"/>
      <c r="M1434" s="11"/>
      <c r="N1434" s="44" t="n">
        <v>22.04</v>
      </c>
      <c r="O1434" s="11"/>
    </row>
    <row r="1435" customFormat="false" ht="14.25" hidden="false" customHeight="true" outlineLevel="0" collapsed="false">
      <c r="C1435" s="11"/>
      <c r="D1435" s="11"/>
      <c r="E1435" s="11"/>
      <c r="F1435" s="11"/>
      <c r="G1435" s="11"/>
      <c r="H1435" s="11"/>
      <c r="I1435" s="11"/>
      <c r="J1435" s="11"/>
      <c r="K1435" s="11"/>
      <c r="L1435" s="11"/>
      <c r="M1435" s="11"/>
      <c r="N1435" s="44" t="n">
        <v>21.59</v>
      </c>
      <c r="O1435" s="11"/>
    </row>
    <row r="1436" customFormat="false" ht="14.25" hidden="false" customHeight="true" outlineLevel="0" collapsed="false">
      <c r="C1436" s="11"/>
      <c r="D1436" s="11"/>
      <c r="E1436" s="11"/>
      <c r="F1436" s="11"/>
      <c r="G1436" s="11"/>
      <c r="H1436" s="11"/>
      <c r="I1436" s="11"/>
      <c r="J1436" s="11"/>
      <c r="K1436" s="11"/>
      <c r="L1436" s="11"/>
      <c r="M1436" s="11"/>
      <c r="N1436" s="44" t="n">
        <v>21.37</v>
      </c>
      <c r="O1436" s="11"/>
    </row>
    <row r="1437" customFormat="false" ht="14.25" hidden="false" customHeight="true" outlineLevel="0" collapsed="false">
      <c r="C1437" s="11"/>
      <c r="D1437" s="11"/>
      <c r="E1437" s="11"/>
      <c r="F1437" s="11"/>
      <c r="G1437" s="11"/>
      <c r="H1437" s="11"/>
      <c r="I1437" s="11"/>
      <c r="J1437" s="11"/>
      <c r="K1437" s="11"/>
      <c r="L1437" s="11"/>
      <c r="M1437" s="11"/>
      <c r="N1437" s="44" t="n">
        <v>21.22</v>
      </c>
      <c r="O1437" s="11"/>
    </row>
    <row r="1438" customFormat="false" ht="14.25" hidden="false" customHeight="true" outlineLevel="0" collapsed="false">
      <c r="C1438" s="11"/>
      <c r="D1438" s="11"/>
      <c r="E1438" s="11"/>
      <c r="F1438" s="11"/>
      <c r="G1438" s="11"/>
      <c r="H1438" s="11"/>
      <c r="I1438" s="11"/>
      <c r="J1438" s="11"/>
      <c r="K1438" s="11"/>
      <c r="L1438" s="11"/>
      <c r="M1438" s="11"/>
      <c r="N1438" s="44" t="n">
        <v>21.31</v>
      </c>
      <c r="O1438" s="11"/>
    </row>
    <row r="1439" customFormat="false" ht="14.25" hidden="false" customHeight="true" outlineLevel="0" collapsed="false">
      <c r="C1439" s="11"/>
      <c r="D1439" s="11"/>
      <c r="E1439" s="11"/>
      <c r="F1439" s="11"/>
      <c r="G1439" s="11"/>
      <c r="H1439" s="11"/>
      <c r="I1439" s="11"/>
      <c r="J1439" s="11"/>
      <c r="K1439" s="11"/>
      <c r="L1439" s="11"/>
      <c r="M1439" s="11"/>
      <c r="N1439" s="44" t="n">
        <v>21.3</v>
      </c>
      <c r="O1439" s="11"/>
    </row>
    <row r="1440" customFormat="false" ht="14.25" hidden="false" customHeight="true" outlineLevel="0" collapsed="false">
      <c r="C1440" s="11"/>
      <c r="D1440" s="11"/>
      <c r="E1440" s="11"/>
      <c r="F1440" s="11"/>
      <c r="G1440" s="11"/>
      <c r="H1440" s="11"/>
      <c r="I1440" s="11"/>
      <c r="J1440" s="11"/>
      <c r="K1440" s="11"/>
      <c r="L1440" s="11"/>
      <c r="M1440" s="11"/>
      <c r="N1440" s="44" t="n">
        <v>21.41</v>
      </c>
      <c r="O1440" s="11"/>
    </row>
    <row r="1441" customFormat="false" ht="14.25" hidden="false" customHeight="true" outlineLevel="0" collapsed="false">
      <c r="C1441" s="11"/>
      <c r="D1441" s="11"/>
      <c r="E1441" s="11"/>
      <c r="F1441" s="11"/>
      <c r="G1441" s="11"/>
      <c r="H1441" s="11"/>
      <c r="I1441" s="11"/>
      <c r="J1441" s="11"/>
      <c r="K1441" s="11"/>
      <c r="L1441" s="11"/>
      <c r="M1441" s="11"/>
      <c r="N1441" s="44" t="n">
        <v>21.45</v>
      </c>
      <c r="O1441" s="11"/>
    </row>
    <row r="1442" customFormat="false" ht="14.25" hidden="false" customHeight="true" outlineLevel="0" collapsed="false">
      <c r="C1442" s="11"/>
      <c r="D1442" s="11"/>
      <c r="E1442" s="11"/>
      <c r="F1442" s="11"/>
      <c r="G1442" s="11"/>
      <c r="H1442" s="11"/>
      <c r="I1442" s="11"/>
      <c r="J1442" s="11"/>
      <c r="K1442" s="11"/>
      <c r="L1442" s="11"/>
      <c r="M1442" s="11"/>
      <c r="N1442" s="44" t="n">
        <v>21.03</v>
      </c>
      <c r="O1442" s="11"/>
    </row>
    <row r="1443" customFormat="false" ht="14.25" hidden="false" customHeight="true" outlineLevel="0" collapsed="false">
      <c r="C1443" s="11"/>
      <c r="D1443" s="11"/>
      <c r="E1443" s="11"/>
      <c r="F1443" s="11"/>
      <c r="G1443" s="11"/>
      <c r="H1443" s="11"/>
      <c r="I1443" s="11"/>
      <c r="J1443" s="11"/>
      <c r="K1443" s="11"/>
      <c r="L1443" s="11"/>
      <c r="M1443" s="11"/>
      <c r="N1443" s="44" t="n">
        <v>21.24</v>
      </c>
      <c r="O1443" s="11"/>
    </row>
    <row r="1444" customFormat="false" ht="14.25" hidden="false" customHeight="true" outlineLevel="0" collapsed="false">
      <c r="C1444" s="11"/>
      <c r="D1444" s="11"/>
      <c r="E1444" s="11"/>
      <c r="F1444" s="11"/>
      <c r="G1444" s="11"/>
      <c r="H1444" s="11"/>
      <c r="I1444" s="11"/>
      <c r="J1444" s="11"/>
      <c r="K1444" s="11"/>
      <c r="L1444" s="11"/>
      <c r="M1444" s="11"/>
      <c r="N1444" s="44" t="n">
        <v>21.07</v>
      </c>
      <c r="O1444" s="11"/>
    </row>
    <row r="1445" customFormat="false" ht="14.25" hidden="false" customHeight="true" outlineLevel="0" collapsed="false">
      <c r="C1445" s="11"/>
      <c r="D1445" s="11"/>
      <c r="E1445" s="11"/>
      <c r="F1445" s="11"/>
      <c r="G1445" s="11"/>
      <c r="H1445" s="11"/>
      <c r="I1445" s="11"/>
      <c r="J1445" s="11"/>
      <c r="K1445" s="11"/>
      <c r="L1445" s="11"/>
      <c r="M1445" s="11"/>
      <c r="N1445" s="44" t="n">
        <v>19.88</v>
      </c>
      <c r="O1445" s="11"/>
    </row>
    <row r="1446" customFormat="false" ht="14.25" hidden="false" customHeight="true" outlineLevel="0" collapsed="false">
      <c r="C1446" s="11"/>
      <c r="D1446" s="11"/>
      <c r="E1446" s="11"/>
      <c r="F1446" s="11"/>
      <c r="G1446" s="11"/>
      <c r="H1446" s="11"/>
      <c r="I1446" s="11"/>
      <c r="J1446" s="11"/>
      <c r="K1446" s="11"/>
      <c r="L1446" s="11"/>
      <c r="M1446" s="11"/>
      <c r="N1446" s="44" t="n">
        <v>19.29</v>
      </c>
      <c r="O1446" s="11"/>
    </row>
    <row r="1447" customFormat="false" ht="14.25" hidden="false" customHeight="true" outlineLevel="0" collapsed="false">
      <c r="C1447" s="11"/>
      <c r="D1447" s="11"/>
      <c r="E1447" s="11"/>
      <c r="F1447" s="11"/>
      <c r="G1447" s="11"/>
      <c r="H1447" s="11"/>
      <c r="I1447" s="11"/>
      <c r="J1447" s="11"/>
      <c r="K1447" s="11"/>
      <c r="L1447" s="11"/>
      <c r="M1447" s="11"/>
      <c r="N1447" s="44" t="n">
        <v>19.89</v>
      </c>
      <c r="O1447" s="11"/>
    </row>
    <row r="1448" customFormat="false" ht="14.25" hidden="false" customHeight="true" outlineLevel="0" collapsed="false">
      <c r="C1448" s="11"/>
      <c r="D1448" s="11"/>
      <c r="E1448" s="11"/>
      <c r="F1448" s="11"/>
      <c r="G1448" s="11"/>
      <c r="H1448" s="11"/>
      <c r="I1448" s="11"/>
      <c r="J1448" s="11"/>
      <c r="K1448" s="11"/>
      <c r="L1448" s="11"/>
      <c r="M1448" s="11"/>
      <c r="N1448" s="44" t="n">
        <v>19.85</v>
      </c>
      <c r="O1448" s="11"/>
    </row>
    <row r="1449" customFormat="false" ht="14.25" hidden="false" customHeight="true" outlineLevel="0" collapsed="false">
      <c r="C1449" s="11"/>
      <c r="D1449" s="11"/>
      <c r="E1449" s="11"/>
      <c r="F1449" s="11"/>
      <c r="G1449" s="11"/>
      <c r="H1449" s="11"/>
      <c r="I1449" s="11"/>
      <c r="J1449" s="11"/>
      <c r="K1449" s="11"/>
      <c r="L1449" s="11"/>
      <c r="M1449" s="11"/>
      <c r="N1449" s="44" t="n">
        <v>19.62</v>
      </c>
      <c r="O1449" s="11"/>
    </row>
    <row r="1450" customFormat="false" ht="14.25" hidden="false" customHeight="true" outlineLevel="0" collapsed="false">
      <c r="C1450" s="11"/>
      <c r="D1450" s="11"/>
      <c r="E1450" s="11"/>
      <c r="F1450" s="11"/>
      <c r="G1450" s="11"/>
      <c r="H1450" s="11"/>
      <c r="I1450" s="11"/>
      <c r="J1450" s="11"/>
      <c r="K1450" s="11"/>
      <c r="L1450" s="11"/>
      <c r="M1450" s="11"/>
      <c r="N1450" s="44" t="n">
        <v>20.19</v>
      </c>
      <c r="O1450" s="11"/>
    </row>
    <row r="1451" customFormat="false" ht="14.25" hidden="false" customHeight="true" outlineLevel="0" collapsed="false">
      <c r="C1451" s="11"/>
      <c r="D1451" s="11"/>
      <c r="E1451" s="11"/>
      <c r="F1451" s="11"/>
      <c r="G1451" s="11"/>
      <c r="H1451" s="11"/>
      <c r="I1451" s="11"/>
      <c r="J1451" s="11"/>
      <c r="K1451" s="11"/>
      <c r="L1451" s="11"/>
      <c r="M1451" s="11"/>
      <c r="N1451" s="44" t="n">
        <v>19.79</v>
      </c>
      <c r="O1451" s="11"/>
    </row>
    <row r="1452" customFormat="false" ht="14.25" hidden="false" customHeight="true" outlineLevel="0" collapsed="false">
      <c r="C1452" s="11"/>
      <c r="D1452" s="11"/>
      <c r="E1452" s="11"/>
      <c r="F1452" s="11"/>
      <c r="G1452" s="11"/>
      <c r="H1452" s="11"/>
      <c r="I1452" s="11"/>
      <c r="J1452" s="11"/>
      <c r="K1452" s="11"/>
      <c r="L1452" s="11"/>
      <c r="M1452" s="11"/>
      <c r="N1452" s="44" t="n">
        <v>19.39</v>
      </c>
      <c r="O1452" s="11"/>
    </row>
    <row r="1453" customFormat="false" ht="14.25" hidden="false" customHeight="true" outlineLevel="0" collapsed="false">
      <c r="C1453" s="11"/>
      <c r="D1453" s="11"/>
      <c r="E1453" s="11"/>
      <c r="F1453" s="11"/>
      <c r="G1453" s="11"/>
      <c r="H1453" s="11"/>
      <c r="I1453" s="11"/>
      <c r="J1453" s="11"/>
      <c r="K1453" s="11"/>
      <c r="L1453" s="11"/>
      <c r="M1453" s="11"/>
      <c r="N1453" s="44" t="n">
        <v>18.81</v>
      </c>
      <c r="O1453" s="11"/>
    </row>
    <row r="1454" customFormat="false" ht="14.25" hidden="false" customHeight="true" outlineLevel="0" collapsed="false">
      <c r="C1454" s="11"/>
      <c r="D1454" s="11"/>
      <c r="E1454" s="11"/>
      <c r="F1454" s="11"/>
      <c r="G1454" s="11"/>
      <c r="H1454" s="11"/>
      <c r="I1454" s="11"/>
      <c r="J1454" s="11"/>
      <c r="K1454" s="11"/>
      <c r="L1454" s="11"/>
      <c r="M1454" s="11"/>
      <c r="N1454" s="44" t="n">
        <v>19.2</v>
      </c>
      <c r="O1454" s="11"/>
    </row>
    <row r="1455" customFormat="false" ht="14.25" hidden="false" customHeight="true" outlineLevel="0" collapsed="false">
      <c r="C1455" s="11"/>
      <c r="D1455" s="11"/>
      <c r="E1455" s="11"/>
      <c r="F1455" s="11"/>
      <c r="G1455" s="11"/>
      <c r="H1455" s="11"/>
      <c r="I1455" s="11"/>
      <c r="J1455" s="11"/>
      <c r="K1455" s="11"/>
      <c r="L1455" s="11"/>
      <c r="M1455" s="11"/>
      <c r="N1455" s="44" t="n">
        <v>19.25</v>
      </c>
      <c r="O1455" s="11"/>
    </row>
    <row r="1456" customFormat="false" ht="14.25" hidden="false" customHeight="true" outlineLevel="0" collapsed="false">
      <c r="C1456" s="11"/>
      <c r="D1456" s="11"/>
      <c r="E1456" s="11"/>
      <c r="F1456" s="11"/>
      <c r="G1456" s="11"/>
      <c r="H1456" s="11"/>
      <c r="I1456" s="11"/>
      <c r="J1456" s="11"/>
      <c r="K1456" s="11"/>
      <c r="L1456" s="11"/>
      <c r="M1456" s="11"/>
      <c r="N1456" s="44" t="n">
        <v>19.03</v>
      </c>
      <c r="O1456" s="11"/>
    </row>
    <row r="1457" customFormat="false" ht="14.25" hidden="false" customHeight="true" outlineLevel="0" collapsed="false">
      <c r="C1457" s="11"/>
      <c r="D1457" s="11"/>
      <c r="E1457" s="11"/>
      <c r="F1457" s="11"/>
      <c r="G1457" s="11"/>
      <c r="H1457" s="11"/>
      <c r="I1457" s="11"/>
      <c r="J1457" s="11"/>
      <c r="K1457" s="11"/>
      <c r="L1457" s="11"/>
      <c r="M1457" s="11"/>
      <c r="N1457" s="44" t="n">
        <v>19</v>
      </c>
      <c r="O1457" s="11"/>
    </row>
    <row r="1458" customFormat="false" ht="14.25" hidden="false" customHeight="true" outlineLevel="0" collapsed="false">
      <c r="C1458" s="11"/>
      <c r="D1458" s="11"/>
      <c r="E1458" s="11"/>
      <c r="F1458" s="11"/>
      <c r="G1458" s="11"/>
      <c r="H1458" s="11"/>
      <c r="I1458" s="11"/>
      <c r="J1458" s="11"/>
      <c r="K1458" s="11"/>
      <c r="L1458" s="11"/>
      <c r="M1458" s="11"/>
      <c r="N1458" s="44" t="n">
        <v>18.75</v>
      </c>
      <c r="O1458" s="11"/>
    </row>
    <row r="1459" customFormat="false" ht="14.25" hidden="false" customHeight="true" outlineLevel="0" collapsed="false">
      <c r="C1459" s="11"/>
      <c r="D1459" s="11"/>
      <c r="E1459" s="11"/>
      <c r="F1459" s="11"/>
      <c r="G1459" s="11"/>
      <c r="H1459" s="11"/>
      <c r="I1459" s="11"/>
      <c r="J1459" s="11"/>
      <c r="K1459" s="11"/>
      <c r="L1459" s="11"/>
      <c r="M1459" s="11"/>
      <c r="N1459" s="44" t="n">
        <v>18.79</v>
      </c>
      <c r="O1459" s="11"/>
    </row>
    <row r="1460" customFormat="false" ht="14.25" hidden="false" customHeight="true" outlineLevel="0" collapsed="false">
      <c r="C1460" s="11"/>
      <c r="D1460" s="11"/>
      <c r="E1460" s="11"/>
      <c r="F1460" s="11"/>
      <c r="G1460" s="11"/>
      <c r="H1460" s="11"/>
      <c r="I1460" s="11"/>
      <c r="J1460" s="11"/>
      <c r="K1460" s="11"/>
      <c r="L1460" s="11"/>
      <c r="M1460" s="11"/>
      <c r="N1460" s="44" t="n">
        <v>18.53</v>
      </c>
      <c r="O1460" s="11"/>
    </row>
    <row r="1461" customFormat="false" ht="14.25" hidden="false" customHeight="true" outlineLevel="0" collapsed="false">
      <c r="C1461" s="11"/>
      <c r="D1461" s="11"/>
      <c r="E1461" s="11"/>
      <c r="F1461" s="11"/>
      <c r="G1461" s="11"/>
      <c r="H1461" s="11"/>
      <c r="I1461" s="11"/>
      <c r="J1461" s="11"/>
      <c r="K1461" s="11"/>
      <c r="L1461" s="11"/>
      <c r="M1461" s="11"/>
      <c r="N1461" s="44" t="n">
        <v>18.91</v>
      </c>
      <c r="O1461" s="11"/>
    </row>
    <row r="1462" customFormat="false" ht="14.25" hidden="false" customHeight="true" outlineLevel="0" collapsed="false">
      <c r="C1462" s="11"/>
      <c r="D1462" s="11"/>
      <c r="E1462" s="11"/>
      <c r="F1462" s="11"/>
      <c r="G1462" s="11"/>
      <c r="H1462" s="11"/>
      <c r="I1462" s="11"/>
      <c r="J1462" s="11"/>
      <c r="K1462" s="11"/>
      <c r="L1462" s="11"/>
      <c r="M1462" s="11"/>
      <c r="N1462" s="44" t="n">
        <v>19.01</v>
      </c>
      <c r="O1462" s="11"/>
    </row>
    <row r="1463" customFormat="false" ht="14.25" hidden="false" customHeight="true" outlineLevel="0" collapsed="false">
      <c r="C1463" s="11"/>
      <c r="D1463" s="11"/>
      <c r="E1463" s="11"/>
      <c r="F1463" s="11"/>
      <c r="G1463" s="11"/>
      <c r="H1463" s="11"/>
      <c r="I1463" s="11"/>
      <c r="J1463" s="11"/>
      <c r="K1463" s="11"/>
      <c r="L1463" s="11"/>
      <c r="M1463" s="11"/>
      <c r="N1463" s="44" t="n">
        <v>18.85</v>
      </c>
      <c r="O1463" s="11"/>
    </row>
    <row r="1464" customFormat="false" ht="14.25" hidden="false" customHeight="true" outlineLevel="0" collapsed="false">
      <c r="C1464" s="11"/>
      <c r="D1464" s="11"/>
      <c r="E1464" s="11"/>
      <c r="F1464" s="11"/>
      <c r="G1464" s="11"/>
      <c r="H1464" s="11"/>
      <c r="I1464" s="11"/>
      <c r="J1464" s="11"/>
      <c r="K1464" s="11"/>
      <c r="L1464" s="11"/>
      <c r="M1464" s="11"/>
      <c r="N1464" s="44" t="n">
        <v>18.85</v>
      </c>
      <c r="O1464" s="11"/>
    </row>
    <row r="1465" customFormat="false" ht="14.25" hidden="false" customHeight="true" outlineLevel="0" collapsed="false">
      <c r="C1465" s="11"/>
      <c r="D1465" s="11"/>
      <c r="E1465" s="11"/>
      <c r="F1465" s="11"/>
      <c r="G1465" s="11"/>
      <c r="H1465" s="11"/>
      <c r="I1465" s="11"/>
      <c r="J1465" s="11"/>
      <c r="K1465" s="11"/>
      <c r="L1465" s="11"/>
      <c r="M1465" s="11"/>
      <c r="N1465" s="44" t="n">
        <v>18.87</v>
      </c>
      <c r="O1465" s="11"/>
    </row>
    <row r="1466" customFormat="false" ht="14.25" hidden="false" customHeight="true" outlineLevel="0" collapsed="false">
      <c r="C1466" s="11"/>
      <c r="D1466" s="11"/>
      <c r="E1466" s="11"/>
      <c r="F1466" s="11"/>
      <c r="G1466" s="11"/>
      <c r="H1466" s="11"/>
      <c r="I1466" s="11"/>
      <c r="J1466" s="11"/>
      <c r="K1466" s="11"/>
      <c r="L1466" s="11"/>
      <c r="M1466" s="11"/>
      <c r="N1466" s="44" t="n">
        <v>18.97</v>
      </c>
      <c r="O1466" s="11"/>
    </row>
    <row r="1467" customFormat="false" ht="14.25" hidden="false" customHeight="true" outlineLevel="0" collapsed="false">
      <c r="C1467" s="11"/>
      <c r="D1467" s="11"/>
      <c r="E1467" s="11"/>
      <c r="F1467" s="11"/>
      <c r="G1467" s="11"/>
      <c r="H1467" s="11"/>
      <c r="I1467" s="11"/>
      <c r="J1467" s="11"/>
      <c r="K1467" s="11"/>
      <c r="L1467" s="11"/>
      <c r="M1467" s="11"/>
      <c r="N1467" s="44" t="n">
        <v>18.41</v>
      </c>
      <c r="O1467" s="11"/>
    </row>
    <row r="1468" customFormat="false" ht="14.25" hidden="false" customHeight="true" outlineLevel="0" collapsed="false">
      <c r="C1468" s="11"/>
      <c r="D1468" s="11"/>
      <c r="E1468" s="11"/>
      <c r="F1468" s="11"/>
      <c r="G1468" s="11"/>
      <c r="H1468" s="11"/>
      <c r="I1468" s="11"/>
      <c r="J1468" s="11"/>
      <c r="K1468" s="11"/>
      <c r="L1468" s="11"/>
      <c r="M1468" s="11"/>
      <c r="N1468" s="44" t="n">
        <v>18.93</v>
      </c>
      <c r="O1468" s="11"/>
    </row>
    <row r="1469" customFormat="false" ht="14.25" hidden="false" customHeight="true" outlineLevel="0" collapsed="false">
      <c r="C1469" s="11"/>
      <c r="D1469" s="11"/>
      <c r="E1469" s="11"/>
      <c r="F1469" s="11"/>
      <c r="G1469" s="11"/>
      <c r="H1469" s="11"/>
      <c r="I1469" s="11"/>
      <c r="J1469" s="11"/>
      <c r="K1469" s="11"/>
      <c r="L1469" s="11"/>
      <c r="M1469" s="11"/>
      <c r="N1469" s="44" t="n">
        <v>18.98</v>
      </c>
      <c r="O1469" s="11"/>
    </row>
    <row r="1470" customFormat="false" ht="14.25" hidden="false" customHeight="true" outlineLevel="0" collapsed="false">
      <c r="C1470" s="11"/>
      <c r="D1470" s="11"/>
      <c r="E1470" s="11"/>
      <c r="F1470" s="11"/>
      <c r="G1470" s="11"/>
      <c r="H1470" s="11"/>
      <c r="I1470" s="11"/>
      <c r="J1470" s="11"/>
      <c r="K1470" s="11"/>
      <c r="L1470" s="11"/>
      <c r="M1470" s="11"/>
      <c r="N1470" s="44" t="n">
        <v>18.52</v>
      </c>
      <c r="O1470" s="11"/>
    </row>
    <row r="1471" customFormat="false" ht="14.25" hidden="false" customHeight="true" outlineLevel="0" collapsed="false">
      <c r="C1471" s="11"/>
      <c r="D1471" s="11"/>
      <c r="E1471" s="11"/>
      <c r="F1471" s="11"/>
      <c r="G1471" s="11"/>
      <c r="H1471" s="11"/>
      <c r="I1471" s="11"/>
      <c r="J1471" s="11"/>
      <c r="K1471" s="11"/>
      <c r="L1471" s="11"/>
      <c r="M1471" s="11"/>
      <c r="N1471" s="44" t="n">
        <v>18.6</v>
      </c>
      <c r="O1471" s="11"/>
    </row>
    <row r="1472" customFormat="false" ht="14.25" hidden="false" customHeight="true" outlineLevel="0" collapsed="false">
      <c r="C1472" s="11"/>
      <c r="D1472" s="11"/>
      <c r="E1472" s="11"/>
      <c r="F1472" s="11"/>
      <c r="G1472" s="11"/>
      <c r="H1472" s="11"/>
      <c r="I1472" s="11"/>
      <c r="J1472" s="11"/>
      <c r="K1472" s="11"/>
      <c r="L1472" s="11"/>
      <c r="M1472" s="11"/>
      <c r="N1472" s="44" t="n">
        <v>18.79</v>
      </c>
      <c r="O1472" s="11"/>
    </row>
    <row r="1473" customFormat="false" ht="14.25" hidden="false" customHeight="true" outlineLevel="0" collapsed="false">
      <c r="C1473" s="11"/>
      <c r="D1473" s="11"/>
      <c r="E1473" s="11"/>
      <c r="F1473" s="11"/>
      <c r="G1473" s="11"/>
      <c r="H1473" s="11"/>
      <c r="I1473" s="11"/>
      <c r="J1473" s="11"/>
      <c r="K1473" s="11"/>
      <c r="L1473" s="11"/>
      <c r="M1473" s="11"/>
      <c r="N1473" s="44" t="n">
        <v>18.66</v>
      </c>
      <c r="O1473" s="11"/>
    </row>
    <row r="1474" customFormat="false" ht="14.25" hidden="false" customHeight="true" outlineLevel="0" collapsed="false">
      <c r="C1474" s="11"/>
      <c r="D1474" s="11"/>
      <c r="E1474" s="11"/>
      <c r="F1474" s="11"/>
      <c r="G1474" s="11"/>
      <c r="H1474" s="11"/>
      <c r="I1474" s="11"/>
      <c r="J1474" s="11"/>
      <c r="K1474" s="11"/>
      <c r="L1474" s="11"/>
      <c r="M1474" s="11"/>
      <c r="N1474" s="44" t="n">
        <v>18.72</v>
      </c>
      <c r="O1474" s="11"/>
    </row>
    <row r="1475" customFormat="false" ht="14.25" hidden="false" customHeight="true" outlineLevel="0" collapsed="false">
      <c r="C1475" s="11"/>
      <c r="D1475" s="11"/>
      <c r="E1475" s="11"/>
      <c r="F1475" s="11"/>
      <c r="G1475" s="11"/>
      <c r="H1475" s="11"/>
      <c r="I1475" s="11"/>
      <c r="J1475" s="11"/>
      <c r="K1475" s="11"/>
      <c r="L1475" s="11"/>
      <c r="M1475" s="11"/>
      <c r="N1475" s="44" t="n">
        <v>18.97</v>
      </c>
      <c r="O1475" s="11"/>
    </row>
    <row r="1476" customFormat="false" ht="14.25" hidden="false" customHeight="true" outlineLevel="0" collapsed="false">
      <c r="C1476" s="11"/>
      <c r="D1476" s="11"/>
      <c r="E1476" s="11"/>
      <c r="F1476" s="11"/>
      <c r="G1476" s="11"/>
      <c r="H1476" s="11"/>
      <c r="I1476" s="11"/>
      <c r="J1476" s="11"/>
      <c r="K1476" s="11"/>
      <c r="L1476" s="11"/>
      <c r="M1476" s="11"/>
      <c r="N1476" s="44" t="n">
        <v>19.01</v>
      </c>
      <c r="O1476" s="11"/>
    </row>
    <row r="1477" customFormat="false" ht="14.25" hidden="false" customHeight="true" outlineLevel="0" collapsed="false">
      <c r="C1477" s="11"/>
      <c r="D1477" s="11"/>
      <c r="E1477" s="11"/>
      <c r="F1477" s="11"/>
      <c r="G1477" s="11"/>
      <c r="H1477" s="11"/>
      <c r="I1477" s="11"/>
      <c r="J1477" s="11"/>
      <c r="K1477" s="11"/>
      <c r="L1477" s="11"/>
      <c r="M1477" s="11"/>
      <c r="N1477" s="44" t="n">
        <v>18.45</v>
      </c>
      <c r="O1477" s="11"/>
    </row>
    <row r="1478" customFormat="false" ht="14.25" hidden="false" customHeight="true" outlineLevel="0" collapsed="false">
      <c r="C1478" s="11"/>
      <c r="D1478" s="11"/>
      <c r="E1478" s="11"/>
      <c r="F1478" s="11"/>
      <c r="G1478" s="11"/>
      <c r="H1478" s="11"/>
      <c r="I1478" s="11"/>
      <c r="J1478" s="11"/>
      <c r="K1478" s="11"/>
      <c r="L1478" s="11"/>
      <c r="M1478" s="11"/>
      <c r="N1478" s="44" t="n">
        <v>18.79</v>
      </c>
      <c r="O1478" s="11"/>
    </row>
    <row r="1479" customFormat="false" ht="14.25" hidden="false" customHeight="true" outlineLevel="0" collapsed="false">
      <c r="C1479" s="11"/>
      <c r="D1479" s="11"/>
      <c r="E1479" s="11"/>
      <c r="F1479" s="11"/>
      <c r="G1479" s="11"/>
      <c r="H1479" s="11"/>
      <c r="I1479" s="11"/>
      <c r="J1479" s="11"/>
      <c r="K1479" s="11"/>
      <c r="L1479" s="11"/>
      <c r="M1479" s="11"/>
      <c r="N1479" s="44" t="n">
        <v>18.29</v>
      </c>
      <c r="O1479" s="11"/>
    </row>
    <row r="1480" customFormat="false" ht="14.25" hidden="false" customHeight="true" outlineLevel="0" collapsed="false">
      <c r="C1480" s="11"/>
      <c r="D1480" s="11"/>
      <c r="E1480" s="11"/>
      <c r="F1480" s="11"/>
      <c r="G1480" s="11"/>
      <c r="H1480" s="11"/>
      <c r="I1480" s="11"/>
      <c r="J1480" s="11"/>
      <c r="K1480" s="11"/>
      <c r="L1480" s="11"/>
      <c r="M1480" s="11"/>
      <c r="N1480" s="44" t="n">
        <v>18.5</v>
      </c>
      <c r="O1480" s="11"/>
    </row>
    <row r="1481" customFormat="false" ht="14.25" hidden="false" customHeight="true" outlineLevel="0" collapsed="false">
      <c r="C1481" s="11"/>
      <c r="D1481" s="11"/>
      <c r="E1481" s="11"/>
      <c r="F1481" s="11"/>
      <c r="G1481" s="11"/>
      <c r="H1481" s="11"/>
      <c r="I1481" s="11"/>
      <c r="J1481" s="11"/>
      <c r="K1481" s="11"/>
      <c r="L1481" s="11"/>
      <c r="M1481" s="11"/>
      <c r="N1481" s="44" t="n">
        <v>19.02</v>
      </c>
      <c r="O1481" s="11"/>
    </row>
    <row r="1482" customFormat="false" ht="14.25" hidden="false" customHeight="true" outlineLevel="0" collapsed="false">
      <c r="C1482" s="11"/>
      <c r="D1482" s="11"/>
      <c r="E1482" s="11"/>
      <c r="F1482" s="11"/>
      <c r="G1482" s="11"/>
      <c r="H1482" s="11"/>
      <c r="I1482" s="11"/>
      <c r="J1482" s="11"/>
      <c r="K1482" s="11"/>
      <c r="L1482" s="11"/>
      <c r="M1482" s="11"/>
      <c r="N1482" s="44" t="n">
        <v>18.63</v>
      </c>
      <c r="O1482" s="11"/>
    </row>
    <row r="1483" customFormat="false" ht="14.25" hidden="false" customHeight="true" outlineLevel="0" collapsed="false">
      <c r="C1483" s="11"/>
      <c r="D1483" s="11"/>
      <c r="E1483" s="11"/>
      <c r="F1483" s="11"/>
      <c r="G1483" s="11"/>
      <c r="H1483" s="11"/>
      <c r="I1483" s="11"/>
      <c r="J1483" s="11"/>
      <c r="K1483" s="11"/>
      <c r="L1483" s="11"/>
      <c r="M1483" s="11"/>
      <c r="N1483" s="44" t="n">
        <v>18.92</v>
      </c>
      <c r="O1483" s="11"/>
    </row>
    <row r="1484" customFormat="false" ht="14.25" hidden="false" customHeight="true" outlineLevel="0" collapsed="false">
      <c r="C1484" s="11"/>
      <c r="D1484" s="11"/>
      <c r="E1484" s="11"/>
      <c r="F1484" s="11"/>
      <c r="G1484" s="11"/>
      <c r="H1484" s="11"/>
      <c r="I1484" s="11"/>
      <c r="J1484" s="11"/>
      <c r="K1484" s="11"/>
      <c r="L1484" s="11"/>
      <c r="M1484" s="11"/>
      <c r="N1484" s="44" t="n">
        <v>19.39</v>
      </c>
      <c r="O1484" s="11"/>
    </row>
    <row r="1485" customFormat="false" ht="14.25" hidden="false" customHeight="true" outlineLevel="0" collapsed="false">
      <c r="C1485" s="11"/>
      <c r="D1485" s="11"/>
      <c r="E1485" s="11"/>
      <c r="F1485" s="11"/>
      <c r="G1485" s="11"/>
      <c r="H1485" s="11"/>
      <c r="I1485" s="11"/>
      <c r="J1485" s="11"/>
      <c r="K1485" s="11"/>
      <c r="L1485" s="11"/>
      <c r="M1485" s="11"/>
      <c r="N1485" s="44" t="n">
        <v>19.21</v>
      </c>
      <c r="O1485" s="11"/>
    </row>
    <row r="1486" customFormat="false" ht="14.25" hidden="false" customHeight="true" outlineLevel="0" collapsed="false">
      <c r="C1486" s="11"/>
      <c r="D1486" s="11"/>
      <c r="E1486" s="11"/>
      <c r="F1486" s="11"/>
      <c r="G1486" s="11"/>
      <c r="H1486" s="11"/>
      <c r="I1486" s="11"/>
      <c r="J1486" s="11"/>
      <c r="K1486" s="11"/>
      <c r="L1486" s="11"/>
      <c r="M1486" s="11"/>
      <c r="N1486" s="44" t="n">
        <v>19.2</v>
      </c>
      <c r="O1486" s="11"/>
    </row>
    <row r="1487" customFormat="false" ht="14.25" hidden="false" customHeight="true" outlineLevel="0" collapsed="false">
      <c r="C1487" s="11"/>
      <c r="D1487" s="11"/>
      <c r="E1487" s="11"/>
      <c r="F1487" s="11"/>
      <c r="G1487" s="11"/>
      <c r="H1487" s="11"/>
      <c r="I1487" s="11"/>
      <c r="J1487" s="11"/>
      <c r="K1487" s="11"/>
      <c r="L1487" s="11"/>
      <c r="M1487" s="11"/>
      <c r="N1487" s="44" t="n">
        <v>19.06</v>
      </c>
      <c r="O1487" s="11"/>
    </row>
    <row r="1488" customFormat="false" ht="14.25" hidden="false" customHeight="true" outlineLevel="0" collapsed="false">
      <c r="C1488" s="11"/>
      <c r="D1488" s="11"/>
      <c r="E1488" s="11"/>
      <c r="F1488" s="11"/>
      <c r="G1488" s="11"/>
      <c r="H1488" s="11"/>
      <c r="I1488" s="11"/>
      <c r="J1488" s="11"/>
      <c r="K1488" s="11"/>
      <c r="L1488" s="11"/>
      <c r="M1488" s="11"/>
      <c r="N1488" s="44" t="n">
        <v>18.73</v>
      </c>
      <c r="O1488" s="11"/>
    </row>
    <row r="1489" customFormat="false" ht="14.25" hidden="false" customHeight="true" outlineLevel="0" collapsed="false">
      <c r="C1489" s="11"/>
      <c r="D1489" s="11"/>
      <c r="E1489" s="11"/>
      <c r="F1489" s="11"/>
      <c r="G1489" s="11"/>
      <c r="H1489" s="11"/>
      <c r="I1489" s="11"/>
      <c r="J1489" s="11"/>
      <c r="K1489" s="11"/>
      <c r="L1489" s="11"/>
      <c r="M1489" s="11"/>
      <c r="N1489" s="44" t="n">
        <v>17.86</v>
      </c>
      <c r="O1489" s="11"/>
    </row>
    <row r="1490" customFormat="false" ht="14.25" hidden="false" customHeight="true" outlineLevel="0" collapsed="false">
      <c r="C1490" s="11"/>
      <c r="D1490" s="11"/>
      <c r="E1490" s="11"/>
      <c r="F1490" s="11"/>
      <c r="G1490" s="11"/>
      <c r="H1490" s="11"/>
      <c r="I1490" s="11"/>
      <c r="J1490" s="11"/>
      <c r="K1490" s="11"/>
      <c r="L1490" s="11"/>
      <c r="M1490" s="11"/>
      <c r="N1490" s="44" t="n">
        <v>17.49</v>
      </c>
      <c r="O1490" s="11"/>
    </row>
    <row r="1491" customFormat="false" ht="14.25" hidden="false" customHeight="true" outlineLevel="0" collapsed="false">
      <c r="C1491" s="11"/>
      <c r="D1491" s="11"/>
      <c r="E1491" s="11"/>
      <c r="F1491" s="11"/>
      <c r="G1491" s="11"/>
      <c r="H1491" s="11"/>
      <c r="I1491" s="11"/>
      <c r="J1491" s="11"/>
      <c r="K1491" s="11"/>
      <c r="L1491" s="11"/>
      <c r="M1491" s="11"/>
      <c r="N1491" s="44" t="n">
        <v>17.62</v>
      </c>
      <c r="O1491" s="11"/>
    </row>
    <row r="1492" customFormat="false" ht="14.25" hidden="false" customHeight="true" outlineLevel="0" collapsed="false">
      <c r="C1492" s="11"/>
      <c r="D1492" s="11"/>
      <c r="E1492" s="11"/>
      <c r="F1492" s="11"/>
      <c r="G1492" s="11"/>
      <c r="H1492" s="11"/>
      <c r="I1492" s="11"/>
      <c r="J1492" s="11"/>
      <c r="K1492" s="11"/>
      <c r="L1492" s="11"/>
      <c r="M1492" s="11"/>
      <c r="N1492" s="44" t="n">
        <v>17.67</v>
      </c>
      <c r="O1492" s="11"/>
    </row>
    <row r="1493" customFormat="false" ht="14.25" hidden="false" customHeight="true" outlineLevel="0" collapsed="false">
      <c r="C1493" s="11"/>
      <c r="D1493" s="11"/>
      <c r="E1493" s="11"/>
      <c r="F1493" s="11"/>
      <c r="G1493" s="11"/>
      <c r="H1493" s="11"/>
      <c r="I1493" s="11"/>
      <c r="J1493" s="11"/>
      <c r="K1493" s="11"/>
      <c r="L1493" s="11"/>
      <c r="M1493" s="11"/>
      <c r="N1493" s="44" t="n">
        <v>17.85</v>
      </c>
      <c r="O1493" s="11"/>
    </row>
    <row r="1494" customFormat="false" ht="14.25" hidden="false" customHeight="true" outlineLevel="0" collapsed="false">
      <c r="C1494" s="11"/>
      <c r="D1494" s="11"/>
      <c r="E1494" s="11"/>
      <c r="F1494" s="11"/>
      <c r="G1494" s="11"/>
      <c r="H1494" s="11"/>
      <c r="I1494" s="11"/>
      <c r="J1494" s="11"/>
      <c r="K1494" s="11"/>
      <c r="L1494" s="11"/>
      <c r="M1494" s="11"/>
      <c r="N1494" s="44" t="n">
        <v>18.16</v>
      </c>
      <c r="O1494" s="11"/>
    </row>
    <row r="1495" customFormat="false" ht="14.25" hidden="false" customHeight="true" outlineLevel="0" collapsed="false">
      <c r="C1495" s="11"/>
      <c r="D1495" s="11"/>
      <c r="E1495" s="11"/>
      <c r="F1495" s="11"/>
      <c r="G1495" s="11"/>
      <c r="H1495" s="11"/>
      <c r="I1495" s="11"/>
      <c r="J1495" s="11"/>
      <c r="K1495" s="11"/>
      <c r="L1495" s="11"/>
      <c r="M1495" s="11"/>
      <c r="N1495" s="44" t="n">
        <v>18.11</v>
      </c>
      <c r="O1495" s="11"/>
    </row>
    <row r="1496" customFormat="false" ht="14.25" hidden="false" customHeight="true" outlineLevel="0" collapsed="false">
      <c r="C1496" s="11"/>
      <c r="D1496" s="11"/>
      <c r="E1496" s="11"/>
      <c r="F1496" s="11"/>
      <c r="G1496" s="11"/>
      <c r="H1496" s="11"/>
      <c r="I1496" s="11"/>
      <c r="J1496" s="11"/>
      <c r="K1496" s="11"/>
      <c r="L1496" s="11"/>
      <c r="M1496" s="11"/>
      <c r="N1496" s="44" t="n">
        <v>18.67</v>
      </c>
      <c r="O1496" s="11"/>
    </row>
    <row r="1497" customFormat="false" ht="14.25" hidden="false" customHeight="true" outlineLevel="0" collapsed="false">
      <c r="C1497" s="11"/>
      <c r="D1497" s="11"/>
      <c r="E1497" s="11"/>
      <c r="F1497" s="11"/>
      <c r="G1497" s="11"/>
      <c r="H1497" s="11"/>
      <c r="I1497" s="11"/>
      <c r="J1497" s="11"/>
      <c r="K1497" s="11"/>
      <c r="L1497" s="11"/>
      <c r="M1497" s="11"/>
      <c r="N1497" s="44" t="n">
        <v>18.66</v>
      </c>
      <c r="O1497" s="11"/>
    </row>
    <row r="1498" customFormat="false" ht="14.25" hidden="false" customHeight="true" outlineLevel="0" collapsed="false">
      <c r="C1498" s="11"/>
      <c r="D1498" s="11"/>
      <c r="E1498" s="11"/>
      <c r="F1498" s="11"/>
      <c r="G1498" s="11"/>
      <c r="H1498" s="11"/>
      <c r="I1498" s="11"/>
      <c r="J1498" s="11"/>
      <c r="K1498" s="11"/>
      <c r="L1498" s="11"/>
      <c r="M1498" s="11"/>
      <c r="N1498" s="44" t="n">
        <v>18.61</v>
      </c>
      <c r="O1498" s="11"/>
    </row>
    <row r="1499" customFormat="false" ht="14.25" hidden="false" customHeight="true" outlineLevel="0" collapsed="false">
      <c r="C1499" s="11"/>
      <c r="D1499" s="11"/>
      <c r="E1499" s="11"/>
      <c r="F1499" s="11"/>
      <c r="G1499" s="11"/>
      <c r="H1499" s="11"/>
      <c r="I1499" s="11"/>
      <c r="J1499" s="11"/>
      <c r="K1499" s="11"/>
      <c r="L1499" s="11"/>
      <c r="M1499" s="11"/>
      <c r="N1499" s="44" t="n">
        <v>18.55</v>
      </c>
      <c r="O1499" s="11"/>
    </row>
    <row r="1500" customFormat="false" ht="14.25" hidden="false" customHeight="true" outlineLevel="0" collapsed="false">
      <c r="C1500" s="11"/>
      <c r="D1500" s="11"/>
      <c r="E1500" s="11"/>
      <c r="F1500" s="11"/>
      <c r="G1500" s="11"/>
      <c r="H1500" s="11"/>
      <c r="I1500" s="11"/>
      <c r="J1500" s="11"/>
      <c r="K1500" s="11"/>
      <c r="L1500" s="11"/>
      <c r="M1500" s="11"/>
      <c r="N1500" s="44" t="n">
        <v>18.41</v>
      </c>
      <c r="O1500" s="11"/>
    </row>
    <row r="1501" customFormat="false" ht="14.25" hidden="false" customHeight="true" outlineLevel="0" collapsed="false">
      <c r="C1501" s="11"/>
      <c r="D1501" s="11"/>
      <c r="E1501" s="11"/>
      <c r="F1501" s="11"/>
      <c r="G1501" s="11"/>
      <c r="H1501" s="11"/>
      <c r="I1501" s="11"/>
      <c r="J1501" s="11"/>
      <c r="K1501" s="11"/>
      <c r="L1501" s="11"/>
      <c r="M1501" s="11"/>
      <c r="N1501" s="44" t="n">
        <v>18.33</v>
      </c>
      <c r="O1501" s="11"/>
    </row>
    <row r="1502" customFormat="false" ht="14.25" hidden="false" customHeight="true" outlineLevel="0" collapsed="false">
      <c r="C1502" s="11"/>
      <c r="D1502" s="11"/>
      <c r="E1502" s="11"/>
      <c r="F1502" s="11"/>
      <c r="G1502" s="11"/>
      <c r="H1502" s="11"/>
      <c r="I1502" s="11"/>
      <c r="J1502" s="11"/>
      <c r="K1502" s="11"/>
      <c r="L1502" s="11"/>
      <c r="M1502" s="11"/>
      <c r="N1502" s="44" t="n">
        <v>18.31</v>
      </c>
      <c r="O1502" s="11"/>
    </row>
    <row r="1503" customFormat="false" ht="14.25" hidden="false" customHeight="true" outlineLevel="0" collapsed="false">
      <c r="C1503" s="11"/>
      <c r="D1503" s="11"/>
      <c r="E1503" s="11"/>
      <c r="F1503" s="11"/>
      <c r="G1503" s="11"/>
      <c r="H1503" s="11"/>
      <c r="I1503" s="11"/>
      <c r="J1503" s="11"/>
      <c r="K1503" s="11"/>
      <c r="L1503" s="11"/>
      <c r="M1503" s="11"/>
      <c r="N1503" s="44" t="n">
        <v>17.99</v>
      </c>
      <c r="O1503" s="11"/>
    </row>
    <row r="1504" customFormat="false" ht="14.25" hidden="false" customHeight="true" outlineLevel="0" collapsed="false">
      <c r="C1504" s="11"/>
      <c r="D1504" s="11"/>
      <c r="E1504" s="11"/>
      <c r="F1504" s="11"/>
      <c r="G1504" s="11"/>
      <c r="H1504" s="11"/>
      <c r="I1504" s="11"/>
      <c r="J1504" s="11"/>
      <c r="K1504" s="11"/>
      <c r="L1504" s="11"/>
      <c r="M1504" s="11"/>
      <c r="N1504" s="44" t="n">
        <v>17.91</v>
      </c>
      <c r="O1504" s="11"/>
    </row>
    <row r="1505" customFormat="false" ht="14.25" hidden="false" customHeight="true" outlineLevel="0" collapsed="false">
      <c r="C1505" s="11"/>
      <c r="D1505" s="11"/>
      <c r="E1505" s="11"/>
      <c r="F1505" s="11"/>
      <c r="G1505" s="11"/>
      <c r="H1505" s="11"/>
      <c r="I1505" s="11"/>
      <c r="J1505" s="11"/>
      <c r="K1505" s="11"/>
      <c r="L1505" s="11"/>
      <c r="M1505" s="11"/>
      <c r="N1505" s="44" t="n">
        <v>17.97</v>
      </c>
      <c r="O1505" s="11"/>
    </row>
    <row r="1506" customFormat="false" ht="14.25" hidden="false" customHeight="true" outlineLevel="0" collapsed="false">
      <c r="C1506" s="11"/>
      <c r="D1506" s="11"/>
      <c r="E1506" s="11"/>
      <c r="F1506" s="11"/>
      <c r="G1506" s="11"/>
      <c r="H1506" s="11"/>
      <c r="I1506" s="11"/>
      <c r="J1506" s="11"/>
      <c r="K1506" s="11"/>
      <c r="L1506" s="11"/>
      <c r="M1506" s="11"/>
      <c r="N1506" s="44" t="n">
        <v>17.87</v>
      </c>
      <c r="O1506" s="11"/>
    </row>
    <row r="1507" customFormat="false" ht="14.25" hidden="false" customHeight="true" outlineLevel="0" collapsed="false">
      <c r="C1507" s="11"/>
      <c r="D1507" s="11"/>
      <c r="E1507" s="11"/>
      <c r="F1507" s="11"/>
      <c r="G1507" s="11"/>
      <c r="H1507" s="11"/>
      <c r="I1507" s="11"/>
      <c r="J1507" s="11"/>
      <c r="K1507" s="11"/>
      <c r="L1507" s="11"/>
      <c r="M1507" s="11"/>
      <c r="N1507" s="44" t="n">
        <v>17.98</v>
      </c>
      <c r="O1507" s="11"/>
    </row>
    <row r="1508" customFormat="false" ht="14.25" hidden="false" customHeight="true" outlineLevel="0" collapsed="false">
      <c r="C1508" s="11"/>
      <c r="D1508" s="11"/>
      <c r="E1508" s="11"/>
      <c r="F1508" s="11"/>
      <c r="G1508" s="11"/>
      <c r="H1508" s="11"/>
      <c r="I1508" s="11"/>
      <c r="J1508" s="11"/>
      <c r="K1508" s="11"/>
      <c r="L1508" s="11"/>
      <c r="M1508" s="11"/>
      <c r="N1508" s="44" t="n">
        <v>17.44</v>
      </c>
      <c r="O1508" s="11"/>
    </row>
    <row r="1509" customFormat="false" ht="14.25" hidden="false" customHeight="true" outlineLevel="0" collapsed="false">
      <c r="C1509" s="11"/>
      <c r="D1509" s="11"/>
      <c r="E1509" s="11"/>
      <c r="F1509" s="11"/>
      <c r="G1509" s="11"/>
      <c r="H1509" s="11"/>
      <c r="I1509" s="11"/>
      <c r="J1509" s="11"/>
      <c r="K1509" s="11"/>
      <c r="L1509" s="11"/>
      <c r="M1509" s="11"/>
      <c r="N1509" s="44" t="n">
        <v>17.69</v>
      </c>
      <c r="O1509" s="11"/>
    </row>
    <row r="1510" customFormat="false" ht="14.25" hidden="false" customHeight="true" outlineLevel="0" collapsed="false">
      <c r="C1510" s="11"/>
      <c r="D1510" s="11"/>
      <c r="E1510" s="11"/>
      <c r="F1510" s="11"/>
      <c r="G1510" s="11"/>
      <c r="H1510" s="11"/>
      <c r="I1510" s="11"/>
      <c r="J1510" s="11"/>
      <c r="K1510" s="11"/>
      <c r="L1510" s="11"/>
      <c r="M1510" s="11"/>
      <c r="N1510" s="44" t="n">
        <v>17.52</v>
      </c>
      <c r="O1510" s="11"/>
    </row>
    <row r="1511" customFormat="false" ht="14.25" hidden="false" customHeight="true" outlineLevel="0" collapsed="false">
      <c r="C1511" s="11"/>
      <c r="D1511" s="11"/>
      <c r="E1511" s="11"/>
      <c r="F1511" s="11"/>
      <c r="G1511" s="11"/>
      <c r="H1511" s="11"/>
      <c r="I1511" s="11"/>
      <c r="J1511" s="11"/>
      <c r="K1511" s="11"/>
      <c r="L1511" s="11"/>
      <c r="M1511" s="11"/>
      <c r="N1511" s="44" t="n">
        <v>17.43</v>
      </c>
      <c r="O1511" s="11"/>
    </row>
    <row r="1512" customFormat="false" ht="14.25" hidden="false" customHeight="true" outlineLevel="0" collapsed="false">
      <c r="C1512" s="11"/>
      <c r="D1512" s="11"/>
      <c r="E1512" s="11"/>
      <c r="F1512" s="11"/>
      <c r="G1512" s="11"/>
      <c r="H1512" s="11"/>
      <c r="I1512" s="11"/>
      <c r="J1512" s="11"/>
      <c r="K1512" s="11"/>
      <c r="L1512" s="11"/>
      <c r="M1512" s="11"/>
      <c r="N1512" s="44" t="n">
        <v>17.28</v>
      </c>
      <c r="O1512" s="11"/>
    </row>
    <row r="1513" customFormat="false" ht="14.25" hidden="false" customHeight="true" outlineLevel="0" collapsed="false">
      <c r="C1513" s="11"/>
      <c r="D1513" s="11"/>
      <c r="E1513" s="11"/>
      <c r="F1513" s="11"/>
      <c r="G1513" s="11"/>
      <c r="H1513" s="11"/>
      <c r="I1513" s="11"/>
      <c r="J1513" s="11"/>
      <c r="K1513" s="11"/>
      <c r="L1513" s="11"/>
      <c r="M1513" s="11"/>
      <c r="N1513" s="44" t="n">
        <v>17.08</v>
      </c>
      <c r="O1513" s="11"/>
    </row>
    <row r="1514" customFormat="false" ht="14.25" hidden="false" customHeight="true" outlineLevel="0" collapsed="false">
      <c r="C1514" s="11"/>
      <c r="D1514" s="11"/>
      <c r="E1514" s="11"/>
      <c r="F1514" s="11"/>
      <c r="G1514" s="11"/>
      <c r="H1514" s="11"/>
      <c r="I1514" s="11"/>
      <c r="J1514" s="11"/>
      <c r="K1514" s="11"/>
      <c r="L1514" s="11"/>
      <c r="M1514" s="11"/>
      <c r="N1514" s="44" t="n">
        <v>17.32</v>
      </c>
      <c r="O1514" s="11"/>
    </row>
    <row r="1515" customFormat="false" ht="14.25" hidden="false" customHeight="true" outlineLevel="0" collapsed="false">
      <c r="C1515" s="11"/>
      <c r="D1515" s="11"/>
      <c r="E1515" s="11"/>
      <c r="F1515" s="11"/>
      <c r="G1515" s="11"/>
      <c r="H1515" s="11"/>
      <c r="I1515" s="11"/>
      <c r="J1515" s="11"/>
      <c r="K1515" s="11"/>
      <c r="L1515" s="11"/>
      <c r="M1515" s="11"/>
      <c r="N1515" s="44" t="n">
        <v>17.61</v>
      </c>
      <c r="O1515" s="11"/>
    </row>
    <row r="1516" customFormat="false" ht="14.25" hidden="false" customHeight="true" outlineLevel="0" collapsed="false">
      <c r="C1516" s="11"/>
      <c r="D1516" s="11"/>
      <c r="E1516" s="11"/>
      <c r="F1516" s="11"/>
      <c r="G1516" s="11"/>
      <c r="H1516" s="11"/>
      <c r="I1516" s="11"/>
      <c r="J1516" s="11"/>
      <c r="K1516" s="11"/>
      <c r="L1516" s="11"/>
      <c r="M1516" s="11"/>
      <c r="N1516" s="44" t="n">
        <v>17.75</v>
      </c>
      <c r="O1516" s="11"/>
    </row>
    <row r="1517" customFormat="false" ht="14.25" hidden="false" customHeight="true" outlineLevel="0" collapsed="false">
      <c r="C1517" s="11"/>
      <c r="D1517" s="11"/>
      <c r="E1517" s="11"/>
      <c r="F1517" s="11"/>
      <c r="G1517" s="11"/>
      <c r="H1517" s="11"/>
      <c r="I1517" s="11"/>
      <c r="J1517" s="11"/>
      <c r="K1517" s="11"/>
      <c r="L1517" s="11"/>
      <c r="M1517" s="11"/>
      <c r="N1517" s="44" t="n">
        <v>18.15</v>
      </c>
      <c r="O1517" s="11"/>
    </row>
    <row r="1518" customFormat="false" ht="14.25" hidden="false" customHeight="true" outlineLevel="0" collapsed="false">
      <c r="C1518" s="11"/>
      <c r="D1518" s="11"/>
      <c r="E1518" s="11"/>
      <c r="F1518" s="11"/>
      <c r="G1518" s="11"/>
      <c r="H1518" s="11"/>
      <c r="I1518" s="11"/>
      <c r="J1518" s="11"/>
      <c r="K1518" s="11"/>
      <c r="L1518" s="11"/>
      <c r="M1518" s="11"/>
      <c r="N1518" s="44" t="n">
        <v>17.92</v>
      </c>
      <c r="O1518" s="11"/>
    </row>
    <row r="1519" customFormat="false" ht="14.25" hidden="false" customHeight="true" outlineLevel="0" collapsed="false">
      <c r="C1519" s="11"/>
      <c r="D1519" s="11"/>
      <c r="E1519" s="11"/>
      <c r="F1519" s="11"/>
      <c r="G1519" s="11"/>
      <c r="H1519" s="11"/>
      <c r="I1519" s="11"/>
      <c r="J1519" s="11"/>
      <c r="K1519" s="11"/>
      <c r="L1519" s="11"/>
      <c r="M1519" s="11"/>
      <c r="N1519" s="44" t="n">
        <v>18.24</v>
      </c>
      <c r="O1519" s="11"/>
    </row>
    <row r="1520" customFormat="false" ht="14.25" hidden="false" customHeight="true" outlineLevel="0" collapsed="false">
      <c r="C1520" s="11"/>
      <c r="D1520" s="11"/>
      <c r="E1520" s="11"/>
      <c r="F1520" s="11"/>
      <c r="G1520" s="11"/>
      <c r="H1520" s="11"/>
      <c r="I1520" s="11"/>
      <c r="J1520" s="11"/>
      <c r="K1520" s="11"/>
      <c r="L1520" s="11"/>
      <c r="M1520" s="11"/>
      <c r="N1520" s="44" t="n">
        <v>17.87</v>
      </c>
      <c r="O1520" s="11"/>
    </row>
    <row r="1521" customFormat="false" ht="14.25" hidden="false" customHeight="true" outlineLevel="0" collapsed="false">
      <c r="C1521" s="11"/>
      <c r="D1521" s="11"/>
      <c r="E1521" s="11"/>
      <c r="F1521" s="11"/>
      <c r="G1521" s="11"/>
      <c r="H1521" s="11"/>
      <c r="I1521" s="11"/>
      <c r="J1521" s="11"/>
      <c r="K1521" s="11"/>
      <c r="L1521" s="11"/>
      <c r="M1521" s="11"/>
      <c r="N1521" s="44" t="n">
        <v>18.28</v>
      </c>
      <c r="O1521" s="11"/>
    </row>
    <row r="1522" customFormat="false" ht="14.25" hidden="false" customHeight="true" outlineLevel="0" collapsed="false">
      <c r="C1522" s="11"/>
      <c r="D1522" s="11"/>
      <c r="E1522" s="11"/>
      <c r="F1522" s="11"/>
      <c r="G1522" s="11"/>
      <c r="H1522" s="11"/>
      <c r="I1522" s="11"/>
      <c r="J1522" s="11"/>
      <c r="K1522" s="11"/>
      <c r="L1522" s="11"/>
      <c r="M1522" s="11"/>
      <c r="N1522" s="44" t="n">
        <v>18.43</v>
      </c>
      <c r="O1522" s="11"/>
    </row>
    <row r="1523" customFormat="false" ht="14.25" hidden="false" customHeight="true" outlineLevel="0" collapsed="false">
      <c r="C1523" s="11"/>
      <c r="D1523" s="11"/>
      <c r="E1523" s="11"/>
      <c r="F1523" s="11"/>
      <c r="G1523" s="11"/>
      <c r="H1523" s="11"/>
      <c r="I1523" s="11"/>
      <c r="J1523" s="11"/>
      <c r="K1523" s="11"/>
      <c r="L1523" s="11"/>
      <c r="M1523" s="11"/>
      <c r="N1523" s="44" t="n">
        <v>18.25</v>
      </c>
      <c r="O1523" s="11"/>
    </row>
    <row r="1524" customFormat="false" ht="14.25" hidden="false" customHeight="true" outlineLevel="0" collapsed="false">
      <c r="C1524" s="11"/>
      <c r="D1524" s="11"/>
      <c r="E1524" s="11"/>
      <c r="F1524" s="11"/>
      <c r="G1524" s="11"/>
      <c r="H1524" s="11"/>
      <c r="I1524" s="11"/>
      <c r="J1524" s="11"/>
      <c r="K1524" s="11"/>
      <c r="L1524" s="11"/>
      <c r="M1524" s="11"/>
      <c r="N1524" s="44" t="n">
        <v>18.34</v>
      </c>
      <c r="O1524" s="11"/>
    </row>
    <row r="1525" customFormat="false" ht="14.25" hidden="false" customHeight="true" outlineLevel="0" collapsed="false">
      <c r="C1525" s="11"/>
      <c r="D1525" s="11"/>
      <c r="E1525" s="11"/>
      <c r="F1525" s="11"/>
      <c r="G1525" s="11"/>
      <c r="H1525" s="11"/>
      <c r="I1525" s="11"/>
      <c r="J1525" s="11"/>
      <c r="K1525" s="11"/>
      <c r="L1525" s="11"/>
      <c r="M1525" s="11"/>
      <c r="N1525" s="44" t="n">
        <v>18.44</v>
      </c>
      <c r="O1525" s="11"/>
    </row>
    <row r="1526" customFormat="false" ht="14.25" hidden="false" customHeight="true" outlineLevel="0" collapsed="false">
      <c r="C1526" s="11"/>
      <c r="D1526" s="11"/>
      <c r="E1526" s="11"/>
      <c r="F1526" s="11"/>
      <c r="G1526" s="11"/>
      <c r="H1526" s="11"/>
      <c r="I1526" s="11"/>
      <c r="J1526" s="11"/>
      <c r="K1526" s="11"/>
      <c r="L1526" s="11"/>
      <c r="M1526" s="11"/>
      <c r="N1526" s="44" t="n">
        <v>18.22</v>
      </c>
      <c r="O1526" s="11"/>
    </row>
    <row r="1527" customFormat="false" ht="14.25" hidden="false" customHeight="true" outlineLevel="0" collapsed="false">
      <c r="C1527" s="11"/>
      <c r="D1527" s="11"/>
      <c r="E1527" s="11"/>
      <c r="F1527" s="11"/>
      <c r="G1527" s="11"/>
      <c r="H1527" s="11"/>
      <c r="I1527" s="11"/>
      <c r="J1527" s="11"/>
      <c r="K1527" s="11"/>
      <c r="L1527" s="11"/>
      <c r="M1527" s="11"/>
      <c r="N1527" s="44" t="n">
        <v>18.28</v>
      </c>
      <c r="O1527" s="11"/>
    </row>
    <row r="1528" customFormat="false" ht="14.25" hidden="false" customHeight="true" outlineLevel="0" collapsed="false">
      <c r="C1528" s="11"/>
      <c r="D1528" s="11"/>
      <c r="E1528" s="11"/>
      <c r="F1528" s="11"/>
      <c r="G1528" s="11"/>
      <c r="H1528" s="11"/>
      <c r="I1528" s="11"/>
      <c r="J1528" s="11"/>
      <c r="K1528" s="11"/>
      <c r="L1528" s="11"/>
      <c r="M1528" s="11"/>
      <c r="N1528" s="44" t="n">
        <v>18.37</v>
      </c>
      <c r="O1528" s="11"/>
    </row>
    <row r="1529" customFormat="false" ht="14.25" hidden="false" customHeight="true" outlineLevel="0" collapsed="false">
      <c r="C1529" s="11"/>
      <c r="D1529" s="11"/>
      <c r="E1529" s="11"/>
      <c r="F1529" s="11"/>
      <c r="G1529" s="11"/>
      <c r="H1529" s="11"/>
      <c r="I1529" s="11"/>
      <c r="J1529" s="11"/>
      <c r="K1529" s="11"/>
      <c r="L1529" s="11"/>
      <c r="M1529" s="11"/>
      <c r="N1529" s="44" t="n">
        <v>18.35</v>
      </c>
      <c r="O1529" s="11"/>
    </row>
    <row r="1530" customFormat="false" ht="14.25" hidden="false" customHeight="true" outlineLevel="0" collapsed="false">
      <c r="C1530" s="11"/>
      <c r="D1530" s="11"/>
      <c r="E1530" s="11"/>
      <c r="F1530" s="11"/>
      <c r="G1530" s="11"/>
      <c r="H1530" s="11"/>
      <c r="I1530" s="11"/>
      <c r="J1530" s="11"/>
      <c r="K1530" s="11"/>
      <c r="L1530" s="11"/>
      <c r="M1530" s="11"/>
      <c r="N1530" s="44" t="n">
        <v>18.67</v>
      </c>
      <c r="O1530" s="11"/>
    </row>
    <row r="1531" customFormat="false" ht="14.25" hidden="false" customHeight="true" outlineLevel="0" collapsed="false">
      <c r="C1531" s="11"/>
      <c r="D1531" s="11"/>
      <c r="E1531" s="11"/>
      <c r="F1531" s="11"/>
      <c r="G1531" s="11"/>
      <c r="H1531" s="11"/>
      <c r="I1531" s="11"/>
      <c r="J1531" s="11"/>
      <c r="K1531" s="11"/>
      <c r="L1531" s="11"/>
      <c r="M1531" s="11"/>
      <c r="N1531" s="44" t="n">
        <v>19</v>
      </c>
      <c r="O1531" s="11"/>
    </row>
    <row r="1532" customFormat="false" ht="14.25" hidden="false" customHeight="true" outlineLevel="0" collapsed="false">
      <c r="C1532" s="11"/>
      <c r="D1532" s="11"/>
      <c r="E1532" s="11"/>
      <c r="F1532" s="11"/>
      <c r="G1532" s="11"/>
      <c r="H1532" s="11"/>
      <c r="I1532" s="11"/>
      <c r="J1532" s="11"/>
      <c r="K1532" s="11"/>
      <c r="L1532" s="11"/>
      <c r="M1532" s="11"/>
      <c r="N1532" s="44" t="n">
        <v>19.07</v>
      </c>
      <c r="O1532" s="11"/>
    </row>
    <row r="1533" customFormat="false" ht="14.25" hidden="false" customHeight="true" outlineLevel="0" collapsed="false">
      <c r="C1533" s="11"/>
      <c r="D1533" s="11"/>
      <c r="E1533" s="11"/>
      <c r="F1533" s="11"/>
      <c r="G1533" s="11"/>
      <c r="H1533" s="11"/>
      <c r="I1533" s="11"/>
      <c r="J1533" s="11"/>
      <c r="K1533" s="11"/>
      <c r="L1533" s="11"/>
      <c r="M1533" s="11"/>
      <c r="N1533" s="44" t="n">
        <v>19.05</v>
      </c>
      <c r="O1533" s="11"/>
    </row>
    <row r="1534" customFormat="false" ht="14.25" hidden="false" customHeight="true" outlineLevel="0" collapsed="false">
      <c r="C1534" s="11"/>
      <c r="D1534" s="11"/>
      <c r="E1534" s="11"/>
      <c r="F1534" s="11"/>
      <c r="G1534" s="11"/>
      <c r="H1534" s="11"/>
      <c r="I1534" s="11"/>
      <c r="J1534" s="11"/>
      <c r="K1534" s="11"/>
      <c r="L1534" s="11"/>
      <c r="M1534" s="11"/>
      <c r="N1534" s="44" t="n">
        <v>19.49</v>
      </c>
      <c r="O1534" s="11"/>
    </row>
    <row r="1535" customFormat="false" ht="14.25" hidden="false" customHeight="true" outlineLevel="0" collapsed="false">
      <c r="C1535" s="11"/>
      <c r="D1535" s="11"/>
      <c r="E1535" s="11"/>
      <c r="F1535" s="11"/>
      <c r="G1535" s="11"/>
      <c r="H1535" s="11"/>
      <c r="I1535" s="11"/>
      <c r="J1535" s="11"/>
      <c r="K1535" s="11"/>
      <c r="L1535" s="11"/>
      <c r="M1535" s="11"/>
      <c r="N1535" s="44" t="n">
        <v>18.89</v>
      </c>
      <c r="O1535" s="11"/>
    </row>
    <row r="1536" customFormat="false" ht="14.25" hidden="false" customHeight="true" outlineLevel="0" collapsed="false">
      <c r="C1536" s="11"/>
      <c r="D1536" s="11"/>
      <c r="E1536" s="11"/>
      <c r="F1536" s="11"/>
      <c r="G1536" s="11"/>
      <c r="H1536" s="11"/>
      <c r="I1536" s="11"/>
      <c r="J1536" s="11"/>
      <c r="K1536" s="11"/>
      <c r="L1536" s="11"/>
      <c r="M1536" s="11"/>
      <c r="N1536" s="44" t="n">
        <v>18.49</v>
      </c>
      <c r="O1536" s="11"/>
    </row>
    <row r="1537" customFormat="false" ht="14.25" hidden="false" customHeight="true" outlineLevel="0" collapsed="false">
      <c r="C1537" s="11"/>
      <c r="D1537" s="11"/>
      <c r="E1537" s="11"/>
      <c r="F1537" s="11"/>
      <c r="G1537" s="11"/>
      <c r="H1537" s="11"/>
      <c r="I1537" s="11"/>
      <c r="J1537" s="11"/>
      <c r="K1537" s="11"/>
      <c r="L1537" s="11"/>
      <c r="M1537" s="11"/>
      <c r="N1537" s="44" t="n">
        <v>18.82</v>
      </c>
      <c r="O1537" s="11"/>
    </row>
    <row r="1538" customFormat="false" ht="14.25" hidden="false" customHeight="true" outlineLevel="0" collapsed="false">
      <c r="C1538" s="11"/>
      <c r="D1538" s="11"/>
      <c r="E1538" s="11"/>
      <c r="F1538" s="11"/>
      <c r="G1538" s="11"/>
      <c r="H1538" s="11"/>
      <c r="I1538" s="11"/>
      <c r="J1538" s="11"/>
      <c r="K1538" s="11"/>
      <c r="L1538" s="11"/>
      <c r="M1538" s="11"/>
      <c r="N1538" s="44" t="n">
        <v>18.91</v>
      </c>
      <c r="O1538" s="11"/>
    </row>
    <row r="1539" customFormat="false" ht="14.25" hidden="false" customHeight="true" outlineLevel="0" collapsed="false">
      <c r="C1539" s="11"/>
      <c r="D1539" s="11"/>
      <c r="E1539" s="11"/>
      <c r="F1539" s="11"/>
      <c r="G1539" s="11"/>
      <c r="H1539" s="11"/>
      <c r="I1539" s="11"/>
      <c r="J1539" s="11"/>
      <c r="K1539" s="11"/>
      <c r="L1539" s="11"/>
      <c r="M1539" s="11"/>
      <c r="N1539" s="44" t="n">
        <v>18.37</v>
      </c>
      <c r="O1539" s="11"/>
    </row>
    <row r="1540" customFormat="false" ht="14.25" hidden="false" customHeight="true" outlineLevel="0" collapsed="false">
      <c r="C1540" s="11"/>
      <c r="D1540" s="11"/>
      <c r="E1540" s="11"/>
      <c r="F1540" s="11"/>
      <c r="G1540" s="11"/>
      <c r="H1540" s="11"/>
      <c r="I1540" s="11"/>
      <c r="J1540" s="11"/>
      <c r="K1540" s="11"/>
      <c r="L1540" s="11"/>
      <c r="M1540" s="11"/>
      <c r="N1540" s="44" t="n">
        <v>18.81</v>
      </c>
      <c r="O1540" s="11"/>
    </row>
    <row r="1541" customFormat="false" ht="14.25" hidden="false" customHeight="true" outlineLevel="0" collapsed="false">
      <c r="C1541" s="11"/>
      <c r="D1541" s="11"/>
      <c r="E1541" s="11"/>
      <c r="F1541" s="11"/>
      <c r="G1541" s="11"/>
      <c r="H1541" s="11"/>
      <c r="I1541" s="11"/>
      <c r="J1541" s="11"/>
      <c r="K1541" s="11"/>
      <c r="L1541" s="11"/>
      <c r="M1541" s="11"/>
      <c r="N1541" s="44" t="n">
        <v>18.67</v>
      </c>
      <c r="O1541" s="11"/>
    </row>
    <row r="1542" customFormat="false" ht="14.25" hidden="false" customHeight="true" outlineLevel="0" collapsed="false">
      <c r="C1542" s="11"/>
      <c r="D1542" s="11"/>
      <c r="E1542" s="11"/>
      <c r="F1542" s="11"/>
      <c r="G1542" s="11"/>
      <c r="H1542" s="11"/>
      <c r="I1542" s="11"/>
      <c r="J1542" s="11"/>
      <c r="K1542" s="11"/>
      <c r="L1542" s="11"/>
      <c r="M1542" s="11"/>
      <c r="N1542" s="44" t="n">
        <v>19.02</v>
      </c>
      <c r="O1542" s="11"/>
    </row>
    <row r="1543" customFormat="false" ht="14.25" hidden="false" customHeight="true" outlineLevel="0" collapsed="false">
      <c r="C1543" s="11"/>
      <c r="D1543" s="11"/>
      <c r="E1543" s="11"/>
      <c r="F1543" s="11"/>
      <c r="G1543" s="11"/>
      <c r="H1543" s="11"/>
      <c r="I1543" s="11"/>
      <c r="J1543" s="11"/>
      <c r="K1543" s="11"/>
      <c r="L1543" s="11"/>
      <c r="M1543" s="11"/>
      <c r="N1543" s="44" t="n">
        <v>19.11</v>
      </c>
      <c r="O1543" s="11"/>
    </row>
    <row r="1544" customFormat="false" ht="14.25" hidden="false" customHeight="true" outlineLevel="0" collapsed="false">
      <c r="C1544" s="11"/>
      <c r="D1544" s="11"/>
      <c r="E1544" s="11"/>
      <c r="F1544" s="11"/>
      <c r="G1544" s="11"/>
      <c r="H1544" s="11"/>
      <c r="I1544" s="11"/>
      <c r="J1544" s="11"/>
      <c r="K1544" s="11"/>
      <c r="L1544" s="11"/>
      <c r="M1544" s="11"/>
      <c r="N1544" s="44" t="n">
        <v>19.47</v>
      </c>
      <c r="O1544" s="11"/>
    </row>
    <row r="1545" customFormat="false" ht="14.25" hidden="false" customHeight="true" outlineLevel="0" collapsed="false">
      <c r="C1545" s="11"/>
      <c r="D1545" s="11"/>
      <c r="E1545" s="11"/>
      <c r="F1545" s="11"/>
      <c r="G1545" s="11"/>
      <c r="H1545" s="11"/>
      <c r="I1545" s="11"/>
      <c r="J1545" s="11"/>
      <c r="K1545" s="11"/>
      <c r="L1545" s="11"/>
      <c r="M1545" s="11"/>
      <c r="N1545" s="44" t="n">
        <v>19.66</v>
      </c>
      <c r="O1545" s="11"/>
    </row>
    <row r="1546" customFormat="false" ht="14.25" hidden="false" customHeight="true" outlineLevel="0" collapsed="false">
      <c r="C1546" s="11"/>
      <c r="D1546" s="11"/>
      <c r="E1546" s="11"/>
      <c r="F1546" s="11"/>
      <c r="G1546" s="11"/>
      <c r="H1546" s="11"/>
      <c r="I1546" s="11"/>
      <c r="J1546" s="11"/>
      <c r="K1546" s="11"/>
      <c r="L1546" s="11"/>
      <c r="M1546" s="11"/>
      <c r="N1546" s="44" t="n">
        <v>20.48</v>
      </c>
      <c r="O1546" s="11"/>
    </row>
    <row r="1547" customFormat="false" ht="14.25" hidden="false" customHeight="true" outlineLevel="0" collapsed="false">
      <c r="C1547" s="11"/>
      <c r="D1547" s="11"/>
      <c r="E1547" s="11"/>
      <c r="F1547" s="11"/>
      <c r="G1547" s="11"/>
      <c r="H1547" s="11"/>
      <c r="I1547" s="11"/>
      <c r="J1547" s="11"/>
      <c r="K1547" s="11"/>
      <c r="L1547" s="11"/>
      <c r="M1547" s="11"/>
      <c r="N1547" s="44" t="n">
        <v>20.75</v>
      </c>
      <c r="O1547" s="11"/>
    </row>
    <row r="1548" customFormat="false" ht="14.25" hidden="false" customHeight="true" outlineLevel="0" collapsed="false">
      <c r="C1548" s="11"/>
      <c r="D1548" s="11"/>
      <c r="E1548" s="11"/>
      <c r="F1548" s="11"/>
      <c r="G1548" s="11"/>
      <c r="H1548" s="11"/>
      <c r="I1548" s="11"/>
      <c r="J1548" s="11"/>
      <c r="K1548" s="11"/>
      <c r="L1548" s="11"/>
      <c r="M1548" s="11"/>
      <c r="N1548" s="44" t="n">
        <v>20.5</v>
      </c>
      <c r="O1548" s="11"/>
    </row>
    <row r="1549" customFormat="false" ht="14.25" hidden="false" customHeight="true" outlineLevel="0" collapsed="false">
      <c r="C1549" s="11"/>
      <c r="D1549" s="11"/>
      <c r="E1549" s="11"/>
      <c r="F1549" s="11"/>
      <c r="G1549" s="11"/>
      <c r="H1549" s="11"/>
      <c r="I1549" s="11"/>
      <c r="J1549" s="11"/>
      <c r="K1549" s="11"/>
      <c r="L1549" s="11"/>
      <c r="M1549" s="11"/>
      <c r="N1549" s="44" t="n">
        <v>20.49</v>
      </c>
      <c r="O1549" s="11"/>
    </row>
    <row r="1550" customFormat="false" ht="14.25" hidden="false" customHeight="true" outlineLevel="0" collapsed="false">
      <c r="C1550" s="11"/>
      <c r="D1550" s="11"/>
      <c r="E1550" s="11"/>
      <c r="F1550" s="11"/>
      <c r="G1550" s="11"/>
      <c r="H1550" s="11"/>
      <c r="I1550" s="11"/>
      <c r="J1550" s="11"/>
      <c r="K1550" s="11"/>
      <c r="L1550" s="11"/>
      <c r="M1550" s="11"/>
      <c r="N1550" s="44" t="n">
        <v>20.51</v>
      </c>
      <c r="O1550" s="11"/>
    </row>
    <row r="1551" customFormat="false" ht="14.25" hidden="false" customHeight="true" outlineLevel="0" collapsed="false">
      <c r="C1551" s="11"/>
      <c r="D1551" s="11"/>
      <c r="E1551" s="11"/>
      <c r="F1551" s="11"/>
      <c r="G1551" s="11"/>
      <c r="H1551" s="11"/>
      <c r="I1551" s="11"/>
      <c r="J1551" s="11"/>
      <c r="K1551" s="11"/>
      <c r="L1551" s="11"/>
      <c r="M1551" s="11"/>
      <c r="N1551" s="44" t="n">
        <v>20.47</v>
      </c>
      <c r="O1551" s="11"/>
    </row>
    <row r="1552" customFormat="false" ht="14.25" hidden="false" customHeight="true" outlineLevel="0" collapsed="false">
      <c r="C1552" s="11"/>
      <c r="D1552" s="11"/>
      <c r="E1552" s="11"/>
      <c r="F1552" s="11"/>
      <c r="G1552" s="11"/>
      <c r="H1552" s="11"/>
      <c r="I1552" s="11"/>
      <c r="J1552" s="11"/>
      <c r="K1552" s="11"/>
      <c r="L1552" s="11"/>
      <c r="M1552" s="11"/>
      <c r="N1552" s="44" t="n">
        <v>20.03</v>
      </c>
      <c r="O1552" s="11"/>
    </row>
    <row r="1553" customFormat="false" ht="14.25" hidden="false" customHeight="true" outlineLevel="0" collapsed="false">
      <c r="C1553" s="11"/>
      <c r="D1553" s="11"/>
      <c r="E1553" s="11"/>
      <c r="F1553" s="11"/>
      <c r="G1553" s="11"/>
      <c r="H1553" s="11"/>
      <c r="I1553" s="11"/>
      <c r="J1553" s="11"/>
      <c r="K1553" s="11"/>
      <c r="L1553" s="11"/>
      <c r="M1553" s="11"/>
      <c r="N1553" s="44" t="n">
        <v>19.84</v>
      </c>
      <c r="O1553" s="11"/>
    </row>
    <row r="1554" customFormat="false" ht="14.25" hidden="false" customHeight="true" outlineLevel="0" collapsed="false">
      <c r="C1554" s="11"/>
      <c r="D1554" s="11"/>
      <c r="E1554" s="11"/>
      <c r="F1554" s="11"/>
      <c r="G1554" s="11"/>
      <c r="H1554" s="11"/>
      <c r="I1554" s="11"/>
      <c r="J1554" s="11"/>
      <c r="K1554" s="11"/>
      <c r="L1554" s="11"/>
      <c r="M1554" s="11"/>
      <c r="N1554" s="44" t="n">
        <v>19.86</v>
      </c>
      <c r="O1554" s="11"/>
    </row>
    <row r="1555" customFormat="false" ht="14.25" hidden="false" customHeight="true" outlineLevel="0" collapsed="false">
      <c r="C1555" s="11"/>
      <c r="D1555" s="11"/>
      <c r="E1555" s="11"/>
      <c r="F1555" s="11"/>
      <c r="G1555" s="11"/>
      <c r="H1555" s="11"/>
      <c r="I1555" s="11"/>
      <c r="J1555" s="11"/>
      <c r="K1555" s="11"/>
      <c r="L1555" s="11"/>
      <c r="M1555" s="11"/>
      <c r="N1555" s="44" t="n">
        <v>19.95</v>
      </c>
      <c r="O1555" s="11"/>
    </row>
    <row r="1556" customFormat="false" ht="14.25" hidden="false" customHeight="true" outlineLevel="0" collapsed="false">
      <c r="C1556" s="11"/>
      <c r="D1556" s="11"/>
      <c r="E1556" s="11"/>
      <c r="F1556" s="11"/>
      <c r="G1556" s="11"/>
      <c r="H1556" s="11"/>
      <c r="I1556" s="11"/>
      <c r="J1556" s="11"/>
      <c r="K1556" s="11"/>
      <c r="L1556" s="11"/>
      <c r="M1556" s="11"/>
      <c r="N1556" s="44" t="n">
        <v>19.91</v>
      </c>
      <c r="O1556" s="11"/>
    </row>
    <row r="1557" customFormat="false" ht="14.25" hidden="false" customHeight="true" outlineLevel="0" collapsed="false">
      <c r="C1557" s="11"/>
      <c r="D1557" s="11"/>
      <c r="E1557" s="11"/>
      <c r="F1557" s="11"/>
      <c r="G1557" s="11"/>
      <c r="H1557" s="11"/>
      <c r="I1557" s="11"/>
      <c r="J1557" s="11"/>
      <c r="K1557" s="11"/>
      <c r="L1557" s="11"/>
      <c r="M1557" s="11"/>
      <c r="N1557" s="44" t="n">
        <v>20.37</v>
      </c>
      <c r="O1557" s="11"/>
    </row>
    <row r="1558" customFormat="false" ht="14.25" hidden="false" customHeight="true" outlineLevel="0" collapsed="false">
      <c r="C1558" s="11"/>
      <c r="D1558" s="11"/>
      <c r="E1558" s="11"/>
      <c r="F1558" s="11"/>
      <c r="G1558" s="11"/>
      <c r="H1558" s="11"/>
      <c r="I1558" s="11"/>
      <c r="J1558" s="11"/>
      <c r="K1558" s="11"/>
      <c r="L1558" s="11"/>
      <c r="M1558" s="11"/>
      <c r="N1558" s="44" t="n">
        <v>20.56</v>
      </c>
      <c r="O1558" s="11"/>
    </row>
    <row r="1559" customFormat="false" ht="14.25" hidden="false" customHeight="true" outlineLevel="0" collapsed="false">
      <c r="C1559" s="11"/>
      <c r="D1559" s="11"/>
      <c r="E1559" s="11"/>
      <c r="F1559" s="11"/>
      <c r="G1559" s="11"/>
      <c r="H1559" s="11"/>
      <c r="I1559" s="11"/>
      <c r="J1559" s="11"/>
      <c r="K1559" s="11"/>
      <c r="L1559" s="11"/>
      <c r="M1559" s="11"/>
      <c r="N1559" s="44" t="n">
        <v>20.32</v>
      </c>
      <c r="O1559" s="11"/>
    </row>
    <row r="1560" customFormat="false" ht="14.25" hidden="false" customHeight="true" outlineLevel="0" collapsed="false">
      <c r="C1560" s="11"/>
      <c r="D1560" s="11"/>
      <c r="E1560" s="11"/>
      <c r="F1560" s="11"/>
      <c r="G1560" s="11"/>
      <c r="H1560" s="11"/>
      <c r="I1560" s="11"/>
      <c r="J1560" s="11"/>
      <c r="K1560" s="11"/>
      <c r="L1560" s="11"/>
      <c r="M1560" s="11"/>
      <c r="N1560" s="44" t="n">
        <v>20.31</v>
      </c>
      <c r="O1560" s="11"/>
    </row>
    <row r="1561" customFormat="false" ht="14.25" hidden="false" customHeight="true" outlineLevel="0" collapsed="false">
      <c r="C1561" s="11"/>
      <c r="D1561" s="11"/>
      <c r="E1561" s="11"/>
      <c r="F1561" s="11"/>
      <c r="G1561" s="11"/>
      <c r="H1561" s="11"/>
      <c r="I1561" s="11"/>
      <c r="J1561" s="11"/>
      <c r="K1561" s="11"/>
      <c r="L1561" s="11"/>
      <c r="M1561" s="11"/>
      <c r="N1561" s="44" t="n">
        <v>19.84</v>
      </c>
      <c r="O1561" s="11"/>
    </row>
    <row r="1562" customFormat="false" ht="14.25" hidden="false" customHeight="true" outlineLevel="0" collapsed="false">
      <c r="C1562" s="11"/>
      <c r="D1562" s="11"/>
      <c r="E1562" s="11"/>
      <c r="F1562" s="11"/>
      <c r="G1562" s="11"/>
      <c r="H1562" s="11"/>
      <c r="I1562" s="11"/>
      <c r="J1562" s="11"/>
      <c r="K1562" s="11"/>
      <c r="L1562" s="11"/>
      <c r="M1562" s="11"/>
      <c r="N1562" s="44" t="n">
        <v>19.7</v>
      </c>
      <c r="O1562" s="11"/>
    </row>
    <row r="1563" customFormat="false" ht="14.25" hidden="false" customHeight="true" outlineLevel="0" collapsed="false">
      <c r="C1563" s="11"/>
      <c r="D1563" s="11"/>
      <c r="E1563" s="11"/>
      <c r="F1563" s="11"/>
      <c r="G1563" s="11"/>
      <c r="H1563" s="11"/>
      <c r="I1563" s="11"/>
      <c r="J1563" s="11"/>
      <c r="K1563" s="11"/>
      <c r="L1563" s="11"/>
      <c r="M1563" s="11"/>
      <c r="N1563" s="44" t="n">
        <v>19.15</v>
      </c>
      <c r="O1563" s="11"/>
    </row>
    <row r="1564" customFormat="false" ht="14.25" hidden="false" customHeight="true" outlineLevel="0" collapsed="false">
      <c r="C1564" s="11"/>
      <c r="D1564" s="11"/>
      <c r="E1564" s="11"/>
      <c r="F1564" s="11"/>
      <c r="G1564" s="11"/>
      <c r="H1564" s="11"/>
      <c r="I1564" s="11"/>
      <c r="J1564" s="11"/>
      <c r="K1564" s="11"/>
      <c r="L1564" s="11"/>
      <c r="M1564" s="11"/>
      <c r="N1564" s="44" t="n">
        <v>18.77</v>
      </c>
      <c r="O1564" s="11"/>
    </row>
    <row r="1565" customFormat="false" ht="14.25" hidden="false" customHeight="true" outlineLevel="0" collapsed="false">
      <c r="C1565" s="11"/>
      <c r="D1565" s="11"/>
      <c r="E1565" s="11"/>
      <c r="F1565" s="11"/>
      <c r="G1565" s="11"/>
      <c r="H1565" s="11"/>
      <c r="I1565" s="11"/>
      <c r="J1565" s="11"/>
      <c r="K1565" s="11"/>
      <c r="L1565" s="11"/>
      <c r="M1565" s="11"/>
      <c r="N1565" s="44" t="n">
        <v>19.44</v>
      </c>
      <c r="O1565" s="11"/>
    </row>
    <row r="1566" customFormat="false" ht="14.25" hidden="false" customHeight="true" outlineLevel="0" collapsed="false">
      <c r="C1566" s="11"/>
      <c r="D1566" s="11"/>
      <c r="E1566" s="11"/>
      <c r="F1566" s="11"/>
      <c r="G1566" s="11"/>
      <c r="H1566" s="11"/>
      <c r="I1566" s="11"/>
      <c r="J1566" s="11"/>
      <c r="K1566" s="11"/>
      <c r="L1566" s="11"/>
      <c r="M1566" s="11"/>
      <c r="N1566" s="44" t="n">
        <v>19.58</v>
      </c>
      <c r="O1566" s="11"/>
    </row>
    <row r="1567" customFormat="false" ht="14.25" hidden="false" customHeight="true" outlineLevel="0" collapsed="false">
      <c r="C1567" s="11"/>
      <c r="D1567" s="11"/>
      <c r="E1567" s="11"/>
      <c r="F1567" s="11"/>
      <c r="G1567" s="11"/>
      <c r="H1567" s="11"/>
      <c r="I1567" s="11"/>
      <c r="J1567" s="11"/>
      <c r="K1567" s="11"/>
      <c r="L1567" s="11"/>
      <c r="M1567" s="11"/>
      <c r="N1567" s="44" t="n">
        <v>20.49</v>
      </c>
      <c r="O1567" s="11"/>
    </row>
    <row r="1568" customFormat="false" ht="14.25" hidden="false" customHeight="true" outlineLevel="0" collapsed="false">
      <c r="C1568" s="11"/>
      <c r="D1568" s="11"/>
      <c r="E1568" s="11"/>
      <c r="F1568" s="11"/>
      <c r="G1568" s="11"/>
      <c r="H1568" s="11"/>
      <c r="I1568" s="11"/>
      <c r="J1568" s="11"/>
      <c r="K1568" s="11"/>
      <c r="L1568" s="11"/>
      <c r="M1568" s="11"/>
      <c r="N1568" s="44" t="n">
        <v>20.64</v>
      </c>
      <c r="O1568" s="11"/>
    </row>
    <row r="1569" customFormat="false" ht="14.25" hidden="false" customHeight="true" outlineLevel="0" collapsed="false">
      <c r="C1569" s="11"/>
      <c r="D1569" s="11"/>
      <c r="E1569" s="11"/>
      <c r="F1569" s="11"/>
      <c r="G1569" s="11"/>
      <c r="H1569" s="11"/>
      <c r="I1569" s="11"/>
      <c r="J1569" s="11"/>
      <c r="K1569" s="11"/>
      <c r="L1569" s="11"/>
      <c r="M1569" s="11"/>
      <c r="N1569" s="44" t="n">
        <v>20.49</v>
      </c>
      <c r="O1569" s="11"/>
    </row>
    <row r="1570" customFormat="false" ht="14.25" hidden="false" customHeight="true" outlineLevel="0" collapsed="false">
      <c r="C1570" s="11"/>
      <c r="D1570" s="11"/>
      <c r="E1570" s="11"/>
      <c r="F1570" s="11"/>
      <c r="G1570" s="11"/>
      <c r="H1570" s="11"/>
      <c r="I1570" s="11"/>
      <c r="J1570" s="11"/>
      <c r="K1570" s="11"/>
      <c r="L1570" s="11"/>
      <c r="M1570" s="11"/>
      <c r="N1570" s="44" t="n">
        <v>20.26</v>
      </c>
      <c r="O1570" s="11"/>
    </row>
    <row r="1571" customFormat="false" ht="14.25" hidden="false" customHeight="true" outlineLevel="0" collapsed="false">
      <c r="C1571" s="11"/>
      <c r="D1571" s="11"/>
      <c r="E1571" s="11"/>
      <c r="F1571" s="11"/>
      <c r="G1571" s="11"/>
      <c r="H1571" s="11"/>
      <c r="I1571" s="11"/>
      <c r="J1571" s="11"/>
      <c r="K1571" s="11"/>
      <c r="L1571" s="11"/>
      <c r="M1571" s="11"/>
      <c r="N1571" s="44" t="n">
        <v>20.18</v>
      </c>
      <c r="O1571" s="11"/>
    </row>
    <row r="1572" customFormat="false" ht="14.25" hidden="false" customHeight="true" outlineLevel="0" collapsed="false">
      <c r="C1572" s="11"/>
      <c r="D1572" s="11"/>
      <c r="E1572" s="11"/>
      <c r="F1572" s="11"/>
      <c r="G1572" s="11"/>
      <c r="H1572" s="11"/>
      <c r="I1572" s="11"/>
      <c r="J1572" s="11"/>
      <c r="K1572" s="11"/>
      <c r="L1572" s="11"/>
      <c r="M1572" s="11"/>
      <c r="N1572" s="44" t="n">
        <v>19.87</v>
      </c>
      <c r="O1572" s="11"/>
    </row>
    <row r="1573" customFormat="false" ht="14.25" hidden="false" customHeight="true" outlineLevel="0" collapsed="false">
      <c r="C1573" s="11"/>
      <c r="D1573" s="11"/>
      <c r="E1573" s="11"/>
      <c r="F1573" s="11"/>
      <c r="G1573" s="11"/>
      <c r="H1573" s="11"/>
      <c r="I1573" s="11"/>
      <c r="J1573" s="11"/>
      <c r="K1573" s="11"/>
      <c r="L1573" s="11"/>
      <c r="M1573" s="11"/>
      <c r="N1573" s="44" t="n">
        <v>19.61</v>
      </c>
      <c r="O1573" s="11"/>
    </row>
    <row r="1574" customFormat="false" ht="14.25" hidden="false" customHeight="true" outlineLevel="0" collapsed="false">
      <c r="C1574" s="11"/>
      <c r="D1574" s="11"/>
      <c r="E1574" s="11"/>
      <c r="F1574" s="11"/>
      <c r="G1574" s="11"/>
      <c r="H1574" s="11"/>
      <c r="I1574" s="11"/>
      <c r="J1574" s="11"/>
      <c r="K1574" s="11"/>
      <c r="L1574" s="11"/>
      <c r="M1574" s="11"/>
      <c r="N1574" s="44" t="n">
        <v>19.82</v>
      </c>
      <c r="O1574" s="11"/>
    </row>
    <row r="1575" customFormat="false" ht="14.25" hidden="false" customHeight="true" outlineLevel="0" collapsed="false">
      <c r="C1575" s="11"/>
      <c r="D1575" s="11"/>
      <c r="E1575" s="11"/>
      <c r="F1575" s="11"/>
      <c r="G1575" s="11"/>
      <c r="H1575" s="11"/>
      <c r="I1575" s="11"/>
      <c r="J1575" s="11"/>
      <c r="K1575" s="11"/>
      <c r="L1575" s="11"/>
      <c r="M1575" s="11"/>
      <c r="N1575" s="44" t="n">
        <v>19.73</v>
      </c>
      <c r="O1575" s="11"/>
    </row>
    <row r="1576" customFormat="false" ht="14.25" hidden="false" customHeight="true" outlineLevel="0" collapsed="false">
      <c r="C1576" s="11"/>
      <c r="D1576" s="11"/>
      <c r="E1576" s="11"/>
      <c r="F1576" s="11"/>
      <c r="G1576" s="11"/>
      <c r="H1576" s="11"/>
      <c r="I1576" s="11"/>
      <c r="J1576" s="11"/>
      <c r="K1576" s="11"/>
      <c r="L1576" s="11"/>
      <c r="M1576" s="11"/>
      <c r="N1576" s="44" t="n">
        <v>19.39</v>
      </c>
      <c r="O1576" s="11"/>
    </row>
    <row r="1577" customFormat="false" ht="14.25" hidden="false" customHeight="true" outlineLevel="0" collapsed="false">
      <c r="C1577" s="11"/>
      <c r="D1577" s="11"/>
      <c r="E1577" s="11"/>
      <c r="F1577" s="11"/>
      <c r="G1577" s="11"/>
      <c r="H1577" s="11"/>
      <c r="I1577" s="11"/>
      <c r="J1577" s="11"/>
      <c r="K1577" s="11"/>
      <c r="L1577" s="11"/>
      <c r="M1577" s="11"/>
      <c r="N1577" s="44" t="n">
        <v>19.3</v>
      </c>
      <c r="O1577" s="11"/>
    </row>
    <row r="1578" customFormat="false" ht="14.25" hidden="false" customHeight="true" outlineLevel="0" collapsed="false">
      <c r="C1578" s="11"/>
      <c r="D1578" s="11"/>
      <c r="E1578" s="11"/>
      <c r="F1578" s="11"/>
      <c r="G1578" s="11"/>
      <c r="H1578" s="11"/>
      <c r="I1578" s="11"/>
      <c r="J1578" s="11"/>
      <c r="K1578" s="11"/>
      <c r="L1578" s="11"/>
      <c r="M1578" s="11"/>
      <c r="N1578" s="44" t="n">
        <v>19.8</v>
      </c>
      <c r="O1578" s="11"/>
    </row>
    <row r="1579" customFormat="false" ht="14.25" hidden="false" customHeight="true" outlineLevel="0" collapsed="false">
      <c r="C1579" s="11"/>
      <c r="D1579" s="11"/>
      <c r="E1579" s="11"/>
      <c r="F1579" s="11"/>
      <c r="G1579" s="11"/>
      <c r="H1579" s="11"/>
      <c r="I1579" s="11"/>
      <c r="J1579" s="11"/>
      <c r="K1579" s="11"/>
      <c r="L1579" s="11"/>
      <c r="M1579" s="11"/>
      <c r="N1579" s="44" t="n">
        <v>19.79</v>
      </c>
      <c r="O1579" s="11"/>
    </row>
    <row r="1580" customFormat="false" ht="14.25" hidden="false" customHeight="true" outlineLevel="0" collapsed="false">
      <c r="C1580" s="11"/>
      <c r="D1580" s="11"/>
      <c r="E1580" s="11"/>
      <c r="F1580" s="11"/>
      <c r="G1580" s="11"/>
      <c r="H1580" s="11"/>
      <c r="I1580" s="11"/>
      <c r="J1580" s="11"/>
      <c r="K1580" s="11"/>
      <c r="L1580" s="11"/>
      <c r="M1580" s="11"/>
      <c r="N1580" s="44" t="n">
        <v>19.83</v>
      </c>
      <c r="O1580" s="11"/>
    </row>
    <row r="1581" customFormat="false" ht="14.25" hidden="false" customHeight="true" outlineLevel="0" collapsed="false">
      <c r="C1581" s="11"/>
      <c r="D1581" s="11"/>
      <c r="E1581" s="11"/>
      <c r="F1581" s="11"/>
      <c r="G1581" s="11"/>
      <c r="H1581" s="11"/>
      <c r="I1581" s="11"/>
      <c r="J1581" s="11"/>
      <c r="K1581" s="11"/>
      <c r="L1581" s="11"/>
      <c r="M1581" s="11"/>
      <c r="N1581" s="44" t="n">
        <v>19.83</v>
      </c>
      <c r="O1581" s="11"/>
    </row>
    <row r="1582" customFormat="false" ht="14.25" hidden="false" customHeight="true" outlineLevel="0" collapsed="false">
      <c r="C1582" s="11"/>
      <c r="D1582" s="11"/>
      <c r="E1582" s="11"/>
      <c r="F1582" s="11"/>
      <c r="G1582" s="11"/>
      <c r="H1582" s="11"/>
      <c r="I1582" s="11"/>
      <c r="J1582" s="11"/>
      <c r="K1582" s="11"/>
      <c r="L1582" s="11"/>
      <c r="M1582" s="11"/>
      <c r="N1582" s="44" t="n">
        <v>19.85</v>
      </c>
      <c r="O1582" s="11"/>
    </row>
    <row r="1583" customFormat="false" ht="14.25" hidden="false" customHeight="true" outlineLevel="0" collapsed="false">
      <c r="C1583" s="11"/>
      <c r="D1583" s="11"/>
      <c r="E1583" s="11"/>
      <c r="F1583" s="11"/>
      <c r="G1583" s="11"/>
      <c r="H1583" s="11"/>
      <c r="I1583" s="11"/>
      <c r="J1583" s="11"/>
      <c r="K1583" s="11"/>
      <c r="L1583" s="11"/>
      <c r="M1583" s="11"/>
      <c r="N1583" s="44" t="n">
        <v>19.8</v>
      </c>
      <c r="O1583" s="11"/>
    </row>
    <row r="1584" customFormat="false" ht="14.25" hidden="false" customHeight="true" outlineLevel="0" collapsed="false">
      <c r="C1584" s="11"/>
      <c r="D1584" s="11"/>
      <c r="E1584" s="11"/>
      <c r="F1584" s="11"/>
      <c r="G1584" s="11"/>
      <c r="H1584" s="11"/>
      <c r="I1584" s="11"/>
      <c r="J1584" s="11"/>
      <c r="K1584" s="11"/>
      <c r="L1584" s="11"/>
      <c r="M1584" s="11"/>
      <c r="N1584" s="44" t="n">
        <v>19.93</v>
      </c>
      <c r="O1584" s="11"/>
    </row>
    <row r="1585" customFormat="false" ht="14.25" hidden="false" customHeight="true" outlineLevel="0" collapsed="false">
      <c r="C1585" s="11"/>
      <c r="D1585" s="11"/>
      <c r="E1585" s="11"/>
      <c r="F1585" s="11"/>
      <c r="G1585" s="11"/>
      <c r="H1585" s="11"/>
      <c r="I1585" s="11"/>
      <c r="J1585" s="11"/>
      <c r="K1585" s="11"/>
      <c r="L1585" s="11"/>
      <c r="M1585" s="11"/>
      <c r="N1585" s="44" t="n">
        <v>19.79</v>
      </c>
      <c r="O1585" s="11"/>
    </row>
    <row r="1586" customFormat="false" ht="14.25" hidden="false" customHeight="true" outlineLevel="0" collapsed="false">
      <c r="C1586" s="11"/>
      <c r="D1586" s="11"/>
      <c r="E1586" s="11"/>
      <c r="F1586" s="11"/>
      <c r="G1586" s="11"/>
      <c r="H1586" s="11"/>
      <c r="I1586" s="11"/>
      <c r="J1586" s="11"/>
      <c r="K1586" s="11"/>
      <c r="L1586" s="11"/>
      <c r="M1586" s="11"/>
      <c r="N1586" s="44" t="n">
        <v>19.99</v>
      </c>
      <c r="O1586" s="11"/>
    </row>
    <row r="1587" customFormat="false" ht="14.25" hidden="false" customHeight="true" outlineLevel="0" collapsed="false">
      <c r="C1587" s="11"/>
      <c r="D1587" s="11"/>
      <c r="E1587" s="11"/>
      <c r="F1587" s="11"/>
      <c r="G1587" s="11"/>
      <c r="H1587" s="11"/>
      <c r="I1587" s="11"/>
      <c r="J1587" s="11"/>
      <c r="K1587" s="11"/>
      <c r="L1587" s="11"/>
      <c r="M1587" s="11"/>
      <c r="N1587" s="44" t="n">
        <v>19.91</v>
      </c>
      <c r="O1587" s="11"/>
    </row>
    <row r="1588" customFormat="false" ht="14.25" hidden="false" customHeight="true" outlineLevel="0" collapsed="false">
      <c r="C1588" s="11"/>
      <c r="D1588" s="11"/>
      <c r="E1588" s="11"/>
      <c r="F1588" s="11"/>
      <c r="G1588" s="11"/>
      <c r="H1588" s="11"/>
      <c r="I1588" s="11"/>
      <c r="J1588" s="11"/>
      <c r="K1588" s="11"/>
      <c r="L1588" s="11"/>
      <c r="M1588" s="11"/>
      <c r="N1588" s="44" t="n">
        <v>20.18</v>
      </c>
      <c r="O1588" s="11"/>
    </row>
    <row r="1589" customFormat="false" ht="14.25" hidden="false" customHeight="true" outlineLevel="0" collapsed="false">
      <c r="C1589" s="11"/>
      <c r="D1589" s="11"/>
      <c r="E1589" s="11"/>
      <c r="F1589" s="11"/>
      <c r="G1589" s="11"/>
      <c r="H1589" s="11"/>
      <c r="I1589" s="11"/>
      <c r="J1589" s="11"/>
      <c r="K1589" s="11"/>
      <c r="L1589" s="11"/>
      <c r="M1589" s="11"/>
      <c r="N1589" s="44" t="n">
        <v>20.08</v>
      </c>
      <c r="O1589" s="11"/>
    </row>
    <row r="1590" customFormat="false" ht="14.25" hidden="false" customHeight="true" outlineLevel="0" collapsed="false">
      <c r="C1590" s="11"/>
      <c r="D1590" s="11"/>
      <c r="E1590" s="11"/>
      <c r="F1590" s="11"/>
      <c r="G1590" s="11"/>
      <c r="H1590" s="11"/>
      <c r="I1590" s="11"/>
      <c r="J1590" s="11"/>
      <c r="K1590" s="11"/>
      <c r="L1590" s="11"/>
      <c r="M1590" s="11"/>
      <c r="N1590" s="44" t="n">
        <v>20.15</v>
      </c>
      <c r="O1590" s="11"/>
    </row>
    <row r="1591" customFormat="false" ht="14.25" hidden="false" customHeight="true" outlineLevel="0" collapsed="false">
      <c r="C1591" s="11"/>
      <c r="D1591" s="11"/>
      <c r="E1591" s="11"/>
      <c r="F1591" s="11"/>
      <c r="G1591" s="11"/>
      <c r="H1591" s="11"/>
      <c r="I1591" s="11"/>
      <c r="J1591" s="11"/>
      <c r="K1591" s="11"/>
      <c r="L1591" s="11"/>
      <c r="M1591" s="11"/>
      <c r="N1591" s="44" t="n">
        <v>19.69</v>
      </c>
      <c r="O1591" s="11"/>
    </row>
    <row r="1592" customFormat="false" ht="14.25" hidden="false" customHeight="true" outlineLevel="0" collapsed="false">
      <c r="C1592" s="11"/>
      <c r="D1592" s="11"/>
      <c r="E1592" s="11"/>
      <c r="F1592" s="11"/>
      <c r="G1592" s="11"/>
      <c r="H1592" s="11"/>
      <c r="I1592" s="11"/>
      <c r="J1592" s="11"/>
      <c r="K1592" s="11"/>
      <c r="L1592" s="11"/>
      <c r="M1592" s="11"/>
      <c r="N1592" s="44" t="n">
        <v>19.4</v>
      </c>
      <c r="O1592" s="11"/>
    </row>
    <row r="1593" customFormat="false" ht="14.25" hidden="false" customHeight="true" outlineLevel="0" collapsed="false">
      <c r="C1593" s="11"/>
      <c r="D1593" s="11"/>
      <c r="E1593" s="11"/>
      <c r="F1593" s="11"/>
      <c r="G1593" s="11"/>
      <c r="H1593" s="11"/>
      <c r="I1593" s="11"/>
      <c r="J1593" s="11"/>
      <c r="K1593" s="11"/>
      <c r="L1593" s="11"/>
      <c r="M1593" s="11"/>
      <c r="N1593" s="44" t="n">
        <v>19.29</v>
      </c>
      <c r="O1593" s="11"/>
    </row>
    <row r="1594" customFormat="false" ht="14.25" hidden="false" customHeight="true" outlineLevel="0" collapsed="false">
      <c r="C1594" s="11"/>
      <c r="D1594" s="11"/>
      <c r="E1594" s="11"/>
      <c r="F1594" s="11"/>
      <c r="G1594" s="11"/>
      <c r="H1594" s="11"/>
      <c r="I1594" s="11"/>
      <c r="J1594" s="11"/>
      <c r="K1594" s="11"/>
      <c r="L1594" s="11"/>
      <c r="M1594" s="11"/>
      <c r="N1594" s="44" t="n">
        <v>19.23</v>
      </c>
      <c r="O1594" s="11"/>
    </row>
    <row r="1595" customFormat="false" ht="14.25" hidden="false" customHeight="true" outlineLevel="0" collapsed="false">
      <c r="C1595" s="11"/>
      <c r="D1595" s="11"/>
      <c r="E1595" s="11"/>
      <c r="F1595" s="11"/>
      <c r="G1595" s="11"/>
      <c r="H1595" s="11"/>
      <c r="I1595" s="11"/>
      <c r="J1595" s="11"/>
      <c r="K1595" s="11"/>
      <c r="L1595" s="11"/>
      <c r="M1595" s="11"/>
      <c r="N1595" s="44" t="n">
        <v>19.39</v>
      </c>
      <c r="O1595" s="11"/>
    </row>
    <row r="1596" customFormat="false" ht="14.25" hidden="false" customHeight="true" outlineLevel="0" collapsed="false">
      <c r="C1596" s="11"/>
      <c r="D1596" s="11"/>
      <c r="E1596" s="11"/>
      <c r="F1596" s="11"/>
      <c r="G1596" s="11"/>
      <c r="H1596" s="11"/>
      <c r="I1596" s="11"/>
      <c r="J1596" s="11"/>
      <c r="K1596" s="11"/>
      <c r="L1596" s="11"/>
      <c r="M1596" s="11"/>
      <c r="N1596" s="44" t="n">
        <v>19.42</v>
      </c>
      <c r="O1596" s="11"/>
    </row>
    <row r="1597" customFormat="false" ht="14.25" hidden="false" customHeight="true" outlineLevel="0" collapsed="false">
      <c r="C1597" s="11"/>
      <c r="D1597" s="11"/>
      <c r="E1597" s="11"/>
      <c r="F1597" s="11"/>
      <c r="G1597" s="11"/>
      <c r="H1597" s="11"/>
      <c r="I1597" s="11"/>
      <c r="J1597" s="11"/>
      <c r="K1597" s="11"/>
      <c r="L1597" s="11"/>
      <c r="M1597" s="11"/>
      <c r="N1597" s="44" t="n">
        <v>19.39</v>
      </c>
      <c r="O1597" s="11"/>
    </row>
    <row r="1598" customFormat="false" ht="14.25" hidden="false" customHeight="true" outlineLevel="0" collapsed="false">
      <c r="C1598" s="11"/>
      <c r="D1598" s="11"/>
      <c r="E1598" s="11"/>
      <c r="F1598" s="11"/>
      <c r="G1598" s="11"/>
      <c r="H1598" s="11"/>
      <c r="I1598" s="11"/>
      <c r="J1598" s="11"/>
      <c r="K1598" s="11"/>
      <c r="L1598" s="11"/>
      <c r="M1598" s="11"/>
      <c r="N1598" s="44" t="n">
        <v>19.17</v>
      </c>
      <c r="O1598" s="11"/>
    </row>
    <row r="1599" customFormat="false" ht="14.25" hidden="false" customHeight="true" outlineLevel="0" collapsed="false">
      <c r="C1599" s="11"/>
      <c r="D1599" s="11"/>
      <c r="E1599" s="11"/>
      <c r="F1599" s="11"/>
      <c r="G1599" s="11"/>
      <c r="H1599" s="11"/>
      <c r="I1599" s="11"/>
      <c r="J1599" s="11"/>
      <c r="K1599" s="11"/>
      <c r="L1599" s="11"/>
      <c r="M1599" s="11"/>
      <c r="N1599" s="44" t="n">
        <v>18.73</v>
      </c>
      <c r="O1599" s="11"/>
    </row>
    <row r="1600" customFormat="false" ht="14.25" hidden="false" customHeight="true" outlineLevel="0" collapsed="false">
      <c r="C1600" s="11"/>
      <c r="D1600" s="11"/>
      <c r="E1600" s="11"/>
      <c r="F1600" s="11"/>
      <c r="G1600" s="11"/>
      <c r="H1600" s="11"/>
      <c r="I1600" s="11"/>
      <c r="J1600" s="11"/>
      <c r="K1600" s="11"/>
      <c r="L1600" s="11"/>
      <c r="M1600" s="11"/>
      <c r="N1600" s="44" t="n">
        <v>18.37</v>
      </c>
      <c r="O1600" s="11"/>
    </row>
    <row r="1601" customFormat="false" ht="14.25" hidden="false" customHeight="true" outlineLevel="0" collapsed="false">
      <c r="C1601" s="11"/>
      <c r="D1601" s="11"/>
      <c r="E1601" s="11"/>
      <c r="F1601" s="11"/>
      <c r="G1601" s="11"/>
      <c r="H1601" s="11"/>
      <c r="I1601" s="11"/>
      <c r="J1601" s="11"/>
      <c r="K1601" s="11"/>
      <c r="L1601" s="11"/>
      <c r="M1601" s="11"/>
      <c r="N1601" s="44" t="n">
        <v>18.12</v>
      </c>
      <c r="O1601" s="11"/>
    </row>
    <row r="1602" customFormat="false" ht="14.25" hidden="false" customHeight="true" outlineLevel="0" collapsed="false">
      <c r="C1602" s="11"/>
      <c r="D1602" s="11"/>
      <c r="E1602" s="11"/>
      <c r="F1602" s="11"/>
      <c r="G1602" s="11"/>
      <c r="H1602" s="11"/>
      <c r="I1602" s="11"/>
      <c r="J1602" s="11"/>
      <c r="K1602" s="11"/>
      <c r="L1602" s="11"/>
      <c r="M1602" s="11"/>
      <c r="N1602" s="44" t="n">
        <v>18.21</v>
      </c>
      <c r="O1602" s="11"/>
    </row>
    <row r="1603" customFormat="false" ht="14.25" hidden="false" customHeight="true" outlineLevel="0" collapsed="false">
      <c r="C1603" s="11"/>
      <c r="D1603" s="11"/>
      <c r="E1603" s="11"/>
      <c r="F1603" s="11"/>
      <c r="G1603" s="11"/>
      <c r="H1603" s="11"/>
      <c r="I1603" s="11"/>
      <c r="J1603" s="11"/>
      <c r="K1603" s="11"/>
      <c r="L1603" s="11"/>
      <c r="M1603" s="11"/>
      <c r="N1603" s="44" t="n">
        <v>18.17</v>
      </c>
      <c r="O1603" s="11"/>
    </row>
    <row r="1604" customFormat="false" ht="14.25" hidden="false" customHeight="true" outlineLevel="0" collapsed="false">
      <c r="C1604" s="11"/>
      <c r="D1604" s="11"/>
      <c r="E1604" s="11"/>
      <c r="F1604" s="11"/>
      <c r="G1604" s="11"/>
      <c r="H1604" s="11"/>
      <c r="I1604" s="11"/>
      <c r="J1604" s="11"/>
      <c r="K1604" s="11"/>
      <c r="L1604" s="11"/>
      <c r="M1604" s="11"/>
      <c r="N1604" s="44" t="n">
        <v>18.46</v>
      </c>
      <c r="O1604" s="11"/>
    </row>
    <row r="1605" customFormat="false" ht="14.25" hidden="false" customHeight="true" outlineLevel="0" collapsed="false">
      <c r="C1605" s="11"/>
      <c r="D1605" s="11"/>
      <c r="E1605" s="11"/>
      <c r="F1605" s="11"/>
      <c r="G1605" s="11"/>
      <c r="H1605" s="11"/>
      <c r="I1605" s="11"/>
      <c r="J1605" s="11"/>
      <c r="K1605" s="11"/>
      <c r="L1605" s="11"/>
      <c r="M1605" s="11"/>
      <c r="N1605" s="44" t="n">
        <v>18.34</v>
      </c>
      <c r="O1605" s="11"/>
    </row>
    <row r="1606" customFormat="false" ht="14.25" hidden="false" customHeight="true" outlineLevel="0" collapsed="false">
      <c r="C1606" s="11"/>
      <c r="D1606" s="11"/>
      <c r="E1606" s="11"/>
      <c r="F1606" s="11"/>
      <c r="G1606" s="11"/>
      <c r="H1606" s="11"/>
      <c r="I1606" s="11"/>
      <c r="J1606" s="11"/>
      <c r="K1606" s="11"/>
      <c r="L1606" s="11"/>
      <c r="M1606" s="11"/>
      <c r="N1606" s="44" t="n">
        <v>18.67</v>
      </c>
      <c r="O1606" s="11"/>
    </row>
    <row r="1607" customFormat="false" ht="14.25" hidden="false" customHeight="true" outlineLevel="0" collapsed="false">
      <c r="C1607" s="11"/>
      <c r="D1607" s="11"/>
      <c r="E1607" s="11"/>
      <c r="F1607" s="11"/>
      <c r="G1607" s="11"/>
      <c r="H1607" s="11"/>
      <c r="I1607" s="11"/>
      <c r="J1607" s="11"/>
      <c r="K1607" s="11"/>
      <c r="L1607" s="11"/>
      <c r="M1607" s="11"/>
      <c r="N1607" s="44" t="n">
        <v>18.57</v>
      </c>
      <c r="O1607" s="11"/>
    </row>
    <row r="1608" customFormat="false" ht="14.25" hidden="false" customHeight="true" outlineLevel="0" collapsed="false">
      <c r="C1608" s="11"/>
      <c r="D1608" s="11"/>
      <c r="E1608" s="11"/>
      <c r="F1608" s="11"/>
      <c r="G1608" s="11"/>
      <c r="H1608" s="11"/>
      <c r="I1608" s="11"/>
      <c r="J1608" s="11"/>
      <c r="K1608" s="11"/>
      <c r="L1608" s="11"/>
      <c r="M1608" s="11"/>
      <c r="N1608" s="44" t="n">
        <v>18.77</v>
      </c>
      <c r="O1608" s="11"/>
    </row>
    <row r="1609" customFormat="false" ht="14.25" hidden="false" customHeight="true" outlineLevel="0" collapsed="false">
      <c r="C1609" s="11"/>
      <c r="D1609" s="11"/>
      <c r="E1609" s="11"/>
      <c r="F1609" s="11"/>
      <c r="G1609" s="11"/>
      <c r="H1609" s="11"/>
      <c r="I1609" s="11"/>
      <c r="J1609" s="11"/>
      <c r="K1609" s="11"/>
      <c r="L1609" s="11"/>
      <c r="M1609" s="11"/>
      <c r="N1609" s="44" t="n">
        <v>18.15</v>
      </c>
      <c r="O1609" s="11"/>
    </row>
    <row r="1610" customFormat="false" ht="14.25" hidden="false" customHeight="true" outlineLevel="0" collapsed="false">
      <c r="C1610" s="11"/>
      <c r="D1610" s="11"/>
      <c r="E1610" s="11"/>
      <c r="F1610" s="11"/>
      <c r="G1610" s="11"/>
      <c r="H1610" s="11"/>
      <c r="I1610" s="11"/>
      <c r="J1610" s="11"/>
      <c r="K1610" s="11"/>
      <c r="L1610" s="11"/>
      <c r="M1610" s="11"/>
      <c r="N1610" s="44" t="n">
        <v>18.22</v>
      </c>
      <c r="O1610" s="11"/>
    </row>
    <row r="1611" customFormat="false" ht="14.25" hidden="false" customHeight="true" outlineLevel="0" collapsed="false">
      <c r="C1611" s="11"/>
      <c r="D1611" s="11"/>
      <c r="E1611" s="11"/>
      <c r="F1611" s="11"/>
      <c r="G1611" s="11"/>
      <c r="H1611" s="11"/>
      <c r="I1611" s="11"/>
      <c r="J1611" s="11"/>
      <c r="K1611" s="11"/>
      <c r="L1611" s="11"/>
      <c r="M1611" s="11"/>
      <c r="N1611" s="44" t="n">
        <v>17.97</v>
      </c>
      <c r="O1611" s="11"/>
    </row>
    <row r="1612" customFormat="false" ht="14.25" hidden="false" customHeight="true" outlineLevel="0" collapsed="false">
      <c r="C1612" s="11"/>
      <c r="D1612" s="11"/>
      <c r="E1612" s="11"/>
      <c r="F1612" s="11"/>
      <c r="G1612" s="11"/>
      <c r="H1612" s="11"/>
      <c r="I1612" s="11"/>
      <c r="J1612" s="11"/>
      <c r="K1612" s="11"/>
      <c r="L1612" s="11"/>
      <c r="M1612" s="11"/>
      <c r="N1612" s="44" t="n">
        <v>17.92</v>
      </c>
      <c r="O1612" s="11"/>
    </row>
    <row r="1613" customFormat="false" ht="14.25" hidden="false" customHeight="true" outlineLevel="0" collapsed="false">
      <c r="C1613" s="11"/>
      <c r="D1613" s="11"/>
      <c r="E1613" s="11"/>
      <c r="F1613" s="11"/>
      <c r="G1613" s="11"/>
      <c r="H1613" s="11"/>
      <c r="I1613" s="11"/>
      <c r="J1613" s="11"/>
      <c r="K1613" s="11"/>
      <c r="L1613" s="11"/>
      <c r="M1613" s="11"/>
      <c r="N1613" s="44" t="n">
        <v>18.14</v>
      </c>
      <c r="O1613" s="11"/>
    </row>
    <row r="1614" customFormat="false" ht="14.25" hidden="false" customHeight="true" outlineLevel="0" collapsed="false">
      <c r="C1614" s="11"/>
      <c r="D1614" s="11"/>
      <c r="E1614" s="11"/>
      <c r="F1614" s="11"/>
      <c r="G1614" s="11"/>
      <c r="H1614" s="11"/>
      <c r="I1614" s="11"/>
      <c r="J1614" s="11"/>
      <c r="K1614" s="11"/>
      <c r="L1614" s="11"/>
      <c r="M1614" s="11"/>
      <c r="N1614" s="44" t="n">
        <v>18.06</v>
      </c>
      <c r="O1614" s="11"/>
    </row>
    <row r="1615" customFormat="false" ht="14.25" hidden="false" customHeight="true" outlineLevel="0" collapsed="false">
      <c r="C1615" s="11"/>
      <c r="D1615" s="11"/>
      <c r="E1615" s="11"/>
      <c r="F1615" s="11"/>
      <c r="G1615" s="11"/>
      <c r="H1615" s="11"/>
      <c r="I1615" s="11"/>
      <c r="J1615" s="11"/>
      <c r="K1615" s="11"/>
      <c r="L1615" s="11"/>
      <c r="M1615" s="11"/>
      <c r="N1615" s="44" t="n">
        <v>17.69</v>
      </c>
      <c r="O1615" s="11"/>
    </row>
    <row r="1616" customFormat="false" ht="14.25" hidden="false" customHeight="true" outlineLevel="0" collapsed="false">
      <c r="C1616" s="11"/>
      <c r="D1616" s="11"/>
      <c r="E1616" s="11"/>
      <c r="F1616" s="11"/>
      <c r="G1616" s="11"/>
      <c r="H1616" s="11"/>
      <c r="I1616" s="11"/>
      <c r="J1616" s="11"/>
      <c r="K1616" s="11"/>
      <c r="L1616" s="11"/>
      <c r="M1616" s="11"/>
      <c r="N1616" s="44" t="n">
        <v>17.63</v>
      </c>
      <c r="O1616" s="11"/>
    </row>
    <row r="1617" customFormat="false" ht="14.25" hidden="false" customHeight="true" outlineLevel="0" collapsed="false">
      <c r="C1617" s="11"/>
      <c r="D1617" s="11"/>
      <c r="E1617" s="11"/>
      <c r="F1617" s="11"/>
      <c r="G1617" s="11"/>
      <c r="H1617" s="11"/>
      <c r="I1617" s="11"/>
      <c r="J1617" s="11"/>
      <c r="K1617" s="11"/>
      <c r="L1617" s="11"/>
      <c r="M1617" s="11"/>
      <c r="N1617" s="44" t="n">
        <v>17.86</v>
      </c>
      <c r="O1617" s="11"/>
    </row>
    <row r="1618" customFormat="false" ht="14.25" hidden="false" customHeight="true" outlineLevel="0" collapsed="false">
      <c r="C1618" s="11"/>
      <c r="D1618" s="11"/>
      <c r="E1618" s="11"/>
      <c r="F1618" s="11"/>
      <c r="G1618" s="11"/>
      <c r="H1618" s="11"/>
      <c r="I1618" s="11"/>
      <c r="J1618" s="11"/>
      <c r="K1618" s="11"/>
      <c r="L1618" s="11"/>
      <c r="M1618" s="11"/>
      <c r="N1618" s="44" t="n">
        <v>18.22</v>
      </c>
      <c r="O1618" s="11"/>
    </row>
    <row r="1619" customFormat="false" ht="14.25" hidden="false" customHeight="true" outlineLevel="0" collapsed="false">
      <c r="C1619" s="11"/>
      <c r="D1619" s="11"/>
      <c r="E1619" s="11"/>
      <c r="F1619" s="11"/>
      <c r="G1619" s="11"/>
      <c r="H1619" s="11"/>
      <c r="I1619" s="11"/>
      <c r="J1619" s="11"/>
      <c r="K1619" s="11"/>
      <c r="L1619" s="11"/>
      <c r="M1619" s="11"/>
      <c r="N1619" s="44" t="n">
        <v>18.65</v>
      </c>
      <c r="O1619" s="11"/>
    </row>
    <row r="1620" customFormat="false" ht="14.25" hidden="false" customHeight="true" outlineLevel="0" collapsed="false">
      <c r="C1620" s="11"/>
      <c r="D1620" s="11"/>
      <c r="E1620" s="11"/>
      <c r="F1620" s="11"/>
      <c r="G1620" s="11"/>
      <c r="H1620" s="11"/>
      <c r="I1620" s="11"/>
      <c r="J1620" s="11"/>
      <c r="K1620" s="11"/>
      <c r="L1620" s="11"/>
      <c r="M1620" s="11"/>
      <c r="N1620" s="44" t="n">
        <v>18.28</v>
      </c>
      <c r="O1620" s="11"/>
    </row>
    <row r="1621" customFormat="false" ht="14.25" hidden="false" customHeight="true" outlineLevel="0" collapsed="false">
      <c r="C1621" s="11"/>
      <c r="D1621" s="11"/>
      <c r="E1621" s="11"/>
      <c r="F1621" s="11"/>
      <c r="G1621" s="11"/>
      <c r="H1621" s="11"/>
      <c r="I1621" s="11"/>
      <c r="J1621" s="11"/>
      <c r="K1621" s="11"/>
      <c r="L1621" s="11"/>
      <c r="M1621" s="11"/>
      <c r="N1621" s="44" t="n">
        <v>18.27</v>
      </c>
      <c r="O1621" s="11"/>
    </row>
    <row r="1622" customFormat="false" ht="14.25" hidden="false" customHeight="true" outlineLevel="0" collapsed="false">
      <c r="C1622" s="11"/>
      <c r="D1622" s="11"/>
      <c r="E1622" s="11"/>
      <c r="F1622" s="11"/>
      <c r="G1622" s="11"/>
      <c r="H1622" s="11"/>
      <c r="I1622" s="11"/>
      <c r="J1622" s="11"/>
      <c r="K1622" s="11"/>
      <c r="L1622" s="11"/>
      <c r="M1622" s="11"/>
      <c r="N1622" s="44" t="n">
        <v>18.25</v>
      </c>
      <c r="O1622" s="11"/>
    </row>
    <row r="1623" customFormat="false" ht="14.25" hidden="false" customHeight="true" outlineLevel="0" collapsed="false">
      <c r="C1623" s="11"/>
      <c r="D1623" s="11"/>
      <c r="E1623" s="11"/>
      <c r="F1623" s="11"/>
      <c r="G1623" s="11"/>
      <c r="H1623" s="11"/>
      <c r="I1623" s="11"/>
      <c r="J1623" s="11"/>
      <c r="K1623" s="11"/>
      <c r="L1623" s="11"/>
      <c r="M1623" s="11"/>
      <c r="N1623" s="44" t="n">
        <v>18.25</v>
      </c>
      <c r="O1623" s="11"/>
    </row>
    <row r="1624" customFormat="false" ht="14.25" hidden="false" customHeight="true" outlineLevel="0" collapsed="false">
      <c r="C1624" s="11"/>
      <c r="D1624" s="11"/>
      <c r="E1624" s="11"/>
      <c r="F1624" s="11"/>
      <c r="G1624" s="11"/>
      <c r="H1624" s="11"/>
      <c r="I1624" s="11"/>
      <c r="J1624" s="11"/>
      <c r="K1624" s="11"/>
      <c r="L1624" s="11"/>
      <c r="M1624" s="11"/>
      <c r="N1624" s="44" t="n">
        <v>17.88</v>
      </c>
      <c r="O1624" s="11"/>
    </row>
    <row r="1625" customFormat="false" ht="14.25" hidden="false" customHeight="true" outlineLevel="0" collapsed="false">
      <c r="C1625" s="11"/>
      <c r="D1625" s="11"/>
      <c r="E1625" s="11"/>
      <c r="F1625" s="11"/>
      <c r="G1625" s="11"/>
      <c r="H1625" s="11"/>
      <c r="I1625" s="11"/>
      <c r="J1625" s="11"/>
      <c r="K1625" s="11"/>
      <c r="L1625" s="11"/>
      <c r="M1625" s="11"/>
      <c r="N1625" s="44" t="n">
        <v>18.06</v>
      </c>
      <c r="O1625" s="11"/>
    </row>
    <row r="1626" customFormat="false" ht="14.25" hidden="false" customHeight="true" outlineLevel="0" collapsed="false">
      <c r="C1626" s="11"/>
      <c r="D1626" s="11"/>
      <c r="E1626" s="11"/>
      <c r="F1626" s="11"/>
      <c r="G1626" s="11"/>
      <c r="H1626" s="11"/>
      <c r="I1626" s="11"/>
      <c r="J1626" s="11"/>
      <c r="K1626" s="11"/>
      <c r="L1626" s="11"/>
      <c r="M1626" s="11"/>
      <c r="N1626" s="44" t="n">
        <v>18.39</v>
      </c>
      <c r="O1626" s="11"/>
    </row>
    <row r="1627" customFormat="false" ht="14.25" hidden="false" customHeight="true" outlineLevel="0" collapsed="false">
      <c r="C1627" s="11"/>
      <c r="D1627" s="11"/>
      <c r="E1627" s="11"/>
      <c r="F1627" s="11"/>
      <c r="G1627" s="11"/>
      <c r="H1627" s="11"/>
      <c r="I1627" s="11"/>
      <c r="J1627" s="11"/>
      <c r="K1627" s="11"/>
      <c r="L1627" s="11"/>
      <c r="M1627" s="11"/>
      <c r="N1627" s="44" t="n">
        <v>18.39</v>
      </c>
      <c r="O1627" s="11"/>
    </row>
    <row r="1628" customFormat="false" ht="14.25" hidden="false" customHeight="true" outlineLevel="0" collapsed="false">
      <c r="C1628" s="11"/>
      <c r="D1628" s="11"/>
      <c r="E1628" s="11"/>
      <c r="F1628" s="11"/>
      <c r="G1628" s="11"/>
      <c r="H1628" s="11"/>
      <c r="I1628" s="11"/>
      <c r="J1628" s="11"/>
      <c r="K1628" s="11"/>
      <c r="L1628" s="11"/>
      <c r="M1628" s="11"/>
      <c r="N1628" s="44" t="n">
        <v>18.06</v>
      </c>
      <c r="O1628" s="11"/>
    </row>
    <row r="1629" customFormat="false" ht="14.25" hidden="false" customHeight="true" outlineLevel="0" collapsed="false">
      <c r="C1629" s="11"/>
      <c r="D1629" s="11"/>
      <c r="E1629" s="11"/>
      <c r="F1629" s="11"/>
      <c r="G1629" s="11"/>
      <c r="H1629" s="11"/>
      <c r="I1629" s="11"/>
      <c r="J1629" s="11"/>
      <c r="K1629" s="11"/>
      <c r="L1629" s="11"/>
      <c r="M1629" s="11"/>
      <c r="N1629" s="44" t="n">
        <v>18.73</v>
      </c>
      <c r="O1629" s="11"/>
    </row>
    <row r="1630" customFormat="false" ht="14.25" hidden="false" customHeight="true" outlineLevel="0" collapsed="false">
      <c r="C1630" s="11"/>
      <c r="D1630" s="11"/>
      <c r="E1630" s="11"/>
      <c r="F1630" s="11"/>
      <c r="G1630" s="11"/>
      <c r="H1630" s="11"/>
      <c r="I1630" s="11"/>
      <c r="J1630" s="11"/>
      <c r="K1630" s="11"/>
      <c r="L1630" s="11"/>
      <c r="M1630" s="11"/>
      <c r="N1630" s="44" t="n">
        <v>19.21</v>
      </c>
      <c r="O1630" s="11"/>
    </row>
    <row r="1631" customFormat="false" ht="14.25" hidden="false" customHeight="true" outlineLevel="0" collapsed="false">
      <c r="C1631" s="11"/>
      <c r="D1631" s="11"/>
      <c r="E1631" s="11"/>
      <c r="F1631" s="11"/>
      <c r="G1631" s="11"/>
      <c r="H1631" s="11"/>
      <c r="I1631" s="11"/>
      <c r="J1631" s="11"/>
      <c r="K1631" s="11"/>
      <c r="L1631" s="11"/>
      <c r="M1631" s="11"/>
      <c r="N1631" s="44" t="n">
        <v>19.72</v>
      </c>
      <c r="O1631" s="11"/>
    </row>
    <row r="1632" customFormat="false" ht="14.25" hidden="false" customHeight="true" outlineLevel="0" collapsed="false">
      <c r="C1632" s="11"/>
      <c r="D1632" s="11"/>
      <c r="E1632" s="11"/>
      <c r="F1632" s="11"/>
      <c r="G1632" s="11"/>
      <c r="H1632" s="11"/>
      <c r="I1632" s="11"/>
      <c r="J1632" s="11"/>
      <c r="K1632" s="11"/>
      <c r="L1632" s="11"/>
      <c r="M1632" s="11"/>
      <c r="N1632" s="44" t="n">
        <v>19.82</v>
      </c>
      <c r="O1632" s="11"/>
    </row>
    <row r="1633" customFormat="false" ht="14.25" hidden="false" customHeight="true" outlineLevel="0" collapsed="false">
      <c r="C1633" s="11"/>
      <c r="D1633" s="11"/>
      <c r="E1633" s="11"/>
      <c r="F1633" s="11"/>
      <c r="G1633" s="11"/>
      <c r="H1633" s="11"/>
      <c r="I1633" s="11"/>
      <c r="J1633" s="11"/>
      <c r="K1633" s="11"/>
      <c r="L1633" s="11"/>
      <c r="M1633" s="11"/>
      <c r="N1633" s="44" t="n">
        <v>19.95</v>
      </c>
      <c r="O1633" s="11"/>
    </row>
    <row r="1634" customFormat="false" ht="14.25" hidden="false" customHeight="true" outlineLevel="0" collapsed="false">
      <c r="C1634" s="11"/>
      <c r="D1634" s="11"/>
      <c r="E1634" s="11"/>
      <c r="F1634" s="11"/>
      <c r="G1634" s="11"/>
      <c r="H1634" s="11"/>
      <c r="I1634" s="11"/>
      <c r="J1634" s="11"/>
      <c r="K1634" s="11"/>
      <c r="L1634" s="11"/>
      <c r="M1634" s="11"/>
      <c r="N1634" s="44" t="n">
        <v>19.81</v>
      </c>
      <c r="O1634" s="11"/>
    </row>
    <row r="1635" customFormat="false" ht="14.25" hidden="false" customHeight="true" outlineLevel="0" collapsed="false">
      <c r="C1635" s="11"/>
      <c r="D1635" s="11"/>
      <c r="E1635" s="11"/>
      <c r="F1635" s="11"/>
      <c r="G1635" s="11"/>
      <c r="H1635" s="11"/>
      <c r="I1635" s="11"/>
      <c r="J1635" s="11"/>
      <c r="K1635" s="11"/>
      <c r="L1635" s="11"/>
      <c r="M1635" s="11"/>
      <c r="N1635" s="44" t="n">
        <v>20.15</v>
      </c>
      <c r="O1635" s="11"/>
    </row>
    <row r="1636" customFormat="false" ht="14.25" hidden="false" customHeight="true" outlineLevel="0" collapsed="false">
      <c r="C1636" s="11"/>
      <c r="D1636" s="11"/>
      <c r="E1636" s="11"/>
      <c r="F1636" s="11"/>
      <c r="G1636" s="11"/>
      <c r="H1636" s="11"/>
      <c r="I1636" s="11"/>
      <c r="J1636" s="11"/>
      <c r="K1636" s="11"/>
      <c r="L1636" s="11"/>
      <c r="M1636" s="11"/>
      <c r="N1636" s="44" t="n">
        <v>20.63</v>
      </c>
      <c r="O1636" s="11"/>
    </row>
    <row r="1637" customFormat="false" ht="14.25" hidden="false" customHeight="true" outlineLevel="0" collapsed="false">
      <c r="C1637" s="11"/>
      <c r="D1637" s="11"/>
      <c r="E1637" s="11"/>
      <c r="F1637" s="11"/>
      <c r="G1637" s="11"/>
      <c r="H1637" s="11"/>
      <c r="I1637" s="11"/>
      <c r="J1637" s="11"/>
      <c r="K1637" s="11"/>
      <c r="L1637" s="11"/>
      <c r="M1637" s="11"/>
      <c r="N1637" s="44" t="n">
        <v>20.87</v>
      </c>
      <c r="O1637" s="11"/>
    </row>
    <row r="1638" customFormat="false" ht="14.25" hidden="false" customHeight="true" outlineLevel="0" collapsed="false">
      <c r="C1638" s="11"/>
      <c r="D1638" s="11"/>
      <c r="E1638" s="11"/>
      <c r="F1638" s="11"/>
      <c r="G1638" s="11"/>
      <c r="H1638" s="11"/>
      <c r="I1638" s="11"/>
      <c r="J1638" s="11"/>
      <c r="K1638" s="11"/>
      <c r="L1638" s="11"/>
      <c r="M1638" s="11"/>
      <c r="N1638" s="44" t="n">
        <v>20.97</v>
      </c>
      <c r="O1638" s="11"/>
    </row>
    <row r="1639" customFormat="false" ht="14.25" hidden="false" customHeight="true" outlineLevel="0" collapsed="false">
      <c r="C1639" s="11"/>
      <c r="D1639" s="11"/>
      <c r="E1639" s="11"/>
      <c r="F1639" s="11"/>
      <c r="G1639" s="11"/>
      <c r="H1639" s="11"/>
      <c r="I1639" s="11"/>
      <c r="J1639" s="11"/>
      <c r="K1639" s="11"/>
      <c r="L1639" s="11"/>
      <c r="M1639" s="11"/>
      <c r="N1639" s="44" t="n">
        <v>21.27</v>
      </c>
      <c r="O1639" s="11"/>
    </row>
    <row r="1640" customFormat="false" ht="14.25" hidden="false" customHeight="true" outlineLevel="0" collapsed="false">
      <c r="C1640" s="11"/>
      <c r="D1640" s="11"/>
      <c r="E1640" s="11"/>
      <c r="F1640" s="11"/>
      <c r="G1640" s="11"/>
      <c r="H1640" s="11"/>
      <c r="I1640" s="11"/>
      <c r="J1640" s="11"/>
      <c r="K1640" s="11"/>
      <c r="L1640" s="11"/>
      <c r="M1640" s="11"/>
      <c r="N1640" s="44" t="n">
        <v>21.45</v>
      </c>
      <c r="O1640" s="11"/>
    </row>
    <row r="1641" customFormat="false" ht="14.25" hidden="false" customHeight="true" outlineLevel="0" collapsed="false">
      <c r="C1641" s="11"/>
      <c r="D1641" s="11"/>
      <c r="E1641" s="11"/>
      <c r="F1641" s="11"/>
      <c r="G1641" s="11"/>
      <c r="H1641" s="11"/>
      <c r="I1641" s="11"/>
      <c r="J1641" s="11"/>
      <c r="K1641" s="11"/>
      <c r="L1641" s="11"/>
      <c r="M1641" s="11"/>
      <c r="N1641" s="44" t="n">
        <v>21.19</v>
      </c>
      <c r="O1641" s="11"/>
    </row>
    <row r="1642" customFormat="false" ht="14.25" hidden="false" customHeight="true" outlineLevel="0" collapsed="false">
      <c r="C1642" s="11"/>
      <c r="D1642" s="11"/>
      <c r="E1642" s="11"/>
      <c r="F1642" s="11"/>
      <c r="G1642" s="11"/>
      <c r="H1642" s="11"/>
      <c r="I1642" s="11"/>
      <c r="J1642" s="11"/>
      <c r="K1642" s="11"/>
      <c r="L1642" s="11"/>
      <c r="M1642" s="11"/>
      <c r="N1642" s="44" t="n">
        <v>21.3</v>
      </c>
      <c r="O1642" s="11"/>
    </row>
    <row r="1643" customFormat="false" ht="14.25" hidden="false" customHeight="true" outlineLevel="0" collapsed="false">
      <c r="C1643" s="11"/>
      <c r="D1643" s="11"/>
      <c r="E1643" s="11"/>
      <c r="F1643" s="11"/>
      <c r="G1643" s="11"/>
      <c r="H1643" s="11"/>
      <c r="I1643" s="11"/>
      <c r="J1643" s="11"/>
      <c r="K1643" s="11"/>
      <c r="L1643" s="11"/>
      <c r="M1643" s="11"/>
      <c r="N1643" s="44" t="n">
        <v>21.04</v>
      </c>
      <c r="O1643" s="11"/>
    </row>
    <row r="1644" customFormat="false" ht="14.25" hidden="false" customHeight="true" outlineLevel="0" collapsed="false">
      <c r="C1644" s="11"/>
      <c r="D1644" s="11"/>
      <c r="E1644" s="11"/>
      <c r="F1644" s="11"/>
      <c r="G1644" s="11"/>
      <c r="H1644" s="11"/>
      <c r="I1644" s="11"/>
      <c r="J1644" s="11"/>
      <c r="K1644" s="11"/>
      <c r="L1644" s="11"/>
      <c r="M1644" s="11"/>
      <c r="N1644" s="44" t="n">
        <v>20.93</v>
      </c>
      <c r="O1644" s="11"/>
    </row>
    <row r="1645" customFormat="false" ht="14.25" hidden="false" customHeight="true" outlineLevel="0" collapsed="false">
      <c r="C1645" s="11"/>
      <c r="D1645" s="11"/>
      <c r="E1645" s="11"/>
      <c r="F1645" s="11"/>
      <c r="G1645" s="11"/>
      <c r="H1645" s="11"/>
      <c r="I1645" s="11"/>
      <c r="J1645" s="11"/>
      <c r="K1645" s="11"/>
      <c r="L1645" s="11"/>
      <c r="M1645" s="11"/>
      <c r="N1645" s="44" t="n">
        <v>21.05</v>
      </c>
      <c r="O1645" s="11"/>
    </row>
    <row r="1646" customFormat="false" ht="14.25" hidden="false" customHeight="true" outlineLevel="0" collapsed="false">
      <c r="C1646" s="11"/>
      <c r="D1646" s="11"/>
      <c r="E1646" s="11"/>
      <c r="F1646" s="11"/>
      <c r="G1646" s="11"/>
      <c r="H1646" s="11"/>
      <c r="I1646" s="11"/>
      <c r="J1646" s="11"/>
      <c r="K1646" s="11"/>
      <c r="L1646" s="11"/>
      <c r="M1646" s="11"/>
      <c r="N1646" s="44" t="n">
        <v>21.55</v>
      </c>
      <c r="O1646" s="11"/>
    </row>
    <row r="1647" customFormat="false" ht="14.25" hidden="false" customHeight="true" outlineLevel="0" collapsed="false">
      <c r="C1647" s="11"/>
      <c r="D1647" s="11"/>
      <c r="E1647" s="11"/>
      <c r="F1647" s="11"/>
      <c r="G1647" s="11"/>
      <c r="H1647" s="11"/>
      <c r="I1647" s="11"/>
      <c r="J1647" s="11"/>
      <c r="K1647" s="11"/>
      <c r="L1647" s="11"/>
      <c r="M1647" s="11"/>
      <c r="N1647" s="44" t="n">
        <v>21.42</v>
      </c>
      <c r="O1647" s="11"/>
    </row>
    <row r="1648" customFormat="false" ht="14.25" hidden="false" customHeight="true" outlineLevel="0" collapsed="false">
      <c r="C1648" s="11"/>
      <c r="D1648" s="11"/>
      <c r="E1648" s="11"/>
      <c r="F1648" s="11"/>
      <c r="G1648" s="11"/>
      <c r="H1648" s="11"/>
      <c r="I1648" s="11"/>
      <c r="J1648" s="11"/>
      <c r="K1648" s="11"/>
      <c r="L1648" s="11"/>
      <c r="M1648" s="11"/>
      <c r="N1648" s="44" t="n">
        <v>21.65</v>
      </c>
      <c r="O1648" s="11"/>
    </row>
    <row r="1649" customFormat="false" ht="14.25" hidden="false" customHeight="true" outlineLevel="0" collapsed="false">
      <c r="C1649" s="11"/>
      <c r="D1649" s="11"/>
      <c r="E1649" s="11"/>
      <c r="F1649" s="11"/>
      <c r="G1649" s="11"/>
      <c r="H1649" s="11"/>
      <c r="I1649" s="11"/>
      <c r="J1649" s="11"/>
      <c r="K1649" s="11"/>
      <c r="L1649" s="11"/>
      <c r="M1649" s="11"/>
      <c r="N1649" s="44" t="n">
        <v>21.65</v>
      </c>
      <c r="O1649" s="11"/>
    </row>
    <row r="1650" customFormat="false" ht="14.25" hidden="false" customHeight="true" outlineLevel="0" collapsed="false">
      <c r="C1650" s="11"/>
      <c r="D1650" s="11"/>
      <c r="E1650" s="11"/>
      <c r="F1650" s="11"/>
      <c r="G1650" s="11"/>
      <c r="H1650" s="11"/>
      <c r="I1650" s="11"/>
      <c r="J1650" s="11"/>
      <c r="K1650" s="11"/>
      <c r="L1650" s="11"/>
      <c r="M1650" s="11"/>
      <c r="N1650" s="44" t="n">
        <v>21.03</v>
      </c>
      <c r="O1650" s="11"/>
    </row>
    <row r="1651" customFormat="false" ht="14.25" hidden="false" customHeight="true" outlineLevel="0" collapsed="false">
      <c r="C1651" s="11"/>
      <c r="D1651" s="11"/>
      <c r="E1651" s="11"/>
      <c r="F1651" s="11"/>
      <c r="G1651" s="11"/>
      <c r="H1651" s="11"/>
      <c r="I1651" s="11"/>
      <c r="J1651" s="11"/>
      <c r="K1651" s="11"/>
      <c r="L1651" s="11"/>
      <c r="M1651" s="11"/>
      <c r="N1651" s="44" t="n">
        <v>20.76</v>
      </c>
      <c r="O1651" s="11"/>
    </row>
    <row r="1652" customFormat="false" ht="14.25" hidden="false" customHeight="true" outlineLevel="0" collapsed="false">
      <c r="C1652" s="11"/>
      <c r="D1652" s="11"/>
      <c r="E1652" s="11"/>
      <c r="F1652" s="11"/>
      <c r="G1652" s="11"/>
      <c r="H1652" s="11"/>
      <c r="I1652" s="11"/>
      <c r="J1652" s="11"/>
      <c r="K1652" s="11"/>
      <c r="L1652" s="11"/>
      <c r="M1652" s="11"/>
      <c r="N1652" s="44" t="n">
        <v>20.52</v>
      </c>
      <c r="O1652" s="11"/>
    </row>
    <row r="1653" customFormat="false" ht="14.25" hidden="false" customHeight="true" outlineLevel="0" collapsed="false">
      <c r="C1653" s="11"/>
      <c r="D1653" s="11"/>
      <c r="E1653" s="11"/>
      <c r="F1653" s="11"/>
      <c r="G1653" s="11"/>
      <c r="H1653" s="11"/>
      <c r="I1653" s="11"/>
      <c r="J1653" s="11"/>
      <c r="K1653" s="11"/>
      <c r="L1653" s="11"/>
      <c r="M1653" s="11"/>
      <c r="N1653" s="44" t="n">
        <v>19.93</v>
      </c>
      <c r="O1653" s="11"/>
    </row>
    <row r="1654" customFormat="false" ht="14.25" hidden="false" customHeight="true" outlineLevel="0" collapsed="false">
      <c r="C1654" s="11"/>
      <c r="D1654" s="11"/>
      <c r="E1654" s="11"/>
      <c r="F1654" s="11"/>
      <c r="G1654" s="11"/>
      <c r="H1654" s="11"/>
      <c r="I1654" s="11"/>
      <c r="J1654" s="11"/>
      <c r="K1654" s="11"/>
      <c r="L1654" s="11"/>
      <c r="M1654" s="11"/>
      <c r="N1654" s="44" t="n">
        <v>19.98</v>
      </c>
      <c r="O1654" s="11"/>
    </row>
    <row r="1655" customFormat="false" ht="14.25" hidden="false" customHeight="true" outlineLevel="0" collapsed="false">
      <c r="C1655" s="11"/>
      <c r="D1655" s="11"/>
      <c r="E1655" s="11"/>
      <c r="F1655" s="11"/>
      <c r="G1655" s="11"/>
      <c r="H1655" s="11"/>
      <c r="I1655" s="11"/>
      <c r="J1655" s="11"/>
      <c r="K1655" s="11"/>
      <c r="L1655" s="11"/>
      <c r="M1655" s="11"/>
      <c r="N1655" s="44" t="n">
        <v>19.91</v>
      </c>
      <c r="O1655" s="11"/>
    </row>
    <row r="1656" customFormat="false" ht="14.25" hidden="false" customHeight="true" outlineLevel="0" collapsed="false">
      <c r="C1656" s="11"/>
      <c r="D1656" s="11"/>
      <c r="E1656" s="11"/>
      <c r="F1656" s="11"/>
      <c r="G1656" s="11"/>
      <c r="H1656" s="11"/>
      <c r="I1656" s="11"/>
      <c r="J1656" s="11"/>
      <c r="K1656" s="11"/>
      <c r="L1656" s="11"/>
      <c r="M1656" s="11"/>
      <c r="N1656" s="44" t="n">
        <v>19.89</v>
      </c>
      <c r="O1656" s="11"/>
    </row>
    <row r="1657" customFormat="false" ht="14.25" hidden="false" customHeight="true" outlineLevel="0" collapsed="false">
      <c r="C1657" s="11"/>
      <c r="D1657" s="11"/>
      <c r="E1657" s="11"/>
      <c r="F1657" s="11"/>
      <c r="G1657" s="11"/>
      <c r="H1657" s="11"/>
      <c r="I1657" s="11"/>
      <c r="J1657" s="11"/>
      <c r="K1657" s="11"/>
      <c r="L1657" s="11"/>
      <c r="M1657" s="11"/>
      <c r="N1657" s="44" t="n">
        <v>19.7</v>
      </c>
      <c r="O1657" s="11"/>
    </row>
    <row r="1658" customFormat="false" ht="14.25" hidden="false" customHeight="true" outlineLevel="0" collapsed="false">
      <c r="C1658" s="11"/>
      <c r="D1658" s="11"/>
      <c r="E1658" s="11"/>
      <c r="F1658" s="11"/>
      <c r="G1658" s="11"/>
      <c r="H1658" s="11"/>
      <c r="I1658" s="11"/>
      <c r="J1658" s="11"/>
      <c r="K1658" s="11"/>
      <c r="L1658" s="11"/>
      <c r="M1658" s="11"/>
      <c r="N1658" s="44" t="n">
        <v>19.69</v>
      </c>
      <c r="O1658" s="11"/>
    </row>
    <row r="1659" customFormat="false" ht="14.25" hidden="false" customHeight="true" outlineLevel="0" collapsed="false">
      <c r="C1659" s="11"/>
      <c r="D1659" s="11"/>
      <c r="E1659" s="11"/>
      <c r="F1659" s="11"/>
      <c r="G1659" s="11"/>
      <c r="H1659" s="11"/>
      <c r="I1659" s="11"/>
      <c r="J1659" s="11"/>
      <c r="K1659" s="11"/>
      <c r="L1659" s="11"/>
      <c r="M1659" s="11"/>
      <c r="N1659" s="44" t="n">
        <v>19.95</v>
      </c>
      <c r="O1659" s="11"/>
    </row>
    <row r="1660" customFormat="false" ht="14.25" hidden="false" customHeight="true" outlineLevel="0" collapsed="false">
      <c r="C1660" s="11"/>
      <c r="D1660" s="11"/>
      <c r="E1660" s="11"/>
      <c r="F1660" s="11"/>
      <c r="G1660" s="11"/>
      <c r="H1660" s="11"/>
      <c r="I1660" s="11"/>
      <c r="J1660" s="11"/>
      <c r="K1660" s="11"/>
      <c r="L1660" s="11"/>
      <c r="M1660" s="11"/>
      <c r="N1660" s="44" t="n">
        <v>19.91</v>
      </c>
      <c r="O1660" s="11"/>
    </row>
    <row r="1661" customFormat="false" ht="14.25" hidden="false" customHeight="true" outlineLevel="0" collapsed="false">
      <c r="C1661" s="11"/>
      <c r="D1661" s="11"/>
      <c r="E1661" s="11"/>
      <c r="F1661" s="11"/>
      <c r="G1661" s="11"/>
      <c r="H1661" s="11"/>
      <c r="I1661" s="11"/>
      <c r="J1661" s="11"/>
      <c r="K1661" s="11"/>
      <c r="L1661" s="11"/>
      <c r="M1661" s="11"/>
      <c r="N1661" s="44" t="n">
        <v>19.91</v>
      </c>
      <c r="O1661" s="11"/>
    </row>
    <row r="1662" customFormat="false" ht="14.25" hidden="false" customHeight="true" outlineLevel="0" collapsed="false">
      <c r="C1662" s="11"/>
      <c r="D1662" s="11"/>
      <c r="E1662" s="11"/>
      <c r="F1662" s="11"/>
      <c r="G1662" s="11"/>
      <c r="H1662" s="11"/>
      <c r="I1662" s="11"/>
      <c r="J1662" s="11"/>
      <c r="K1662" s="11"/>
      <c r="L1662" s="11"/>
      <c r="M1662" s="11"/>
      <c r="N1662" s="44" t="n">
        <v>20.01</v>
      </c>
      <c r="O1662" s="11"/>
    </row>
    <row r="1663" customFormat="false" ht="14.25" hidden="false" customHeight="true" outlineLevel="0" collapsed="false">
      <c r="C1663" s="11"/>
      <c r="D1663" s="11"/>
      <c r="E1663" s="11"/>
      <c r="F1663" s="11"/>
      <c r="G1663" s="11"/>
      <c r="H1663" s="11"/>
      <c r="I1663" s="11"/>
      <c r="J1663" s="11"/>
      <c r="K1663" s="11"/>
      <c r="L1663" s="11"/>
      <c r="M1663" s="11"/>
      <c r="N1663" s="44" t="n">
        <v>20.28</v>
      </c>
      <c r="O1663" s="11"/>
    </row>
    <row r="1664" customFormat="false" ht="14.25" hidden="false" customHeight="true" outlineLevel="0" collapsed="false">
      <c r="C1664" s="11"/>
      <c r="D1664" s="11"/>
      <c r="E1664" s="11"/>
      <c r="F1664" s="11"/>
      <c r="G1664" s="11"/>
      <c r="H1664" s="11"/>
      <c r="I1664" s="11"/>
      <c r="J1664" s="11"/>
      <c r="K1664" s="11"/>
      <c r="L1664" s="11"/>
      <c r="M1664" s="11"/>
      <c r="N1664" s="44" t="n">
        <v>18.87</v>
      </c>
      <c r="O1664" s="11"/>
    </row>
    <row r="1665" customFormat="false" ht="14.25" hidden="false" customHeight="true" outlineLevel="0" collapsed="false">
      <c r="C1665" s="11"/>
      <c r="D1665" s="11"/>
      <c r="E1665" s="11"/>
      <c r="F1665" s="11"/>
      <c r="G1665" s="11"/>
      <c r="H1665" s="11"/>
      <c r="I1665" s="11"/>
      <c r="J1665" s="11"/>
      <c r="K1665" s="11"/>
      <c r="L1665" s="11"/>
      <c r="M1665" s="11"/>
      <c r="N1665" s="44" t="n">
        <v>18.47</v>
      </c>
      <c r="O1665" s="11"/>
    </row>
    <row r="1666" customFormat="false" ht="14.25" hidden="false" customHeight="true" outlineLevel="0" collapsed="false">
      <c r="C1666" s="11"/>
      <c r="D1666" s="11"/>
      <c r="E1666" s="11"/>
      <c r="F1666" s="11"/>
      <c r="G1666" s="11"/>
      <c r="H1666" s="11"/>
      <c r="I1666" s="11"/>
      <c r="J1666" s="11"/>
      <c r="K1666" s="11"/>
      <c r="L1666" s="11"/>
      <c r="M1666" s="11"/>
      <c r="N1666" s="44" t="n">
        <v>18.03</v>
      </c>
      <c r="O1666" s="11"/>
    </row>
    <row r="1667" customFormat="false" ht="14.25" hidden="false" customHeight="true" outlineLevel="0" collapsed="false">
      <c r="C1667" s="11"/>
      <c r="D1667" s="11"/>
      <c r="E1667" s="11"/>
      <c r="F1667" s="11"/>
      <c r="G1667" s="11"/>
      <c r="H1667" s="11"/>
      <c r="I1667" s="11"/>
      <c r="J1667" s="11"/>
      <c r="K1667" s="11"/>
      <c r="L1667" s="11"/>
      <c r="M1667" s="11"/>
      <c r="N1667" s="44" t="n">
        <v>18.09</v>
      </c>
      <c r="O1667" s="11"/>
    </row>
    <row r="1668" customFormat="false" ht="14.25" hidden="false" customHeight="true" outlineLevel="0" collapsed="false">
      <c r="C1668" s="11"/>
      <c r="D1668" s="11"/>
      <c r="E1668" s="11"/>
      <c r="F1668" s="11"/>
      <c r="G1668" s="11"/>
      <c r="H1668" s="11"/>
      <c r="I1668" s="11"/>
      <c r="J1668" s="11"/>
      <c r="K1668" s="11"/>
      <c r="L1668" s="11"/>
      <c r="M1668" s="11"/>
      <c r="N1668" s="44" t="n">
        <v>17.58</v>
      </c>
      <c r="O1668" s="11"/>
    </row>
    <row r="1669" customFormat="false" ht="14.25" hidden="false" customHeight="true" outlineLevel="0" collapsed="false">
      <c r="C1669" s="11"/>
      <c r="D1669" s="11"/>
      <c r="E1669" s="11"/>
      <c r="F1669" s="11"/>
      <c r="G1669" s="11"/>
      <c r="H1669" s="11"/>
      <c r="I1669" s="11"/>
      <c r="J1669" s="11"/>
      <c r="K1669" s="11"/>
      <c r="L1669" s="11"/>
      <c r="M1669" s="11"/>
      <c r="N1669" s="44" t="n">
        <v>17.19</v>
      </c>
      <c r="O1669" s="11"/>
    </row>
    <row r="1670" customFormat="false" ht="14.25" hidden="false" customHeight="true" outlineLevel="0" collapsed="false">
      <c r="C1670" s="11"/>
      <c r="D1670" s="11"/>
      <c r="E1670" s="11"/>
      <c r="F1670" s="11"/>
      <c r="G1670" s="11"/>
      <c r="H1670" s="11"/>
      <c r="I1670" s="11"/>
      <c r="J1670" s="11"/>
      <c r="K1670" s="11"/>
      <c r="L1670" s="11"/>
      <c r="M1670" s="11"/>
      <c r="N1670" s="44" t="n">
        <v>17.29</v>
      </c>
      <c r="O1670" s="11"/>
    </row>
    <row r="1671" customFormat="false" ht="14.25" hidden="false" customHeight="true" outlineLevel="0" collapsed="false">
      <c r="C1671" s="11"/>
      <c r="D1671" s="11"/>
      <c r="E1671" s="11"/>
      <c r="F1671" s="11"/>
      <c r="G1671" s="11"/>
      <c r="H1671" s="11"/>
      <c r="I1671" s="11"/>
      <c r="J1671" s="11"/>
      <c r="K1671" s="11"/>
      <c r="L1671" s="11"/>
      <c r="M1671" s="11"/>
      <c r="N1671" s="44" t="n">
        <v>16.87</v>
      </c>
      <c r="O1671" s="11"/>
    </row>
    <row r="1672" customFormat="false" ht="14.25" hidden="false" customHeight="true" outlineLevel="0" collapsed="false">
      <c r="C1672" s="11"/>
      <c r="D1672" s="11"/>
      <c r="E1672" s="11"/>
      <c r="F1672" s="11"/>
      <c r="G1672" s="11"/>
      <c r="H1672" s="11"/>
      <c r="I1672" s="11"/>
      <c r="J1672" s="11"/>
      <c r="K1672" s="11"/>
      <c r="L1672" s="11"/>
      <c r="M1672" s="11"/>
      <c r="N1672" s="44" t="n">
        <v>16.71</v>
      </c>
      <c r="O1672" s="11"/>
    </row>
    <row r="1673" customFormat="false" ht="14.25" hidden="false" customHeight="true" outlineLevel="0" collapsed="false">
      <c r="C1673" s="11"/>
      <c r="D1673" s="11"/>
      <c r="E1673" s="11"/>
      <c r="F1673" s="11"/>
      <c r="G1673" s="11"/>
      <c r="H1673" s="11"/>
      <c r="I1673" s="11"/>
      <c r="J1673" s="11"/>
      <c r="K1673" s="11"/>
      <c r="L1673" s="11"/>
      <c r="M1673" s="11"/>
      <c r="N1673" s="44" t="n">
        <v>17.01</v>
      </c>
      <c r="O1673" s="11"/>
    </row>
    <row r="1674" customFormat="false" ht="14.25" hidden="false" customHeight="true" outlineLevel="0" collapsed="false">
      <c r="C1674" s="11"/>
      <c r="D1674" s="11"/>
      <c r="E1674" s="11"/>
      <c r="F1674" s="11"/>
      <c r="G1674" s="11"/>
      <c r="H1674" s="11"/>
      <c r="I1674" s="11"/>
      <c r="J1674" s="11"/>
      <c r="K1674" s="11"/>
      <c r="L1674" s="11"/>
      <c r="M1674" s="11"/>
      <c r="N1674" s="44" t="n">
        <v>17.72</v>
      </c>
      <c r="O1674" s="11"/>
    </row>
    <row r="1675" customFormat="false" ht="14.25" hidden="false" customHeight="true" outlineLevel="0" collapsed="false">
      <c r="C1675" s="11"/>
      <c r="D1675" s="11"/>
      <c r="E1675" s="11"/>
      <c r="F1675" s="11"/>
      <c r="G1675" s="11"/>
      <c r="H1675" s="11"/>
      <c r="I1675" s="11"/>
      <c r="J1675" s="11"/>
      <c r="K1675" s="11"/>
      <c r="L1675" s="11"/>
      <c r="M1675" s="11"/>
      <c r="N1675" s="44" t="n">
        <v>17.57</v>
      </c>
      <c r="O1675" s="11"/>
    </row>
    <row r="1676" customFormat="false" ht="14.25" hidden="false" customHeight="true" outlineLevel="0" collapsed="false">
      <c r="C1676" s="11"/>
      <c r="D1676" s="11"/>
      <c r="E1676" s="11"/>
      <c r="F1676" s="11"/>
      <c r="G1676" s="11"/>
      <c r="H1676" s="11"/>
      <c r="I1676" s="11"/>
      <c r="J1676" s="11"/>
      <c r="K1676" s="11"/>
      <c r="L1676" s="11"/>
      <c r="M1676" s="11"/>
      <c r="N1676" s="44" t="n">
        <v>17.4</v>
      </c>
      <c r="O1676" s="11"/>
    </row>
    <row r="1677" customFormat="false" ht="14.25" hidden="false" customHeight="true" outlineLevel="0" collapsed="false">
      <c r="C1677" s="11"/>
      <c r="D1677" s="11"/>
      <c r="E1677" s="11"/>
      <c r="F1677" s="11"/>
      <c r="G1677" s="11"/>
      <c r="H1677" s="11"/>
      <c r="I1677" s="11"/>
      <c r="J1677" s="11"/>
      <c r="K1677" s="11"/>
      <c r="L1677" s="11"/>
      <c r="M1677" s="11"/>
      <c r="N1677" s="44" t="n">
        <v>17.18</v>
      </c>
      <c r="O1677" s="11"/>
    </row>
    <row r="1678" customFormat="false" ht="14.25" hidden="false" customHeight="true" outlineLevel="0" collapsed="false">
      <c r="C1678" s="11"/>
      <c r="D1678" s="11"/>
      <c r="E1678" s="11"/>
      <c r="F1678" s="11"/>
      <c r="G1678" s="11"/>
      <c r="H1678" s="11"/>
      <c r="I1678" s="11"/>
      <c r="J1678" s="11"/>
      <c r="K1678" s="11"/>
      <c r="L1678" s="11"/>
      <c r="M1678" s="11"/>
      <c r="N1678" s="44" t="n">
        <v>17.35</v>
      </c>
      <c r="O1678" s="11"/>
    </row>
    <row r="1679" customFormat="false" ht="14.25" hidden="false" customHeight="true" outlineLevel="0" collapsed="false">
      <c r="C1679" s="11"/>
      <c r="D1679" s="11"/>
      <c r="E1679" s="11"/>
      <c r="F1679" s="11"/>
      <c r="G1679" s="11"/>
      <c r="H1679" s="11"/>
      <c r="I1679" s="11"/>
      <c r="J1679" s="11"/>
      <c r="K1679" s="11"/>
      <c r="L1679" s="11"/>
      <c r="M1679" s="11"/>
      <c r="N1679" s="44" t="n">
        <v>17.14</v>
      </c>
      <c r="O1679" s="11"/>
    </row>
    <row r="1680" customFormat="false" ht="14.25" hidden="false" customHeight="true" outlineLevel="0" collapsed="false">
      <c r="C1680" s="11"/>
      <c r="D1680" s="11"/>
      <c r="E1680" s="11"/>
      <c r="F1680" s="11"/>
      <c r="G1680" s="11"/>
      <c r="H1680" s="11"/>
      <c r="I1680" s="11"/>
      <c r="J1680" s="11"/>
      <c r="K1680" s="11"/>
      <c r="L1680" s="11"/>
      <c r="M1680" s="11"/>
      <c r="N1680" s="44" t="n">
        <v>17.3</v>
      </c>
      <c r="O1680" s="11"/>
    </row>
    <row r="1681" customFormat="false" ht="14.25" hidden="false" customHeight="true" outlineLevel="0" collapsed="false">
      <c r="C1681" s="11"/>
      <c r="D1681" s="11"/>
      <c r="E1681" s="11"/>
      <c r="F1681" s="11"/>
      <c r="G1681" s="11"/>
      <c r="H1681" s="11"/>
      <c r="I1681" s="11"/>
      <c r="J1681" s="11"/>
      <c r="K1681" s="11"/>
      <c r="L1681" s="11"/>
      <c r="M1681" s="11"/>
      <c r="N1681" s="44" t="n">
        <v>17.64</v>
      </c>
      <c r="O1681" s="11"/>
    </row>
    <row r="1682" customFormat="false" ht="14.25" hidden="false" customHeight="true" outlineLevel="0" collapsed="false">
      <c r="C1682" s="11"/>
      <c r="D1682" s="11"/>
      <c r="E1682" s="11"/>
      <c r="F1682" s="11"/>
      <c r="G1682" s="11"/>
      <c r="H1682" s="11"/>
      <c r="I1682" s="11"/>
      <c r="J1682" s="11"/>
      <c r="K1682" s="11"/>
      <c r="L1682" s="11"/>
      <c r="M1682" s="11"/>
      <c r="N1682" s="44" t="n">
        <v>17.95</v>
      </c>
      <c r="O1682" s="11"/>
    </row>
    <row r="1683" customFormat="false" ht="14.25" hidden="false" customHeight="true" outlineLevel="0" collapsed="false">
      <c r="C1683" s="11"/>
      <c r="D1683" s="11"/>
      <c r="E1683" s="11"/>
      <c r="F1683" s="11"/>
      <c r="G1683" s="11"/>
      <c r="H1683" s="11"/>
      <c r="I1683" s="11"/>
      <c r="J1683" s="11"/>
      <c r="K1683" s="11"/>
      <c r="L1683" s="11"/>
      <c r="M1683" s="11"/>
      <c r="N1683" s="44" t="n">
        <v>18.5</v>
      </c>
      <c r="O1683" s="11"/>
    </row>
    <row r="1684" customFormat="false" ht="14.25" hidden="false" customHeight="true" outlineLevel="0" collapsed="false">
      <c r="C1684" s="11"/>
      <c r="D1684" s="11"/>
      <c r="E1684" s="11"/>
      <c r="F1684" s="11"/>
      <c r="G1684" s="11"/>
      <c r="H1684" s="11"/>
      <c r="I1684" s="11"/>
      <c r="J1684" s="11"/>
      <c r="K1684" s="11"/>
      <c r="L1684" s="11"/>
      <c r="M1684" s="11"/>
      <c r="N1684" s="44" t="n">
        <v>17.86</v>
      </c>
      <c r="O1684" s="11"/>
    </row>
    <row r="1685" customFormat="false" ht="14.25" hidden="false" customHeight="true" outlineLevel="0" collapsed="false">
      <c r="C1685" s="11"/>
      <c r="D1685" s="11"/>
      <c r="E1685" s="11"/>
      <c r="F1685" s="11"/>
      <c r="G1685" s="11"/>
      <c r="H1685" s="11"/>
      <c r="I1685" s="11"/>
      <c r="J1685" s="11"/>
      <c r="K1685" s="11"/>
      <c r="L1685" s="11"/>
      <c r="M1685" s="11"/>
      <c r="N1685" s="44" t="n">
        <v>16.98</v>
      </c>
      <c r="O1685" s="11"/>
    </row>
    <row r="1686" customFormat="false" ht="14.25" hidden="false" customHeight="true" outlineLevel="0" collapsed="false">
      <c r="C1686" s="11"/>
      <c r="D1686" s="11"/>
      <c r="E1686" s="11"/>
      <c r="F1686" s="11"/>
      <c r="G1686" s="11"/>
      <c r="H1686" s="11"/>
      <c r="I1686" s="11"/>
      <c r="J1686" s="11"/>
      <c r="K1686" s="11"/>
      <c r="L1686" s="11"/>
      <c r="M1686" s="11"/>
      <c r="N1686" s="44" t="n">
        <v>16.97</v>
      </c>
      <c r="O1686" s="11"/>
    </row>
    <row r="1687" customFormat="false" ht="14.25" hidden="false" customHeight="true" outlineLevel="0" collapsed="false">
      <c r="C1687" s="11"/>
      <c r="D1687" s="11"/>
      <c r="E1687" s="11"/>
      <c r="F1687" s="11"/>
      <c r="G1687" s="11"/>
      <c r="H1687" s="11"/>
      <c r="I1687" s="11"/>
      <c r="J1687" s="11"/>
      <c r="K1687" s="11"/>
      <c r="L1687" s="11"/>
      <c r="M1687" s="11"/>
      <c r="N1687" s="44" t="n">
        <v>17.19</v>
      </c>
      <c r="O1687" s="11"/>
    </row>
    <row r="1688" customFormat="false" ht="14.25" hidden="false" customHeight="true" outlineLevel="0" collapsed="false">
      <c r="C1688" s="11"/>
      <c r="D1688" s="11"/>
      <c r="E1688" s="11"/>
      <c r="F1688" s="11"/>
      <c r="G1688" s="11"/>
      <c r="H1688" s="11"/>
      <c r="I1688" s="11"/>
      <c r="J1688" s="11"/>
      <c r="K1688" s="11"/>
      <c r="L1688" s="11"/>
      <c r="M1688" s="11"/>
      <c r="N1688" s="44" t="n">
        <v>17.12</v>
      </c>
      <c r="O1688" s="11"/>
    </row>
    <row r="1689" customFormat="false" ht="14.25" hidden="false" customHeight="true" outlineLevel="0" collapsed="false">
      <c r="C1689" s="11"/>
      <c r="D1689" s="11"/>
      <c r="E1689" s="11"/>
      <c r="F1689" s="11"/>
      <c r="G1689" s="11"/>
      <c r="H1689" s="11"/>
      <c r="I1689" s="11"/>
      <c r="J1689" s="11"/>
      <c r="K1689" s="11"/>
      <c r="L1689" s="11"/>
      <c r="M1689" s="11"/>
      <c r="N1689" s="44" t="n">
        <v>17.19</v>
      </c>
      <c r="O1689" s="11"/>
    </row>
    <row r="1690" customFormat="false" ht="14.25" hidden="false" customHeight="true" outlineLevel="0" collapsed="false">
      <c r="C1690" s="11"/>
      <c r="D1690" s="11"/>
      <c r="E1690" s="11"/>
      <c r="F1690" s="11"/>
      <c r="G1690" s="11"/>
      <c r="H1690" s="11"/>
      <c r="I1690" s="11"/>
      <c r="J1690" s="11"/>
      <c r="K1690" s="11"/>
      <c r="L1690" s="11"/>
      <c r="M1690" s="11"/>
      <c r="N1690" s="44" t="n">
        <v>17.05</v>
      </c>
      <c r="O1690" s="11"/>
    </row>
    <row r="1691" customFormat="false" ht="14.25" hidden="false" customHeight="true" outlineLevel="0" collapsed="false">
      <c r="C1691" s="11"/>
      <c r="D1691" s="11"/>
      <c r="E1691" s="11"/>
      <c r="F1691" s="11"/>
      <c r="G1691" s="11"/>
      <c r="H1691" s="11"/>
      <c r="I1691" s="11"/>
      <c r="J1691" s="11"/>
      <c r="K1691" s="11"/>
      <c r="L1691" s="11"/>
      <c r="M1691" s="11"/>
      <c r="N1691" s="44" t="n">
        <v>17.31</v>
      </c>
      <c r="O1691" s="11"/>
    </row>
    <row r="1692" customFormat="false" ht="14.25" hidden="false" customHeight="true" outlineLevel="0" collapsed="false">
      <c r="C1692" s="11"/>
      <c r="D1692" s="11"/>
      <c r="E1692" s="11"/>
      <c r="F1692" s="11"/>
      <c r="G1692" s="11"/>
      <c r="H1692" s="11"/>
      <c r="I1692" s="11"/>
      <c r="J1692" s="11"/>
      <c r="K1692" s="11"/>
      <c r="L1692" s="11"/>
      <c r="M1692" s="11"/>
      <c r="N1692" s="44" t="n">
        <v>17.3</v>
      </c>
      <c r="O1692" s="11"/>
    </row>
    <row r="1693" customFormat="false" ht="14.25" hidden="false" customHeight="true" outlineLevel="0" collapsed="false">
      <c r="C1693" s="11"/>
      <c r="D1693" s="11"/>
      <c r="E1693" s="11"/>
      <c r="F1693" s="11"/>
      <c r="G1693" s="11"/>
      <c r="H1693" s="11"/>
      <c r="I1693" s="11"/>
      <c r="J1693" s="11"/>
      <c r="K1693" s="11"/>
      <c r="L1693" s="11"/>
      <c r="M1693" s="11"/>
      <c r="N1693" s="44" t="n">
        <v>17.49</v>
      </c>
      <c r="O1693" s="11"/>
    </row>
    <row r="1694" customFormat="false" ht="14.25" hidden="false" customHeight="true" outlineLevel="0" collapsed="false">
      <c r="C1694" s="11"/>
      <c r="D1694" s="11"/>
      <c r="E1694" s="11"/>
      <c r="F1694" s="11"/>
      <c r="G1694" s="11"/>
      <c r="H1694" s="11"/>
      <c r="I1694" s="11"/>
      <c r="J1694" s="11"/>
      <c r="K1694" s="11"/>
      <c r="L1694" s="11"/>
      <c r="M1694" s="11"/>
      <c r="N1694" s="44" t="n">
        <v>17.32</v>
      </c>
      <c r="O1694" s="11"/>
    </row>
    <row r="1695" customFormat="false" ht="14.25" hidden="false" customHeight="true" outlineLevel="0" collapsed="false">
      <c r="C1695" s="11"/>
      <c r="D1695" s="11"/>
      <c r="E1695" s="11"/>
      <c r="F1695" s="11"/>
      <c r="G1695" s="11"/>
      <c r="H1695" s="11"/>
      <c r="I1695" s="11"/>
      <c r="J1695" s="11"/>
      <c r="K1695" s="11"/>
      <c r="L1695" s="11"/>
      <c r="M1695" s="11"/>
      <c r="N1695" s="44" t="n">
        <v>17.52</v>
      </c>
      <c r="O1695" s="11"/>
    </row>
    <row r="1696" customFormat="false" ht="14.25" hidden="false" customHeight="true" outlineLevel="0" collapsed="false">
      <c r="C1696" s="11"/>
      <c r="D1696" s="11"/>
      <c r="E1696" s="11"/>
      <c r="F1696" s="11"/>
      <c r="G1696" s="11"/>
      <c r="H1696" s="11"/>
      <c r="I1696" s="11"/>
      <c r="J1696" s="11"/>
      <c r="K1696" s="11"/>
      <c r="L1696" s="11"/>
      <c r="M1696" s="11"/>
      <c r="N1696" s="44" t="n">
        <v>17.39</v>
      </c>
      <c r="O1696" s="11"/>
    </row>
    <row r="1697" customFormat="false" ht="14.25" hidden="false" customHeight="true" outlineLevel="0" collapsed="false">
      <c r="C1697" s="11"/>
      <c r="D1697" s="11"/>
      <c r="E1697" s="11"/>
      <c r="F1697" s="11"/>
      <c r="G1697" s="11"/>
      <c r="H1697" s="11"/>
      <c r="I1697" s="11"/>
      <c r="J1697" s="11"/>
      <c r="K1697" s="11"/>
      <c r="L1697" s="11"/>
      <c r="M1697" s="11"/>
      <c r="N1697" s="44" t="n">
        <v>17.85</v>
      </c>
      <c r="O1697" s="11"/>
    </row>
    <row r="1698" customFormat="false" ht="14.25" hidden="false" customHeight="true" outlineLevel="0" collapsed="false">
      <c r="C1698" s="11"/>
      <c r="D1698" s="11"/>
      <c r="E1698" s="11"/>
      <c r="F1698" s="11"/>
      <c r="G1698" s="11"/>
      <c r="H1698" s="11"/>
      <c r="I1698" s="11"/>
      <c r="J1698" s="11"/>
      <c r="K1698" s="11"/>
      <c r="L1698" s="11"/>
      <c r="M1698" s="11"/>
      <c r="N1698" s="44" t="n">
        <v>17.87</v>
      </c>
      <c r="O1698" s="11"/>
    </row>
    <row r="1699" customFormat="false" ht="14.25" hidden="false" customHeight="true" outlineLevel="0" collapsed="false">
      <c r="C1699" s="11"/>
      <c r="D1699" s="11"/>
      <c r="E1699" s="11"/>
      <c r="F1699" s="11"/>
      <c r="G1699" s="11"/>
      <c r="H1699" s="11"/>
      <c r="I1699" s="11"/>
      <c r="J1699" s="11"/>
      <c r="K1699" s="11"/>
      <c r="L1699" s="11"/>
      <c r="M1699" s="11"/>
      <c r="N1699" s="44" t="n">
        <v>17.45</v>
      </c>
      <c r="O1699" s="11"/>
    </row>
    <row r="1700" customFormat="false" ht="14.25" hidden="false" customHeight="true" outlineLevel="0" collapsed="false">
      <c r="C1700" s="11"/>
      <c r="D1700" s="11"/>
      <c r="E1700" s="11"/>
      <c r="F1700" s="11"/>
      <c r="G1700" s="11"/>
      <c r="H1700" s="11"/>
      <c r="I1700" s="11"/>
      <c r="J1700" s="11"/>
      <c r="K1700" s="11"/>
      <c r="L1700" s="11"/>
      <c r="M1700" s="11"/>
      <c r="N1700" s="44" t="n">
        <v>17.4</v>
      </c>
      <c r="O1700" s="11"/>
    </row>
    <row r="1701" customFormat="false" ht="14.25" hidden="false" customHeight="true" outlineLevel="0" collapsed="false">
      <c r="C1701" s="11"/>
      <c r="D1701" s="11"/>
      <c r="E1701" s="11"/>
      <c r="F1701" s="11"/>
      <c r="G1701" s="11"/>
      <c r="H1701" s="11"/>
      <c r="I1701" s="11"/>
      <c r="J1701" s="11"/>
      <c r="K1701" s="11"/>
      <c r="L1701" s="11"/>
      <c r="M1701" s="11"/>
      <c r="N1701" s="44" t="n">
        <v>16.33</v>
      </c>
      <c r="O1701" s="11"/>
    </row>
    <row r="1702" customFormat="false" ht="14.25" hidden="false" customHeight="true" outlineLevel="0" collapsed="false">
      <c r="C1702" s="11"/>
      <c r="D1702" s="11"/>
      <c r="E1702" s="11"/>
      <c r="F1702" s="11"/>
      <c r="G1702" s="11"/>
      <c r="H1702" s="11"/>
      <c r="I1702" s="11"/>
      <c r="J1702" s="11"/>
      <c r="K1702" s="11"/>
      <c r="L1702" s="11"/>
      <c r="M1702" s="11"/>
      <c r="N1702" s="44" t="n">
        <v>15.97</v>
      </c>
      <c r="O1702" s="11"/>
    </row>
    <row r="1703" customFormat="false" ht="14.25" hidden="false" customHeight="true" outlineLevel="0" collapsed="false">
      <c r="C1703" s="11"/>
      <c r="D1703" s="11"/>
      <c r="E1703" s="11"/>
      <c r="F1703" s="11"/>
      <c r="G1703" s="11"/>
      <c r="H1703" s="11"/>
      <c r="I1703" s="11"/>
      <c r="J1703" s="11"/>
      <c r="K1703" s="11"/>
      <c r="L1703" s="11"/>
      <c r="M1703" s="11"/>
      <c r="N1703" s="44" t="n">
        <v>15.88</v>
      </c>
      <c r="O1703" s="11"/>
    </row>
    <row r="1704" customFormat="false" ht="14.25" hidden="false" customHeight="true" outlineLevel="0" collapsed="false">
      <c r="C1704" s="11"/>
      <c r="D1704" s="11"/>
      <c r="E1704" s="11"/>
      <c r="F1704" s="11"/>
      <c r="G1704" s="11"/>
      <c r="H1704" s="11"/>
      <c r="I1704" s="11"/>
      <c r="J1704" s="11"/>
      <c r="K1704" s="11"/>
      <c r="L1704" s="11"/>
      <c r="M1704" s="11"/>
      <c r="N1704" s="44" t="n">
        <v>15.97</v>
      </c>
      <c r="O1704" s="11"/>
    </row>
    <row r="1705" customFormat="false" ht="14.25" hidden="false" customHeight="true" outlineLevel="0" collapsed="false">
      <c r="C1705" s="11"/>
      <c r="D1705" s="11"/>
      <c r="E1705" s="11"/>
      <c r="F1705" s="11"/>
      <c r="G1705" s="11"/>
      <c r="H1705" s="11"/>
      <c r="I1705" s="11"/>
      <c r="J1705" s="11"/>
      <c r="K1705" s="11"/>
      <c r="L1705" s="11"/>
      <c r="M1705" s="11"/>
      <c r="N1705" s="44" t="n">
        <v>15.42</v>
      </c>
      <c r="O1705" s="11"/>
    </row>
    <row r="1706" customFormat="false" ht="14.25" hidden="false" customHeight="true" outlineLevel="0" collapsed="false">
      <c r="C1706" s="11"/>
      <c r="D1706" s="11"/>
      <c r="E1706" s="11"/>
      <c r="F1706" s="11"/>
      <c r="G1706" s="11"/>
      <c r="H1706" s="11"/>
      <c r="I1706" s="11"/>
      <c r="J1706" s="11"/>
      <c r="K1706" s="11"/>
      <c r="L1706" s="11"/>
      <c r="M1706" s="11"/>
      <c r="N1706" s="44" t="n">
        <v>15.07</v>
      </c>
      <c r="O1706" s="11"/>
    </row>
    <row r="1707" customFormat="false" ht="14.25" hidden="false" customHeight="true" outlineLevel="0" collapsed="false">
      <c r="C1707" s="11"/>
      <c r="D1707" s="11"/>
      <c r="E1707" s="11"/>
      <c r="F1707" s="11"/>
      <c r="G1707" s="11"/>
      <c r="H1707" s="11"/>
      <c r="I1707" s="11"/>
      <c r="J1707" s="11"/>
      <c r="K1707" s="11"/>
      <c r="L1707" s="11"/>
      <c r="M1707" s="11"/>
      <c r="N1707" s="44" t="n">
        <v>15.06</v>
      </c>
      <c r="O1707" s="11"/>
    </row>
    <row r="1708" customFormat="false" ht="14.25" hidden="false" customHeight="true" outlineLevel="0" collapsed="false">
      <c r="C1708" s="11"/>
      <c r="D1708" s="11"/>
      <c r="E1708" s="11"/>
      <c r="F1708" s="11"/>
      <c r="G1708" s="11"/>
      <c r="H1708" s="11"/>
      <c r="I1708" s="11"/>
      <c r="J1708" s="11"/>
      <c r="K1708" s="11"/>
      <c r="L1708" s="11"/>
      <c r="M1708" s="11"/>
      <c r="N1708" s="44" t="n">
        <v>15.41</v>
      </c>
      <c r="O1708" s="11"/>
    </row>
    <row r="1709" customFormat="false" ht="14.25" hidden="false" customHeight="true" outlineLevel="0" collapsed="false">
      <c r="C1709" s="11"/>
      <c r="D1709" s="11"/>
      <c r="E1709" s="11"/>
      <c r="F1709" s="11"/>
      <c r="G1709" s="11"/>
      <c r="H1709" s="11"/>
      <c r="I1709" s="11"/>
      <c r="J1709" s="11"/>
      <c r="K1709" s="11"/>
      <c r="L1709" s="11"/>
      <c r="M1709" s="11"/>
      <c r="N1709" s="44" t="n">
        <v>15.43</v>
      </c>
      <c r="O1709" s="11"/>
    </row>
    <row r="1710" customFormat="false" ht="14.25" hidden="false" customHeight="true" outlineLevel="0" collapsed="false">
      <c r="C1710" s="11"/>
      <c r="D1710" s="11"/>
      <c r="E1710" s="11"/>
      <c r="F1710" s="11"/>
      <c r="G1710" s="11"/>
      <c r="H1710" s="11"/>
      <c r="I1710" s="11"/>
      <c r="J1710" s="11"/>
      <c r="K1710" s="11"/>
      <c r="L1710" s="11"/>
      <c r="M1710" s="11"/>
      <c r="N1710" s="44" t="n">
        <v>15.1</v>
      </c>
      <c r="O1710" s="11"/>
    </row>
    <row r="1711" customFormat="false" ht="14.25" hidden="false" customHeight="true" outlineLevel="0" collapsed="false">
      <c r="C1711" s="11"/>
      <c r="D1711" s="11"/>
      <c r="E1711" s="11"/>
      <c r="F1711" s="11"/>
      <c r="G1711" s="11"/>
      <c r="H1711" s="11"/>
      <c r="I1711" s="11"/>
      <c r="J1711" s="11"/>
      <c r="K1711" s="11"/>
      <c r="L1711" s="11"/>
      <c r="M1711" s="11"/>
      <c r="N1711" s="44" t="n">
        <v>15.32</v>
      </c>
      <c r="O1711" s="11"/>
    </row>
    <row r="1712" customFormat="false" ht="14.25" hidden="false" customHeight="true" outlineLevel="0" collapsed="false">
      <c r="C1712" s="11"/>
      <c r="D1712" s="11"/>
      <c r="E1712" s="11"/>
      <c r="F1712" s="11"/>
      <c r="G1712" s="11"/>
      <c r="H1712" s="11"/>
      <c r="I1712" s="11"/>
      <c r="J1712" s="11"/>
      <c r="K1712" s="11"/>
      <c r="L1712" s="11"/>
      <c r="M1712" s="11"/>
      <c r="N1712" s="44" t="n">
        <v>15.71</v>
      </c>
      <c r="O1712" s="11"/>
    </row>
    <row r="1713" customFormat="false" ht="14.25" hidden="false" customHeight="true" outlineLevel="0" collapsed="false">
      <c r="C1713" s="11"/>
      <c r="D1713" s="11"/>
      <c r="E1713" s="11"/>
      <c r="F1713" s="11"/>
      <c r="G1713" s="11"/>
      <c r="H1713" s="11"/>
      <c r="I1713" s="11"/>
      <c r="J1713" s="11"/>
      <c r="K1713" s="11"/>
      <c r="L1713" s="11"/>
      <c r="M1713" s="11"/>
      <c r="N1713" s="44" t="n">
        <v>15.43</v>
      </c>
      <c r="O1713" s="11"/>
    </row>
    <row r="1714" customFormat="false" ht="14.25" hidden="false" customHeight="true" outlineLevel="0" collapsed="false">
      <c r="C1714" s="11"/>
      <c r="D1714" s="11"/>
      <c r="E1714" s="11"/>
      <c r="F1714" s="11"/>
      <c r="G1714" s="11"/>
      <c r="H1714" s="11"/>
      <c r="I1714" s="11"/>
      <c r="J1714" s="11"/>
      <c r="K1714" s="11"/>
      <c r="L1714" s="11"/>
      <c r="M1714" s="11"/>
      <c r="N1714" s="44" t="n">
        <v>15.39</v>
      </c>
      <c r="O1714" s="11"/>
    </row>
    <row r="1715" customFormat="false" ht="14.25" hidden="false" customHeight="true" outlineLevel="0" collapsed="false">
      <c r="C1715" s="11"/>
      <c r="D1715" s="11"/>
      <c r="E1715" s="11"/>
      <c r="F1715" s="11"/>
      <c r="G1715" s="11"/>
      <c r="H1715" s="11"/>
      <c r="I1715" s="11"/>
      <c r="J1715" s="11"/>
      <c r="K1715" s="11"/>
      <c r="L1715" s="11"/>
      <c r="M1715" s="11"/>
      <c r="N1715" s="44" t="n">
        <v>15.37</v>
      </c>
      <c r="O1715" s="11"/>
    </row>
    <row r="1716" customFormat="false" ht="14.25" hidden="false" customHeight="true" outlineLevel="0" collapsed="false">
      <c r="C1716" s="11"/>
      <c r="D1716" s="11"/>
      <c r="E1716" s="11"/>
      <c r="F1716" s="11"/>
      <c r="G1716" s="11"/>
      <c r="H1716" s="11"/>
      <c r="I1716" s="11"/>
      <c r="J1716" s="11"/>
      <c r="K1716" s="11"/>
      <c r="L1716" s="11"/>
      <c r="M1716" s="11"/>
      <c r="N1716" s="44" t="n">
        <v>15.47</v>
      </c>
      <c r="O1716" s="11"/>
    </row>
    <row r="1717" customFormat="false" ht="14.25" hidden="false" customHeight="true" outlineLevel="0" collapsed="false">
      <c r="C1717" s="11"/>
      <c r="D1717" s="11"/>
      <c r="E1717" s="11"/>
      <c r="F1717" s="11"/>
      <c r="G1717" s="11"/>
      <c r="H1717" s="11"/>
      <c r="I1717" s="11"/>
      <c r="J1717" s="11"/>
      <c r="K1717" s="11"/>
      <c r="L1717" s="11"/>
      <c r="M1717" s="11"/>
      <c r="N1717" s="44" t="n">
        <v>15.46</v>
      </c>
      <c r="O1717" s="11"/>
    </row>
    <row r="1718" customFormat="false" ht="14.25" hidden="false" customHeight="true" outlineLevel="0" collapsed="false">
      <c r="C1718" s="11"/>
      <c r="D1718" s="11"/>
      <c r="E1718" s="11"/>
      <c r="F1718" s="11"/>
      <c r="G1718" s="11"/>
      <c r="H1718" s="11"/>
      <c r="I1718" s="11"/>
      <c r="J1718" s="11"/>
      <c r="K1718" s="11"/>
      <c r="L1718" s="11"/>
      <c r="M1718" s="11"/>
      <c r="N1718" s="44" t="n">
        <v>15.04</v>
      </c>
      <c r="O1718" s="11"/>
    </row>
    <row r="1719" customFormat="false" ht="14.25" hidden="false" customHeight="true" outlineLevel="0" collapsed="false">
      <c r="C1719" s="11"/>
      <c r="D1719" s="11"/>
      <c r="E1719" s="11"/>
      <c r="F1719" s="11"/>
      <c r="G1719" s="11"/>
      <c r="H1719" s="11"/>
      <c r="I1719" s="11"/>
      <c r="J1719" s="11"/>
      <c r="K1719" s="11"/>
      <c r="L1719" s="11"/>
      <c r="M1719" s="11"/>
      <c r="N1719" s="44" t="n">
        <v>14.88</v>
      </c>
      <c r="O1719" s="11"/>
    </row>
    <row r="1720" customFormat="false" ht="14.25" hidden="false" customHeight="true" outlineLevel="0" collapsed="false">
      <c r="C1720" s="11"/>
      <c r="D1720" s="11"/>
      <c r="E1720" s="11"/>
      <c r="F1720" s="11"/>
      <c r="G1720" s="11"/>
      <c r="H1720" s="11"/>
      <c r="I1720" s="11"/>
      <c r="J1720" s="11"/>
      <c r="K1720" s="11"/>
      <c r="L1720" s="11"/>
      <c r="M1720" s="11"/>
      <c r="N1720" s="44" t="n">
        <v>14.87</v>
      </c>
      <c r="O1720" s="11"/>
    </row>
    <row r="1721" customFormat="false" ht="14.25" hidden="false" customHeight="true" outlineLevel="0" collapsed="false">
      <c r="C1721" s="11"/>
      <c r="D1721" s="11"/>
      <c r="E1721" s="11"/>
      <c r="F1721" s="11"/>
      <c r="G1721" s="11"/>
      <c r="H1721" s="11"/>
      <c r="I1721" s="11"/>
      <c r="J1721" s="11"/>
      <c r="K1721" s="11"/>
      <c r="L1721" s="11"/>
      <c r="M1721" s="11"/>
      <c r="N1721" s="44" t="n">
        <v>14.8</v>
      </c>
      <c r="O1721" s="11"/>
    </row>
    <row r="1722" customFormat="false" ht="14.25" hidden="false" customHeight="true" outlineLevel="0" collapsed="false">
      <c r="C1722" s="11"/>
      <c r="D1722" s="11"/>
      <c r="E1722" s="11"/>
      <c r="F1722" s="11"/>
      <c r="G1722" s="11"/>
      <c r="H1722" s="11"/>
      <c r="I1722" s="11"/>
      <c r="J1722" s="11"/>
      <c r="K1722" s="11"/>
      <c r="L1722" s="11"/>
      <c r="M1722" s="11"/>
      <c r="N1722" s="44" t="n">
        <v>14.73</v>
      </c>
      <c r="O1722" s="11"/>
    </row>
    <row r="1723" customFormat="false" ht="14.25" hidden="false" customHeight="true" outlineLevel="0" collapsed="false">
      <c r="C1723" s="11"/>
      <c r="D1723" s="11"/>
      <c r="E1723" s="11"/>
      <c r="F1723" s="11"/>
      <c r="G1723" s="11"/>
      <c r="H1723" s="11"/>
      <c r="I1723" s="11"/>
      <c r="J1723" s="11"/>
      <c r="K1723" s="11"/>
      <c r="L1723" s="11"/>
      <c r="M1723" s="11"/>
      <c r="N1723" s="44" t="n">
        <v>14.7</v>
      </c>
      <c r="O1723" s="11"/>
    </row>
    <row r="1724" customFormat="false" ht="14.25" hidden="false" customHeight="true" outlineLevel="0" collapsed="false">
      <c r="C1724" s="11"/>
      <c r="D1724" s="11"/>
      <c r="E1724" s="11"/>
      <c r="F1724" s="11"/>
      <c r="G1724" s="11"/>
      <c r="H1724" s="11"/>
      <c r="I1724" s="11"/>
      <c r="J1724" s="11"/>
      <c r="K1724" s="11"/>
      <c r="L1724" s="11"/>
      <c r="M1724" s="11"/>
      <c r="N1724" s="44" t="n">
        <v>14.78</v>
      </c>
      <c r="O1724" s="11"/>
    </row>
    <row r="1725" customFormat="false" ht="14.25" hidden="false" customHeight="true" outlineLevel="0" collapsed="false">
      <c r="C1725" s="11"/>
      <c r="D1725" s="11"/>
      <c r="E1725" s="11"/>
      <c r="F1725" s="11"/>
      <c r="G1725" s="11"/>
      <c r="H1725" s="11"/>
      <c r="I1725" s="11"/>
      <c r="J1725" s="11"/>
      <c r="K1725" s="11"/>
      <c r="L1725" s="11"/>
      <c r="M1725" s="11"/>
      <c r="N1725" s="44" t="n">
        <v>14.7</v>
      </c>
      <c r="O1725" s="11"/>
    </row>
    <row r="1726" customFormat="false" ht="14.25" hidden="false" customHeight="true" outlineLevel="0" collapsed="false">
      <c r="C1726" s="11"/>
      <c r="D1726" s="11"/>
      <c r="E1726" s="11"/>
      <c r="F1726" s="11"/>
      <c r="G1726" s="11"/>
      <c r="H1726" s="11"/>
      <c r="I1726" s="11"/>
      <c r="J1726" s="11"/>
      <c r="K1726" s="11"/>
      <c r="L1726" s="11"/>
      <c r="M1726" s="11"/>
      <c r="N1726" s="44" t="n">
        <v>15.15</v>
      </c>
      <c r="O1726" s="11"/>
    </row>
    <row r="1727" customFormat="false" ht="14.25" hidden="false" customHeight="true" outlineLevel="0" collapsed="false">
      <c r="C1727" s="11"/>
      <c r="D1727" s="11"/>
      <c r="E1727" s="11"/>
      <c r="F1727" s="11"/>
      <c r="G1727" s="11"/>
      <c r="H1727" s="11"/>
      <c r="I1727" s="11"/>
      <c r="J1727" s="11"/>
      <c r="K1727" s="11"/>
      <c r="L1727" s="11"/>
      <c r="M1727" s="11"/>
      <c r="N1727" s="44" t="n">
        <v>15.09</v>
      </c>
      <c r="O1727" s="11"/>
    </row>
    <row r="1728" customFormat="false" ht="14.25" hidden="false" customHeight="true" outlineLevel="0" collapsed="false">
      <c r="C1728" s="11"/>
      <c r="D1728" s="11"/>
      <c r="E1728" s="11"/>
      <c r="F1728" s="11"/>
      <c r="G1728" s="11"/>
      <c r="H1728" s="11"/>
      <c r="I1728" s="11"/>
      <c r="J1728" s="11"/>
      <c r="K1728" s="11"/>
      <c r="L1728" s="11"/>
      <c r="M1728" s="11"/>
      <c r="N1728" s="44" t="n">
        <v>15.76</v>
      </c>
      <c r="O1728" s="11"/>
    </row>
    <row r="1729" customFormat="false" ht="14.25" hidden="false" customHeight="true" outlineLevel="0" collapsed="false">
      <c r="C1729" s="11"/>
      <c r="D1729" s="11"/>
      <c r="E1729" s="11"/>
      <c r="F1729" s="11"/>
      <c r="G1729" s="11"/>
      <c r="H1729" s="11"/>
      <c r="I1729" s="11"/>
      <c r="J1729" s="11"/>
      <c r="K1729" s="11"/>
      <c r="L1729" s="11"/>
      <c r="M1729" s="11"/>
      <c r="N1729" s="44" t="n">
        <v>15.83</v>
      </c>
      <c r="O1729" s="11"/>
    </row>
    <row r="1730" customFormat="false" ht="14.25" hidden="false" customHeight="true" outlineLevel="0" collapsed="false">
      <c r="C1730" s="11"/>
      <c r="D1730" s="11"/>
      <c r="E1730" s="11"/>
      <c r="F1730" s="11"/>
      <c r="G1730" s="11"/>
      <c r="H1730" s="11"/>
      <c r="I1730" s="11"/>
      <c r="J1730" s="11"/>
      <c r="K1730" s="11"/>
      <c r="L1730" s="11"/>
      <c r="M1730" s="11"/>
      <c r="N1730" s="44" t="n">
        <v>15.17</v>
      </c>
      <c r="O1730" s="11"/>
    </row>
    <row r="1731" customFormat="false" ht="14.25" hidden="false" customHeight="true" outlineLevel="0" collapsed="false">
      <c r="C1731" s="11"/>
      <c r="D1731" s="11"/>
      <c r="E1731" s="11"/>
      <c r="F1731" s="11"/>
      <c r="G1731" s="11"/>
      <c r="H1731" s="11"/>
      <c r="I1731" s="11"/>
      <c r="J1731" s="11"/>
      <c r="K1731" s="11"/>
      <c r="L1731" s="11"/>
      <c r="M1731" s="11"/>
      <c r="N1731" s="44" t="n">
        <v>14.92</v>
      </c>
      <c r="O1731" s="11"/>
    </row>
    <row r="1732" customFormat="false" ht="14.25" hidden="false" customHeight="true" outlineLevel="0" collapsed="false">
      <c r="C1732" s="11"/>
      <c r="D1732" s="11"/>
      <c r="E1732" s="11"/>
      <c r="F1732" s="11"/>
      <c r="G1732" s="11"/>
      <c r="H1732" s="11"/>
      <c r="I1732" s="11"/>
      <c r="J1732" s="11"/>
      <c r="K1732" s="11"/>
      <c r="L1732" s="11"/>
      <c r="M1732" s="11"/>
      <c r="N1732" s="44" t="n">
        <v>15.21</v>
      </c>
      <c r="O1732" s="11"/>
    </row>
    <row r="1733" customFormat="false" ht="14.25" hidden="false" customHeight="true" outlineLevel="0" collapsed="false">
      <c r="C1733" s="11"/>
      <c r="D1733" s="11"/>
      <c r="E1733" s="11"/>
      <c r="F1733" s="11"/>
      <c r="G1733" s="11"/>
      <c r="H1733" s="11"/>
      <c r="I1733" s="11"/>
      <c r="J1733" s="11"/>
      <c r="K1733" s="11"/>
      <c r="L1733" s="11"/>
      <c r="M1733" s="11"/>
      <c r="N1733" s="44" t="n">
        <v>15.13</v>
      </c>
      <c r="O1733" s="11"/>
    </row>
    <row r="1734" customFormat="false" ht="14.25" hidden="false" customHeight="true" outlineLevel="0" collapsed="false">
      <c r="C1734" s="11"/>
      <c r="D1734" s="11"/>
      <c r="E1734" s="11"/>
      <c r="F1734" s="11"/>
      <c r="G1734" s="11"/>
      <c r="H1734" s="11"/>
      <c r="I1734" s="11"/>
      <c r="J1734" s="11"/>
      <c r="K1734" s="11"/>
      <c r="L1734" s="11"/>
      <c r="M1734" s="11"/>
      <c r="N1734" s="44" t="n">
        <v>15.47</v>
      </c>
      <c r="O1734" s="11"/>
    </row>
    <row r="1735" customFormat="false" ht="14.25" hidden="false" customHeight="true" outlineLevel="0" collapsed="false">
      <c r="C1735" s="11"/>
      <c r="D1735" s="11"/>
      <c r="E1735" s="11"/>
      <c r="F1735" s="11"/>
      <c r="G1735" s="11"/>
      <c r="H1735" s="11"/>
      <c r="I1735" s="11"/>
      <c r="J1735" s="11"/>
      <c r="K1735" s="11"/>
      <c r="L1735" s="11"/>
      <c r="M1735" s="11"/>
      <c r="N1735" s="44" t="n">
        <v>15.88</v>
      </c>
      <c r="O1735" s="11"/>
    </row>
    <row r="1736" customFormat="false" ht="14.25" hidden="false" customHeight="true" outlineLevel="0" collapsed="false">
      <c r="C1736" s="11"/>
      <c r="D1736" s="11"/>
      <c r="E1736" s="11"/>
      <c r="F1736" s="11"/>
      <c r="G1736" s="11"/>
      <c r="H1736" s="11"/>
      <c r="I1736" s="11"/>
      <c r="J1736" s="11"/>
      <c r="K1736" s="11"/>
      <c r="L1736" s="11"/>
      <c r="M1736" s="11"/>
      <c r="N1736" s="44" t="n">
        <v>15.98</v>
      </c>
      <c r="O1736" s="11"/>
    </row>
    <row r="1737" customFormat="false" ht="14.25" hidden="false" customHeight="true" outlineLevel="0" collapsed="false">
      <c r="C1737" s="11"/>
      <c r="D1737" s="11"/>
      <c r="E1737" s="11"/>
      <c r="F1737" s="11"/>
      <c r="G1737" s="11"/>
      <c r="H1737" s="11"/>
      <c r="I1737" s="11"/>
      <c r="J1737" s="11"/>
      <c r="K1737" s="11"/>
      <c r="L1737" s="11"/>
      <c r="M1737" s="11"/>
      <c r="N1737" s="44" t="n">
        <v>15.83</v>
      </c>
      <c r="O1737" s="11"/>
    </row>
    <row r="1738" customFormat="false" ht="14.25" hidden="false" customHeight="true" outlineLevel="0" collapsed="false">
      <c r="C1738" s="11"/>
      <c r="D1738" s="11"/>
      <c r="E1738" s="11"/>
      <c r="F1738" s="11"/>
      <c r="G1738" s="11"/>
      <c r="H1738" s="11"/>
      <c r="I1738" s="11"/>
      <c r="J1738" s="11"/>
      <c r="K1738" s="11"/>
      <c r="L1738" s="11"/>
      <c r="M1738" s="11"/>
      <c r="N1738" s="44" t="n">
        <v>15.52</v>
      </c>
      <c r="O1738" s="11"/>
    </row>
    <row r="1739" customFormat="false" ht="14.25" hidden="false" customHeight="true" outlineLevel="0" collapsed="false">
      <c r="C1739" s="11"/>
      <c r="D1739" s="11"/>
      <c r="E1739" s="11"/>
      <c r="F1739" s="11"/>
      <c r="G1739" s="11"/>
      <c r="H1739" s="11"/>
      <c r="I1739" s="11"/>
      <c r="J1739" s="11"/>
      <c r="K1739" s="11"/>
      <c r="L1739" s="11"/>
      <c r="M1739" s="11"/>
      <c r="N1739" s="44" t="n">
        <v>15.87</v>
      </c>
      <c r="O1739" s="11"/>
    </row>
    <row r="1740" customFormat="false" ht="14.25" hidden="false" customHeight="true" outlineLevel="0" collapsed="false">
      <c r="C1740" s="11"/>
      <c r="D1740" s="11"/>
      <c r="E1740" s="11"/>
      <c r="F1740" s="11"/>
      <c r="G1740" s="11"/>
      <c r="H1740" s="11"/>
      <c r="I1740" s="11"/>
      <c r="J1740" s="11"/>
      <c r="K1740" s="11"/>
      <c r="L1740" s="11"/>
      <c r="M1740" s="11"/>
      <c r="N1740" s="44" t="n">
        <v>15.88</v>
      </c>
      <c r="O1740" s="11"/>
    </row>
    <row r="1741" customFormat="false" ht="14.25" hidden="false" customHeight="true" outlineLevel="0" collapsed="false">
      <c r="C1741" s="11"/>
      <c r="D1741" s="11"/>
      <c r="E1741" s="11"/>
      <c r="F1741" s="11"/>
      <c r="G1741" s="11"/>
      <c r="H1741" s="11"/>
      <c r="I1741" s="11"/>
      <c r="J1741" s="11"/>
      <c r="K1741" s="11"/>
      <c r="L1741" s="11"/>
      <c r="M1741" s="11"/>
      <c r="N1741" s="44" t="n">
        <v>16.04</v>
      </c>
      <c r="O1741" s="11"/>
    </row>
    <row r="1742" customFormat="false" ht="14.25" hidden="false" customHeight="true" outlineLevel="0" collapsed="false">
      <c r="C1742" s="11"/>
      <c r="D1742" s="11"/>
      <c r="E1742" s="11"/>
      <c r="F1742" s="11"/>
      <c r="G1742" s="11"/>
      <c r="H1742" s="11"/>
      <c r="I1742" s="11"/>
      <c r="J1742" s="11"/>
      <c r="K1742" s="11"/>
      <c r="L1742" s="11"/>
      <c r="M1742" s="11"/>
      <c r="N1742" s="44" t="n">
        <v>15.67</v>
      </c>
      <c r="O1742" s="11"/>
    </row>
    <row r="1743" customFormat="false" ht="14.25" hidden="false" customHeight="true" outlineLevel="0" collapsed="false">
      <c r="C1743" s="11"/>
      <c r="D1743" s="11"/>
      <c r="E1743" s="11"/>
      <c r="F1743" s="11"/>
      <c r="G1743" s="11"/>
      <c r="H1743" s="11"/>
      <c r="I1743" s="11"/>
      <c r="J1743" s="11"/>
      <c r="K1743" s="11"/>
      <c r="L1743" s="11"/>
      <c r="M1743" s="11"/>
      <c r="N1743" s="44" t="n">
        <v>15.71</v>
      </c>
      <c r="O1743" s="11"/>
    </row>
    <row r="1744" customFormat="false" ht="14.25" hidden="false" customHeight="true" outlineLevel="0" collapsed="false">
      <c r="C1744" s="11"/>
      <c r="D1744" s="11"/>
      <c r="E1744" s="11"/>
      <c r="F1744" s="11"/>
      <c r="G1744" s="11"/>
      <c r="H1744" s="11"/>
      <c r="I1744" s="11"/>
      <c r="J1744" s="11"/>
      <c r="K1744" s="11"/>
      <c r="L1744" s="11"/>
      <c r="M1744" s="11"/>
      <c r="N1744" s="44" t="n">
        <v>15.95</v>
      </c>
      <c r="O1744" s="11"/>
    </row>
    <row r="1745" customFormat="false" ht="14.25" hidden="false" customHeight="true" outlineLevel="0" collapsed="false">
      <c r="C1745" s="11"/>
      <c r="D1745" s="11"/>
      <c r="E1745" s="11"/>
      <c r="F1745" s="11"/>
      <c r="G1745" s="11"/>
      <c r="H1745" s="11"/>
      <c r="I1745" s="11"/>
      <c r="J1745" s="11"/>
      <c r="K1745" s="11"/>
      <c r="L1745" s="11"/>
      <c r="M1745" s="11"/>
      <c r="N1745" s="44" t="n">
        <v>15.99</v>
      </c>
      <c r="O1745" s="11"/>
    </row>
    <row r="1746" customFormat="false" ht="14.25" hidden="false" customHeight="true" outlineLevel="0" collapsed="false">
      <c r="C1746" s="11"/>
      <c r="D1746" s="11"/>
      <c r="E1746" s="11"/>
      <c r="F1746" s="11"/>
      <c r="G1746" s="11"/>
      <c r="H1746" s="11"/>
      <c r="I1746" s="11"/>
      <c r="J1746" s="11"/>
      <c r="K1746" s="11"/>
      <c r="L1746" s="11"/>
      <c r="M1746" s="11"/>
      <c r="N1746" s="44" t="n">
        <v>16.3</v>
      </c>
      <c r="O1746" s="11"/>
    </row>
    <row r="1747" customFormat="false" ht="14.25" hidden="false" customHeight="true" outlineLevel="0" collapsed="false">
      <c r="C1747" s="11"/>
      <c r="D1747" s="11"/>
      <c r="E1747" s="11"/>
      <c r="F1747" s="11"/>
      <c r="G1747" s="11"/>
      <c r="H1747" s="11"/>
      <c r="I1747" s="11"/>
      <c r="J1747" s="11"/>
      <c r="K1747" s="11"/>
      <c r="L1747" s="11"/>
      <c r="M1747" s="11"/>
      <c r="N1747" s="44" t="n">
        <v>16.37</v>
      </c>
      <c r="O1747" s="11"/>
    </row>
    <row r="1748" customFormat="false" ht="14.25" hidden="false" customHeight="true" outlineLevel="0" collapsed="false">
      <c r="C1748" s="11"/>
      <c r="D1748" s="11"/>
      <c r="E1748" s="11"/>
      <c r="F1748" s="11"/>
      <c r="G1748" s="11"/>
      <c r="H1748" s="11"/>
      <c r="I1748" s="11"/>
      <c r="J1748" s="11"/>
      <c r="K1748" s="11"/>
      <c r="L1748" s="11"/>
      <c r="M1748" s="11"/>
      <c r="N1748" s="44" t="n">
        <v>16.6</v>
      </c>
      <c r="O1748" s="11"/>
    </row>
    <row r="1749" customFormat="false" ht="14.25" hidden="false" customHeight="true" outlineLevel="0" collapsed="false">
      <c r="C1749" s="11"/>
      <c r="D1749" s="11"/>
      <c r="E1749" s="11"/>
      <c r="F1749" s="11"/>
      <c r="G1749" s="11"/>
      <c r="H1749" s="11"/>
      <c r="I1749" s="11"/>
      <c r="J1749" s="11"/>
      <c r="K1749" s="11"/>
      <c r="L1749" s="11"/>
      <c r="M1749" s="11"/>
      <c r="N1749" s="44" t="n">
        <v>16.29</v>
      </c>
      <c r="O1749" s="11"/>
    </row>
    <row r="1750" customFormat="false" ht="14.25" hidden="false" customHeight="true" outlineLevel="0" collapsed="false">
      <c r="C1750" s="11"/>
      <c r="D1750" s="11"/>
      <c r="E1750" s="11"/>
      <c r="F1750" s="11"/>
      <c r="G1750" s="11"/>
      <c r="H1750" s="11"/>
      <c r="I1750" s="11"/>
      <c r="J1750" s="11"/>
      <c r="K1750" s="11"/>
      <c r="L1750" s="11"/>
      <c r="M1750" s="11"/>
      <c r="N1750" s="44" t="n">
        <v>16.36</v>
      </c>
      <c r="O1750" s="11"/>
    </row>
    <row r="1751" customFormat="false" ht="14.25" hidden="false" customHeight="true" outlineLevel="0" collapsed="false">
      <c r="C1751" s="11"/>
      <c r="D1751" s="11"/>
      <c r="E1751" s="11"/>
      <c r="F1751" s="11"/>
      <c r="G1751" s="11"/>
      <c r="H1751" s="11"/>
      <c r="I1751" s="11"/>
      <c r="J1751" s="11"/>
      <c r="K1751" s="11"/>
      <c r="L1751" s="11"/>
      <c r="M1751" s="11"/>
      <c r="N1751" s="44" t="n">
        <v>15.96</v>
      </c>
      <c r="O1751" s="11"/>
    </row>
    <row r="1752" customFormat="false" ht="14.25" hidden="false" customHeight="true" outlineLevel="0" collapsed="false">
      <c r="C1752" s="11"/>
      <c r="D1752" s="11"/>
      <c r="E1752" s="11"/>
      <c r="F1752" s="11"/>
      <c r="G1752" s="11"/>
      <c r="H1752" s="11"/>
      <c r="I1752" s="11"/>
      <c r="J1752" s="11"/>
      <c r="K1752" s="11"/>
      <c r="L1752" s="11"/>
      <c r="M1752" s="11"/>
      <c r="N1752" s="44" t="n">
        <v>15.81</v>
      </c>
      <c r="O1752" s="11"/>
    </row>
    <row r="1753" customFormat="false" ht="14.25" hidden="false" customHeight="true" outlineLevel="0" collapsed="false">
      <c r="C1753" s="11"/>
      <c r="D1753" s="11"/>
      <c r="E1753" s="11"/>
      <c r="F1753" s="11"/>
      <c r="G1753" s="11"/>
      <c r="H1753" s="11"/>
      <c r="I1753" s="11"/>
      <c r="J1753" s="11"/>
      <c r="K1753" s="11"/>
      <c r="L1753" s="11"/>
      <c r="M1753" s="11"/>
      <c r="N1753" s="44" t="n">
        <v>15.8</v>
      </c>
      <c r="O1753" s="11"/>
    </row>
    <row r="1754" customFormat="false" ht="14.25" hidden="false" customHeight="true" outlineLevel="0" collapsed="false">
      <c r="C1754" s="11"/>
      <c r="D1754" s="11"/>
      <c r="E1754" s="11"/>
      <c r="F1754" s="11"/>
      <c r="G1754" s="11"/>
      <c r="H1754" s="11"/>
      <c r="I1754" s="11"/>
      <c r="J1754" s="11"/>
      <c r="K1754" s="11"/>
      <c r="L1754" s="11"/>
      <c r="M1754" s="11"/>
      <c r="N1754" s="44" t="n">
        <v>15.85</v>
      </c>
      <c r="O1754" s="11"/>
    </row>
    <row r="1755" customFormat="false" ht="14.25" hidden="false" customHeight="true" outlineLevel="0" collapsed="false">
      <c r="C1755" s="11"/>
      <c r="D1755" s="11"/>
      <c r="E1755" s="11"/>
      <c r="F1755" s="11"/>
      <c r="G1755" s="11"/>
      <c r="H1755" s="11"/>
      <c r="I1755" s="11"/>
      <c r="J1755" s="11"/>
      <c r="K1755" s="11"/>
      <c r="L1755" s="11"/>
      <c r="M1755" s="11"/>
      <c r="N1755" s="44" t="n">
        <v>16.29</v>
      </c>
      <c r="O1755" s="11"/>
    </row>
    <row r="1756" customFormat="false" ht="14.25" hidden="false" customHeight="true" outlineLevel="0" collapsed="false">
      <c r="C1756" s="11"/>
      <c r="D1756" s="11"/>
      <c r="E1756" s="11"/>
      <c r="F1756" s="11"/>
      <c r="G1756" s="11"/>
      <c r="H1756" s="11"/>
      <c r="I1756" s="11"/>
      <c r="J1756" s="11"/>
      <c r="K1756" s="11"/>
      <c r="L1756" s="11"/>
      <c r="M1756" s="11"/>
      <c r="N1756" s="44" t="n">
        <v>15.69</v>
      </c>
      <c r="O1756" s="11"/>
    </row>
    <row r="1757" customFormat="false" ht="14.25" hidden="false" customHeight="true" outlineLevel="0" collapsed="false">
      <c r="C1757" s="11"/>
      <c r="D1757" s="11"/>
      <c r="E1757" s="11"/>
      <c r="F1757" s="11"/>
      <c r="G1757" s="11"/>
      <c r="H1757" s="11"/>
      <c r="I1757" s="11"/>
      <c r="J1757" s="11"/>
      <c r="K1757" s="11"/>
      <c r="L1757" s="11"/>
      <c r="M1757" s="11"/>
      <c r="N1757" s="44" t="n">
        <v>15.7</v>
      </c>
      <c r="O1757" s="11"/>
    </row>
    <row r="1758" customFormat="false" ht="14.25" hidden="false" customHeight="true" outlineLevel="0" collapsed="false">
      <c r="C1758" s="11"/>
      <c r="D1758" s="11"/>
      <c r="E1758" s="11"/>
      <c r="F1758" s="11"/>
      <c r="G1758" s="11"/>
      <c r="H1758" s="11"/>
      <c r="I1758" s="11"/>
      <c r="J1758" s="11"/>
      <c r="K1758" s="11"/>
      <c r="L1758" s="11"/>
      <c r="M1758" s="11"/>
      <c r="N1758" s="44" t="n">
        <v>15.32</v>
      </c>
      <c r="O1758" s="11"/>
    </row>
    <row r="1759" customFormat="false" ht="14.25" hidden="false" customHeight="true" outlineLevel="0" collapsed="false">
      <c r="C1759" s="11"/>
      <c r="D1759" s="11"/>
      <c r="E1759" s="11"/>
      <c r="F1759" s="11"/>
      <c r="G1759" s="11"/>
      <c r="H1759" s="11"/>
      <c r="I1759" s="11"/>
      <c r="J1759" s="11"/>
      <c r="K1759" s="11"/>
      <c r="L1759" s="11"/>
      <c r="M1759" s="11"/>
      <c r="N1759" s="44" t="n">
        <v>15.27</v>
      </c>
      <c r="O1759" s="11"/>
    </row>
    <row r="1760" customFormat="false" ht="14.25" hidden="false" customHeight="true" outlineLevel="0" collapsed="false">
      <c r="C1760" s="11"/>
      <c r="D1760" s="11"/>
      <c r="E1760" s="11"/>
      <c r="F1760" s="11"/>
      <c r="G1760" s="11"/>
      <c r="H1760" s="11"/>
      <c r="I1760" s="11"/>
      <c r="J1760" s="11"/>
      <c r="K1760" s="11"/>
      <c r="L1760" s="11"/>
      <c r="M1760" s="11"/>
      <c r="N1760" s="44" t="n">
        <v>15.03</v>
      </c>
      <c r="O1760" s="11"/>
    </row>
    <row r="1761" customFormat="false" ht="14.25" hidden="false" customHeight="true" outlineLevel="0" collapsed="false">
      <c r="C1761" s="11"/>
      <c r="D1761" s="11"/>
      <c r="E1761" s="11"/>
      <c r="F1761" s="11"/>
      <c r="G1761" s="11"/>
      <c r="H1761" s="11"/>
      <c r="I1761" s="11"/>
      <c r="J1761" s="11"/>
      <c r="K1761" s="11"/>
      <c r="L1761" s="11"/>
      <c r="M1761" s="11"/>
      <c r="N1761" s="44" t="n">
        <v>14.69</v>
      </c>
      <c r="O1761" s="11"/>
    </row>
    <row r="1762" customFormat="false" ht="14.25" hidden="false" customHeight="true" outlineLevel="0" collapsed="false">
      <c r="C1762" s="11"/>
      <c r="D1762" s="11"/>
      <c r="E1762" s="11"/>
      <c r="F1762" s="11"/>
      <c r="G1762" s="11"/>
      <c r="H1762" s="11"/>
      <c r="I1762" s="11"/>
      <c r="J1762" s="11"/>
      <c r="K1762" s="11"/>
      <c r="L1762" s="11"/>
      <c r="M1762" s="11"/>
      <c r="N1762" s="44" t="n">
        <v>14.68</v>
      </c>
      <c r="O1762" s="11"/>
    </row>
    <row r="1763" customFormat="false" ht="14.25" hidden="false" customHeight="true" outlineLevel="0" collapsed="false">
      <c r="C1763" s="11"/>
      <c r="D1763" s="11"/>
      <c r="E1763" s="11"/>
      <c r="F1763" s="11"/>
      <c r="G1763" s="11"/>
      <c r="H1763" s="11"/>
      <c r="I1763" s="11"/>
      <c r="J1763" s="11"/>
      <c r="K1763" s="11"/>
      <c r="L1763" s="11"/>
      <c r="M1763" s="11"/>
      <c r="N1763" s="44" t="n">
        <v>14.78</v>
      </c>
      <c r="O1763" s="11"/>
    </row>
    <row r="1764" customFormat="false" ht="14.25" hidden="false" customHeight="true" outlineLevel="0" collapsed="false">
      <c r="C1764" s="11"/>
      <c r="D1764" s="11"/>
      <c r="E1764" s="11"/>
      <c r="F1764" s="11"/>
      <c r="G1764" s="11"/>
      <c r="H1764" s="11"/>
      <c r="I1764" s="11"/>
      <c r="J1764" s="11"/>
      <c r="K1764" s="11"/>
      <c r="L1764" s="11"/>
      <c r="M1764" s="11"/>
      <c r="N1764" s="44" t="n">
        <v>14.89</v>
      </c>
      <c r="O1764" s="11"/>
    </row>
    <row r="1765" customFormat="false" ht="14.25" hidden="false" customHeight="true" outlineLevel="0" collapsed="false">
      <c r="C1765" s="11"/>
      <c r="D1765" s="11"/>
      <c r="E1765" s="11"/>
      <c r="F1765" s="11"/>
      <c r="G1765" s="11"/>
      <c r="H1765" s="11"/>
      <c r="I1765" s="11"/>
      <c r="J1765" s="11"/>
      <c r="K1765" s="11"/>
      <c r="L1765" s="11"/>
      <c r="M1765" s="11"/>
      <c r="N1765" s="44" t="n">
        <v>14.81</v>
      </c>
      <c r="O1765" s="11"/>
    </row>
    <row r="1766" customFormat="false" ht="14.25" hidden="false" customHeight="true" outlineLevel="0" collapsed="false">
      <c r="C1766" s="11"/>
      <c r="D1766" s="11"/>
      <c r="E1766" s="11"/>
      <c r="F1766" s="11"/>
      <c r="G1766" s="11"/>
      <c r="H1766" s="11"/>
      <c r="I1766" s="11"/>
      <c r="J1766" s="11"/>
      <c r="K1766" s="11"/>
      <c r="L1766" s="11"/>
      <c r="M1766" s="11"/>
      <c r="N1766" s="44" t="n">
        <v>15.14</v>
      </c>
      <c r="O1766" s="11"/>
    </row>
    <row r="1767" customFormat="false" ht="14.25" hidden="false" customHeight="true" outlineLevel="0" collapsed="false">
      <c r="C1767" s="11"/>
      <c r="D1767" s="11"/>
      <c r="E1767" s="11"/>
      <c r="F1767" s="11"/>
      <c r="G1767" s="11"/>
      <c r="H1767" s="11"/>
      <c r="I1767" s="11"/>
      <c r="J1767" s="11"/>
      <c r="K1767" s="11"/>
      <c r="L1767" s="11"/>
      <c r="M1767" s="11"/>
      <c r="N1767" s="44" t="n">
        <v>15.51</v>
      </c>
      <c r="O1767" s="11"/>
    </row>
    <row r="1768" customFormat="false" ht="14.25" hidden="false" customHeight="true" outlineLevel="0" collapsed="false">
      <c r="C1768" s="11"/>
      <c r="D1768" s="11"/>
      <c r="E1768" s="11"/>
      <c r="F1768" s="11"/>
      <c r="G1768" s="11"/>
      <c r="H1768" s="11"/>
      <c r="I1768" s="11"/>
      <c r="J1768" s="11"/>
      <c r="K1768" s="11"/>
      <c r="L1768" s="11"/>
      <c r="M1768" s="11"/>
      <c r="N1768" s="44" t="n">
        <v>15.19</v>
      </c>
      <c r="O1768" s="11"/>
    </row>
    <row r="1769" customFormat="false" ht="14.25" hidden="false" customHeight="true" outlineLevel="0" collapsed="false">
      <c r="C1769" s="11"/>
      <c r="D1769" s="11"/>
      <c r="E1769" s="11"/>
      <c r="F1769" s="11"/>
      <c r="G1769" s="11"/>
      <c r="H1769" s="11"/>
      <c r="I1769" s="11"/>
      <c r="J1769" s="11"/>
      <c r="K1769" s="11"/>
      <c r="L1769" s="11"/>
      <c r="M1769" s="11"/>
      <c r="N1769" s="44" t="n">
        <v>15.17</v>
      </c>
      <c r="O1769" s="11"/>
    </row>
    <row r="1770" customFormat="false" ht="14.25" hidden="false" customHeight="true" outlineLevel="0" collapsed="false">
      <c r="C1770" s="11"/>
      <c r="D1770" s="11"/>
      <c r="E1770" s="11"/>
      <c r="F1770" s="11"/>
      <c r="G1770" s="11"/>
      <c r="H1770" s="11"/>
      <c r="I1770" s="11"/>
      <c r="J1770" s="11"/>
      <c r="K1770" s="11"/>
      <c r="L1770" s="11"/>
      <c r="M1770" s="11"/>
      <c r="N1770" s="44" t="n">
        <v>15.19</v>
      </c>
      <c r="O1770" s="11"/>
    </row>
    <row r="1771" customFormat="false" ht="14.25" hidden="false" customHeight="true" outlineLevel="0" collapsed="false">
      <c r="C1771" s="11"/>
      <c r="D1771" s="11"/>
      <c r="E1771" s="11"/>
      <c r="F1771" s="11"/>
      <c r="G1771" s="11"/>
      <c r="H1771" s="11"/>
      <c r="I1771" s="11"/>
      <c r="J1771" s="11"/>
      <c r="K1771" s="11"/>
      <c r="L1771" s="11"/>
      <c r="M1771" s="11"/>
      <c r="N1771" s="44" t="n">
        <v>15.16</v>
      </c>
      <c r="O1771" s="11"/>
    </row>
    <row r="1772" customFormat="false" ht="14.25" hidden="false" customHeight="true" outlineLevel="0" collapsed="false">
      <c r="C1772" s="11"/>
      <c r="D1772" s="11"/>
      <c r="E1772" s="11"/>
      <c r="F1772" s="11"/>
      <c r="G1772" s="11"/>
      <c r="H1772" s="11"/>
      <c r="I1772" s="11"/>
      <c r="J1772" s="11"/>
      <c r="K1772" s="11"/>
      <c r="L1772" s="11"/>
      <c r="M1772" s="11"/>
      <c r="N1772" s="44" t="n">
        <v>15.66</v>
      </c>
      <c r="O1772" s="11"/>
    </row>
    <row r="1773" customFormat="false" ht="14.25" hidden="false" customHeight="true" outlineLevel="0" collapsed="false">
      <c r="C1773" s="11"/>
      <c r="D1773" s="11"/>
      <c r="E1773" s="11"/>
      <c r="F1773" s="11"/>
      <c r="G1773" s="11"/>
      <c r="H1773" s="11"/>
      <c r="I1773" s="11"/>
      <c r="J1773" s="11"/>
      <c r="K1773" s="11"/>
      <c r="L1773" s="11"/>
      <c r="M1773" s="11"/>
      <c r="N1773" s="44" t="n">
        <v>15.59</v>
      </c>
      <c r="O1773" s="11"/>
    </row>
    <row r="1774" customFormat="false" ht="14.25" hidden="false" customHeight="true" outlineLevel="0" collapsed="false">
      <c r="C1774" s="11"/>
      <c r="D1774" s="11"/>
      <c r="E1774" s="11"/>
      <c r="F1774" s="11"/>
      <c r="G1774" s="11"/>
      <c r="H1774" s="11"/>
      <c r="I1774" s="11"/>
      <c r="J1774" s="11"/>
      <c r="K1774" s="11"/>
      <c r="L1774" s="11"/>
      <c r="M1774" s="11"/>
      <c r="N1774" s="44" t="n">
        <v>15</v>
      </c>
      <c r="O1774" s="11"/>
    </row>
    <row r="1775" customFormat="false" ht="14.25" hidden="false" customHeight="true" outlineLevel="0" collapsed="false">
      <c r="C1775" s="11"/>
      <c r="D1775" s="11"/>
      <c r="E1775" s="11"/>
      <c r="F1775" s="11"/>
      <c r="G1775" s="11"/>
      <c r="H1775" s="11"/>
      <c r="I1775" s="11"/>
      <c r="J1775" s="11"/>
      <c r="K1775" s="11"/>
      <c r="L1775" s="11"/>
      <c r="M1775" s="11"/>
      <c r="N1775" s="44" t="n">
        <v>14.81</v>
      </c>
      <c r="O1775" s="11"/>
    </row>
    <row r="1776" customFormat="false" ht="14.25" hidden="false" customHeight="true" outlineLevel="0" collapsed="false">
      <c r="C1776" s="11"/>
      <c r="D1776" s="11"/>
      <c r="E1776" s="11"/>
      <c r="F1776" s="11"/>
      <c r="G1776" s="11"/>
      <c r="H1776" s="11"/>
      <c r="I1776" s="11"/>
      <c r="J1776" s="11"/>
      <c r="K1776" s="11"/>
      <c r="L1776" s="11"/>
      <c r="M1776" s="11"/>
      <c r="N1776" s="44" t="n">
        <v>14.26</v>
      </c>
      <c r="O1776" s="11"/>
    </row>
    <row r="1777" customFormat="false" ht="14.25" hidden="false" customHeight="true" outlineLevel="0" collapsed="false">
      <c r="C1777" s="11"/>
      <c r="D1777" s="11"/>
      <c r="E1777" s="11"/>
      <c r="F1777" s="11"/>
      <c r="G1777" s="11"/>
      <c r="H1777" s="11"/>
      <c r="I1777" s="11"/>
      <c r="J1777" s="11"/>
      <c r="K1777" s="11"/>
      <c r="L1777" s="11"/>
      <c r="M1777" s="11"/>
      <c r="N1777" s="44" t="n">
        <v>13.94</v>
      </c>
      <c r="O1777" s="11"/>
    </row>
    <row r="1778" customFormat="false" ht="14.25" hidden="false" customHeight="true" outlineLevel="0" collapsed="false">
      <c r="C1778" s="11"/>
      <c r="D1778" s="11"/>
      <c r="E1778" s="11"/>
      <c r="F1778" s="11"/>
      <c r="G1778" s="11"/>
      <c r="H1778" s="11"/>
      <c r="I1778" s="11"/>
      <c r="J1778" s="11"/>
      <c r="K1778" s="11"/>
      <c r="L1778" s="11"/>
      <c r="M1778" s="11"/>
      <c r="N1778" s="44" t="n">
        <v>13.93</v>
      </c>
      <c r="O1778" s="11"/>
    </row>
    <row r="1779" customFormat="false" ht="14.25" hidden="false" customHeight="true" outlineLevel="0" collapsed="false">
      <c r="C1779" s="11"/>
      <c r="D1779" s="11"/>
      <c r="E1779" s="11"/>
      <c r="F1779" s="11"/>
      <c r="G1779" s="11"/>
      <c r="H1779" s="11"/>
      <c r="I1779" s="11"/>
      <c r="J1779" s="11"/>
      <c r="K1779" s="11"/>
      <c r="L1779" s="11"/>
      <c r="M1779" s="11"/>
      <c r="N1779" s="44" t="n">
        <v>14.14</v>
      </c>
      <c r="O1779" s="11"/>
    </row>
    <row r="1780" customFormat="false" ht="14.25" hidden="false" customHeight="true" outlineLevel="0" collapsed="false">
      <c r="C1780" s="11"/>
      <c r="D1780" s="11"/>
      <c r="E1780" s="11"/>
      <c r="F1780" s="11"/>
      <c r="G1780" s="11"/>
      <c r="H1780" s="11"/>
      <c r="I1780" s="11"/>
      <c r="J1780" s="11"/>
      <c r="K1780" s="11"/>
      <c r="L1780" s="11"/>
      <c r="M1780" s="11"/>
      <c r="N1780" s="44" t="n">
        <v>13.81</v>
      </c>
      <c r="O1780" s="11"/>
    </row>
    <row r="1781" customFormat="false" ht="14.25" hidden="false" customHeight="true" outlineLevel="0" collapsed="false">
      <c r="C1781" s="11"/>
      <c r="D1781" s="11"/>
      <c r="E1781" s="11"/>
      <c r="F1781" s="11"/>
      <c r="G1781" s="11"/>
      <c r="H1781" s="11"/>
      <c r="I1781" s="11"/>
      <c r="J1781" s="11"/>
      <c r="K1781" s="11"/>
      <c r="L1781" s="11"/>
      <c r="M1781" s="11"/>
      <c r="N1781" s="44" t="n">
        <v>13.34</v>
      </c>
      <c r="O1781" s="11"/>
    </row>
    <row r="1782" customFormat="false" ht="14.25" hidden="false" customHeight="true" outlineLevel="0" collapsed="false">
      <c r="C1782" s="11"/>
      <c r="D1782" s="11"/>
      <c r="E1782" s="11"/>
      <c r="F1782" s="11"/>
      <c r="G1782" s="11"/>
      <c r="H1782" s="11"/>
      <c r="I1782" s="11"/>
      <c r="J1782" s="11"/>
      <c r="K1782" s="11"/>
      <c r="L1782" s="11"/>
      <c r="M1782" s="11"/>
      <c r="N1782" s="44" t="n">
        <v>13.91</v>
      </c>
      <c r="O1782" s="11"/>
    </row>
    <row r="1783" customFormat="false" ht="14.25" hidden="false" customHeight="true" outlineLevel="0" collapsed="false">
      <c r="C1783" s="11"/>
      <c r="D1783" s="11"/>
      <c r="E1783" s="11"/>
      <c r="F1783" s="11"/>
      <c r="G1783" s="11"/>
      <c r="H1783" s="11"/>
      <c r="I1783" s="11"/>
      <c r="J1783" s="11"/>
      <c r="K1783" s="11"/>
      <c r="L1783" s="11"/>
      <c r="M1783" s="11"/>
      <c r="N1783" s="44" t="n">
        <v>14.15</v>
      </c>
      <c r="O1783" s="11"/>
    </row>
    <row r="1784" customFormat="false" ht="14.25" hidden="false" customHeight="true" outlineLevel="0" collapsed="false">
      <c r="C1784" s="11"/>
      <c r="D1784" s="11"/>
      <c r="E1784" s="11"/>
      <c r="F1784" s="11"/>
      <c r="G1784" s="11"/>
      <c r="H1784" s="11"/>
      <c r="I1784" s="11"/>
      <c r="J1784" s="11"/>
      <c r="K1784" s="11"/>
      <c r="L1784" s="11"/>
      <c r="M1784" s="11"/>
      <c r="N1784" s="44" t="n">
        <v>14.4</v>
      </c>
      <c r="O1784" s="11"/>
    </row>
    <row r="1785" customFormat="false" ht="14.25" hidden="false" customHeight="true" outlineLevel="0" collapsed="false">
      <c r="C1785" s="11"/>
      <c r="D1785" s="11"/>
      <c r="E1785" s="11"/>
      <c r="F1785" s="11"/>
      <c r="G1785" s="11"/>
      <c r="H1785" s="11"/>
      <c r="I1785" s="11"/>
      <c r="J1785" s="11"/>
      <c r="K1785" s="11"/>
      <c r="L1785" s="11"/>
      <c r="M1785" s="11"/>
      <c r="N1785" s="44" t="n">
        <v>14.46</v>
      </c>
      <c r="O1785" s="11"/>
    </row>
    <row r="1786" customFormat="false" ht="14.25" hidden="false" customHeight="true" outlineLevel="0" collapsed="false">
      <c r="C1786" s="11"/>
      <c r="D1786" s="11"/>
      <c r="E1786" s="11"/>
      <c r="F1786" s="11"/>
      <c r="G1786" s="11"/>
      <c r="H1786" s="11"/>
      <c r="I1786" s="11"/>
      <c r="J1786" s="11"/>
      <c r="K1786" s="11"/>
      <c r="L1786" s="11"/>
      <c r="M1786" s="11"/>
      <c r="N1786" s="44" t="n">
        <v>14.11</v>
      </c>
      <c r="O1786" s="11"/>
    </row>
    <row r="1787" customFormat="false" ht="14.25" hidden="false" customHeight="true" outlineLevel="0" collapsed="false">
      <c r="C1787" s="11"/>
      <c r="D1787" s="11"/>
      <c r="E1787" s="11"/>
      <c r="F1787" s="11"/>
      <c r="G1787" s="11"/>
      <c r="H1787" s="11"/>
      <c r="I1787" s="11"/>
      <c r="J1787" s="11"/>
      <c r="K1787" s="11"/>
      <c r="L1787" s="11"/>
      <c r="M1787" s="11"/>
      <c r="N1787" s="44" t="n">
        <v>14.15</v>
      </c>
      <c r="O1787" s="11"/>
    </row>
    <row r="1788" customFormat="false" ht="14.25" hidden="false" customHeight="true" outlineLevel="0" collapsed="false">
      <c r="C1788" s="11"/>
      <c r="D1788" s="11"/>
      <c r="E1788" s="11"/>
      <c r="F1788" s="11"/>
      <c r="G1788" s="11"/>
      <c r="H1788" s="11"/>
      <c r="I1788" s="11"/>
      <c r="J1788" s="11"/>
      <c r="K1788" s="11"/>
      <c r="L1788" s="11"/>
      <c r="M1788" s="11"/>
      <c r="N1788" s="44" t="n">
        <v>14.14</v>
      </c>
      <c r="O1788" s="11"/>
    </row>
    <row r="1789" customFormat="false" ht="14.25" hidden="false" customHeight="true" outlineLevel="0" collapsed="false">
      <c r="C1789" s="11"/>
      <c r="D1789" s="11"/>
      <c r="E1789" s="11"/>
      <c r="F1789" s="11"/>
      <c r="G1789" s="11"/>
      <c r="H1789" s="11"/>
      <c r="I1789" s="11"/>
      <c r="J1789" s="11"/>
      <c r="K1789" s="11"/>
      <c r="L1789" s="11"/>
      <c r="M1789" s="11"/>
      <c r="N1789" s="44" t="n">
        <v>14.08</v>
      </c>
      <c r="O1789" s="11"/>
    </row>
    <row r="1790" customFormat="false" ht="14.25" hidden="false" customHeight="true" outlineLevel="0" collapsed="false">
      <c r="C1790" s="11"/>
      <c r="D1790" s="11"/>
      <c r="E1790" s="11"/>
      <c r="F1790" s="11"/>
      <c r="G1790" s="11"/>
      <c r="H1790" s="11"/>
      <c r="I1790" s="11"/>
      <c r="J1790" s="11"/>
      <c r="K1790" s="11"/>
      <c r="L1790" s="11"/>
      <c r="M1790" s="11"/>
      <c r="N1790" s="44" t="n">
        <v>14.57</v>
      </c>
      <c r="O1790" s="11"/>
    </row>
    <row r="1791" customFormat="false" ht="14.25" hidden="false" customHeight="true" outlineLevel="0" collapsed="false">
      <c r="C1791" s="11"/>
      <c r="D1791" s="11"/>
      <c r="E1791" s="11"/>
      <c r="F1791" s="11"/>
      <c r="G1791" s="11"/>
      <c r="H1791" s="11"/>
      <c r="I1791" s="11"/>
      <c r="J1791" s="11"/>
      <c r="K1791" s="11"/>
      <c r="L1791" s="11"/>
      <c r="M1791" s="11"/>
      <c r="N1791" s="44" t="n">
        <v>14.23</v>
      </c>
      <c r="O1791" s="11"/>
    </row>
    <row r="1792" customFormat="false" ht="14.25" hidden="false" customHeight="true" outlineLevel="0" collapsed="false">
      <c r="C1792" s="11"/>
      <c r="D1792" s="11"/>
      <c r="E1792" s="11"/>
      <c r="F1792" s="11"/>
      <c r="G1792" s="11"/>
      <c r="H1792" s="11"/>
      <c r="I1792" s="11"/>
      <c r="J1792" s="11"/>
      <c r="K1792" s="11"/>
      <c r="L1792" s="11"/>
      <c r="M1792" s="11"/>
      <c r="N1792" s="44" t="n">
        <v>14.72</v>
      </c>
      <c r="O1792" s="11"/>
    </row>
    <row r="1793" customFormat="false" ht="14.25" hidden="false" customHeight="true" outlineLevel="0" collapsed="false">
      <c r="C1793" s="11"/>
      <c r="D1793" s="11"/>
      <c r="E1793" s="11"/>
      <c r="F1793" s="11"/>
      <c r="G1793" s="11"/>
      <c r="H1793" s="11"/>
      <c r="I1793" s="11"/>
      <c r="J1793" s="11"/>
      <c r="K1793" s="11"/>
      <c r="L1793" s="11"/>
      <c r="M1793" s="11"/>
      <c r="N1793" s="44" t="n">
        <v>15</v>
      </c>
      <c r="O1793" s="11"/>
    </row>
    <row r="1794" customFormat="false" ht="14.25" hidden="false" customHeight="true" outlineLevel="0" collapsed="false">
      <c r="C1794" s="11"/>
      <c r="D1794" s="11"/>
      <c r="E1794" s="11"/>
      <c r="F1794" s="11"/>
      <c r="G1794" s="11"/>
      <c r="H1794" s="11"/>
      <c r="I1794" s="11"/>
      <c r="J1794" s="11"/>
      <c r="K1794" s="11"/>
      <c r="L1794" s="11"/>
      <c r="M1794" s="11"/>
      <c r="N1794" s="44" t="n">
        <v>14.81</v>
      </c>
      <c r="O1794" s="11"/>
    </row>
    <row r="1795" customFormat="false" ht="14.25" hidden="false" customHeight="true" outlineLevel="0" collapsed="false">
      <c r="C1795" s="11"/>
      <c r="D1795" s="11"/>
      <c r="E1795" s="11"/>
      <c r="F1795" s="11"/>
      <c r="G1795" s="11"/>
      <c r="H1795" s="11"/>
      <c r="I1795" s="11"/>
      <c r="J1795" s="11"/>
      <c r="K1795" s="11"/>
      <c r="L1795" s="11"/>
      <c r="M1795" s="11"/>
      <c r="N1795" s="44" t="n">
        <v>14.44</v>
      </c>
      <c r="O1795" s="11"/>
    </row>
    <row r="1796" customFormat="false" ht="14.25" hidden="false" customHeight="true" outlineLevel="0" collapsed="false">
      <c r="C1796" s="11"/>
      <c r="D1796" s="11"/>
      <c r="E1796" s="11"/>
      <c r="F1796" s="11"/>
      <c r="G1796" s="11"/>
      <c r="H1796" s="11"/>
      <c r="I1796" s="11"/>
      <c r="J1796" s="11"/>
      <c r="K1796" s="11"/>
      <c r="L1796" s="11"/>
      <c r="M1796" s="11"/>
      <c r="N1796" s="44" t="n">
        <v>14.76</v>
      </c>
      <c r="O1796" s="11"/>
    </row>
    <row r="1797" customFormat="false" ht="14.25" hidden="false" customHeight="true" outlineLevel="0" collapsed="false">
      <c r="C1797" s="11"/>
      <c r="D1797" s="11"/>
      <c r="E1797" s="11"/>
      <c r="F1797" s="11"/>
      <c r="G1797" s="11"/>
      <c r="H1797" s="11"/>
      <c r="I1797" s="11"/>
      <c r="J1797" s="11"/>
      <c r="K1797" s="11"/>
      <c r="L1797" s="11"/>
      <c r="M1797" s="11"/>
      <c r="N1797" s="44" t="n">
        <v>14.95</v>
      </c>
      <c r="O1797" s="11"/>
    </row>
    <row r="1798" customFormat="false" ht="14.25" hidden="false" customHeight="true" outlineLevel="0" collapsed="false">
      <c r="C1798" s="11"/>
      <c r="D1798" s="11"/>
      <c r="E1798" s="11"/>
      <c r="F1798" s="11"/>
      <c r="G1798" s="11"/>
      <c r="H1798" s="11"/>
      <c r="I1798" s="11"/>
      <c r="J1798" s="11"/>
      <c r="K1798" s="11"/>
      <c r="L1798" s="11"/>
      <c r="M1798" s="11"/>
      <c r="N1798" s="44" t="n">
        <v>15.3</v>
      </c>
      <c r="O1798" s="11"/>
    </row>
    <row r="1799" customFormat="false" ht="14.25" hidden="false" customHeight="true" outlineLevel="0" collapsed="false">
      <c r="C1799" s="11"/>
      <c r="D1799" s="11"/>
      <c r="E1799" s="11"/>
      <c r="F1799" s="11"/>
      <c r="G1799" s="11"/>
      <c r="H1799" s="11"/>
      <c r="I1799" s="11"/>
      <c r="J1799" s="11"/>
      <c r="K1799" s="11"/>
      <c r="L1799" s="11"/>
      <c r="M1799" s="11"/>
      <c r="N1799" s="44" t="n">
        <v>15.74</v>
      </c>
      <c r="O1799" s="11"/>
    </row>
    <row r="1800" customFormat="false" ht="14.25" hidden="false" customHeight="true" outlineLevel="0" collapsed="false">
      <c r="C1800" s="11"/>
      <c r="D1800" s="11"/>
      <c r="E1800" s="11"/>
      <c r="F1800" s="11"/>
      <c r="G1800" s="11"/>
      <c r="H1800" s="11"/>
      <c r="I1800" s="11"/>
      <c r="J1800" s="11"/>
      <c r="K1800" s="11"/>
      <c r="L1800" s="11"/>
      <c r="M1800" s="11"/>
      <c r="N1800" s="44" t="n">
        <v>16.01</v>
      </c>
      <c r="O1800" s="11"/>
    </row>
    <row r="1801" customFormat="false" ht="14.25" hidden="false" customHeight="true" outlineLevel="0" collapsed="false">
      <c r="C1801" s="11"/>
      <c r="D1801" s="11"/>
      <c r="E1801" s="11"/>
      <c r="F1801" s="11"/>
      <c r="G1801" s="11"/>
      <c r="H1801" s="11"/>
      <c r="I1801" s="11"/>
      <c r="J1801" s="11"/>
      <c r="K1801" s="11"/>
      <c r="L1801" s="11"/>
      <c r="M1801" s="11"/>
      <c r="N1801" s="44" t="n">
        <v>16.05</v>
      </c>
      <c r="O1801" s="11"/>
    </row>
    <row r="1802" customFormat="false" ht="14.25" hidden="false" customHeight="true" outlineLevel="0" collapsed="false">
      <c r="C1802" s="11"/>
      <c r="D1802" s="11"/>
      <c r="E1802" s="11"/>
      <c r="F1802" s="11"/>
      <c r="G1802" s="11"/>
      <c r="H1802" s="11"/>
      <c r="I1802" s="11"/>
      <c r="J1802" s="11"/>
      <c r="K1802" s="11"/>
      <c r="L1802" s="11"/>
      <c r="M1802" s="11"/>
      <c r="N1802" s="44" t="n">
        <v>16.39</v>
      </c>
      <c r="O1802" s="11"/>
    </row>
    <row r="1803" customFormat="false" ht="14.25" hidden="false" customHeight="true" outlineLevel="0" collapsed="false">
      <c r="C1803" s="11"/>
      <c r="D1803" s="11"/>
      <c r="E1803" s="11"/>
      <c r="F1803" s="11"/>
      <c r="G1803" s="11"/>
      <c r="H1803" s="11"/>
      <c r="I1803" s="11"/>
      <c r="J1803" s="11"/>
      <c r="K1803" s="11"/>
      <c r="L1803" s="11"/>
      <c r="M1803" s="11"/>
      <c r="N1803" s="44" t="n">
        <v>16.66</v>
      </c>
      <c r="O1803" s="11"/>
    </row>
    <row r="1804" customFormat="false" ht="14.25" hidden="false" customHeight="true" outlineLevel="0" collapsed="false">
      <c r="C1804" s="11"/>
      <c r="D1804" s="11"/>
      <c r="E1804" s="11"/>
      <c r="F1804" s="11"/>
      <c r="G1804" s="11"/>
      <c r="H1804" s="11"/>
      <c r="I1804" s="11"/>
      <c r="J1804" s="11"/>
      <c r="K1804" s="11"/>
      <c r="L1804" s="11"/>
      <c r="M1804" s="11"/>
      <c r="N1804" s="44" t="n">
        <v>16.18</v>
      </c>
      <c r="O1804" s="11"/>
    </row>
    <row r="1805" customFormat="false" ht="14.25" hidden="false" customHeight="true" outlineLevel="0" collapsed="false">
      <c r="C1805" s="11"/>
      <c r="D1805" s="11"/>
      <c r="E1805" s="11"/>
      <c r="F1805" s="11"/>
      <c r="G1805" s="11"/>
      <c r="H1805" s="11"/>
      <c r="I1805" s="11"/>
      <c r="J1805" s="11"/>
      <c r="K1805" s="11"/>
      <c r="L1805" s="11"/>
      <c r="M1805" s="11"/>
      <c r="N1805" s="44" t="n">
        <v>16.26</v>
      </c>
      <c r="O1805" s="11"/>
    </row>
    <row r="1806" customFormat="false" ht="14.25" hidden="false" customHeight="true" outlineLevel="0" collapsed="false">
      <c r="C1806" s="11"/>
      <c r="D1806" s="11"/>
      <c r="E1806" s="11"/>
      <c r="F1806" s="11"/>
      <c r="G1806" s="11"/>
      <c r="H1806" s="11"/>
      <c r="I1806" s="11"/>
      <c r="J1806" s="11"/>
      <c r="K1806" s="11"/>
      <c r="L1806" s="11"/>
      <c r="M1806" s="11"/>
      <c r="N1806" s="44" t="n">
        <v>16.49</v>
      </c>
      <c r="O1806" s="11"/>
    </row>
    <row r="1807" customFormat="false" ht="14.25" hidden="false" customHeight="true" outlineLevel="0" collapsed="false">
      <c r="C1807" s="11"/>
      <c r="D1807" s="11"/>
      <c r="E1807" s="11"/>
      <c r="F1807" s="11"/>
      <c r="G1807" s="11"/>
      <c r="H1807" s="11"/>
      <c r="I1807" s="11"/>
      <c r="J1807" s="11"/>
      <c r="K1807" s="11"/>
      <c r="L1807" s="11"/>
      <c r="M1807" s="11"/>
      <c r="N1807" s="44" t="n">
        <v>16.3</v>
      </c>
      <c r="O1807" s="11"/>
    </row>
    <row r="1808" customFormat="false" ht="14.25" hidden="false" customHeight="true" outlineLevel="0" collapsed="false">
      <c r="C1808" s="11"/>
      <c r="D1808" s="11"/>
      <c r="E1808" s="11"/>
      <c r="F1808" s="11"/>
      <c r="G1808" s="11"/>
      <c r="H1808" s="11"/>
      <c r="I1808" s="11"/>
      <c r="J1808" s="11"/>
      <c r="K1808" s="11"/>
      <c r="L1808" s="11"/>
      <c r="M1808" s="11"/>
      <c r="N1808" s="44" t="n">
        <v>16.33</v>
      </c>
      <c r="O1808" s="11"/>
    </row>
    <row r="1809" customFormat="false" ht="14.25" hidden="false" customHeight="true" outlineLevel="0" collapsed="false">
      <c r="C1809" s="11"/>
      <c r="D1809" s="11"/>
      <c r="E1809" s="11"/>
      <c r="F1809" s="11"/>
      <c r="G1809" s="11"/>
      <c r="H1809" s="11"/>
      <c r="I1809" s="11"/>
      <c r="J1809" s="11"/>
      <c r="K1809" s="11"/>
      <c r="L1809" s="11"/>
      <c r="M1809" s="11"/>
      <c r="N1809" s="44" t="n">
        <v>16.13</v>
      </c>
      <c r="O1809" s="11"/>
    </row>
    <row r="1810" customFormat="false" ht="14.25" hidden="false" customHeight="true" outlineLevel="0" collapsed="false">
      <c r="C1810" s="11"/>
      <c r="D1810" s="11"/>
      <c r="E1810" s="11"/>
      <c r="F1810" s="11"/>
      <c r="G1810" s="11"/>
      <c r="H1810" s="11"/>
      <c r="I1810" s="11"/>
      <c r="J1810" s="11"/>
      <c r="K1810" s="11"/>
      <c r="L1810" s="11"/>
      <c r="M1810" s="11"/>
      <c r="N1810" s="44" t="n">
        <v>16.93</v>
      </c>
      <c r="O1810" s="11"/>
    </row>
    <row r="1811" customFormat="false" ht="14.25" hidden="false" customHeight="true" outlineLevel="0" collapsed="false">
      <c r="C1811" s="11"/>
      <c r="D1811" s="11"/>
      <c r="E1811" s="11"/>
      <c r="F1811" s="11"/>
      <c r="G1811" s="11"/>
      <c r="H1811" s="11"/>
      <c r="I1811" s="11"/>
      <c r="J1811" s="11"/>
      <c r="K1811" s="11"/>
      <c r="L1811" s="11"/>
      <c r="M1811" s="11"/>
      <c r="N1811" s="44" t="n">
        <v>16.9</v>
      </c>
      <c r="O1811" s="11"/>
    </row>
    <row r="1812" customFormat="false" ht="14.25" hidden="false" customHeight="true" outlineLevel="0" collapsed="false">
      <c r="C1812" s="11"/>
      <c r="D1812" s="11"/>
      <c r="E1812" s="11"/>
      <c r="F1812" s="11"/>
      <c r="G1812" s="11"/>
      <c r="H1812" s="11"/>
      <c r="I1812" s="11"/>
      <c r="J1812" s="11"/>
      <c r="K1812" s="11"/>
      <c r="L1812" s="11"/>
      <c r="M1812" s="11"/>
      <c r="N1812" s="44" t="n">
        <v>16.93</v>
      </c>
      <c r="O1812" s="11"/>
    </row>
    <row r="1813" customFormat="false" ht="14.25" hidden="false" customHeight="true" outlineLevel="0" collapsed="false">
      <c r="C1813" s="11"/>
      <c r="D1813" s="11"/>
      <c r="E1813" s="11"/>
      <c r="F1813" s="11"/>
      <c r="G1813" s="11"/>
      <c r="H1813" s="11"/>
      <c r="I1813" s="11"/>
      <c r="J1813" s="11"/>
      <c r="K1813" s="11"/>
      <c r="L1813" s="11"/>
      <c r="M1813" s="11"/>
      <c r="N1813" s="44" t="n">
        <v>17.07</v>
      </c>
      <c r="O1813" s="11"/>
    </row>
    <row r="1814" customFormat="false" ht="14.25" hidden="false" customHeight="true" outlineLevel="0" collapsed="false">
      <c r="C1814" s="11"/>
      <c r="D1814" s="11"/>
      <c r="E1814" s="11"/>
      <c r="F1814" s="11"/>
      <c r="G1814" s="11"/>
      <c r="H1814" s="11"/>
      <c r="I1814" s="11"/>
      <c r="J1814" s="11"/>
      <c r="K1814" s="11"/>
      <c r="L1814" s="11"/>
      <c r="M1814" s="11"/>
      <c r="N1814" s="44" t="n">
        <v>16.94</v>
      </c>
      <c r="O1814" s="11"/>
    </row>
    <row r="1815" customFormat="false" ht="14.25" hidden="false" customHeight="true" outlineLevel="0" collapsed="false">
      <c r="C1815" s="11"/>
      <c r="D1815" s="11"/>
      <c r="E1815" s="11"/>
      <c r="F1815" s="11"/>
      <c r="G1815" s="11"/>
      <c r="H1815" s="11"/>
      <c r="I1815" s="11"/>
      <c r="J1815" s="11"/>
      <c r="K1815" s="11"/>
      <c r="L1815" s="11"/>
      <c r="M1815" s="11"/>
      <c r="N1815" s="44" t="n">
        <v>17.12</v>
      </c>
      <c r="O1815" s="11"/>
    </row>
    <row r="1816" customFormat="false" ht="14.25" hidden="false" customHeight="true" outlineLevel="0" collapsed="false">
      <c r="C1816" s="11"/>
      <c r="D1816" s="11"/>
      <c r="E1816" s="11"/>
      <c r="F1816" s="11"/>
      <c r="G1816" s="11"/>
      <c r="H1816" s="11"/>
      <c r="I1816" s="11"/>
      <c r="J1816" s="11"/>
      <c r="K1816" s="11"/>
      <c r="L1816" s="11"/>
      <c r="M1816" s="11"/>
      <c r="N1816" s="44" t="n">
        <v>16.94</v>
      </c>
      <c r="O1816" s="11"/>
    </row>
    <row r="1817" customFormat="false" ht="14.25" hidden="false" customHeight="true" outlineLevel="0" collapsed="false">
      <c r="C1817" s="11"/>
      <c r="D1817" s="11"/>
      <c r="E1817" s="11"/>
      <c r="F1817" s="11"/>
      <c r="G1817" s="11"/>
      <c r="H1817" s="11"/>
      <c r="I1817" s="11"/>
      <c r="J1817" s="11"/>
      <c r="K1817" s="11"/>
      <c r="L1817" s="11"/>
      <c r="M1817" s="11"/>
      <c r="N1817" s="44" t="n">
        <v>17.24</v>
      </c>
      <c r="O1817" s="11"/>
    </row>
    <row r="1818" customFormat="false" ht="14.25" hidden="false" customHeight="true" outlineLevel="0" collapsed="false">
      <c r="C1818" s="11"/>
      <c r="D1818" s="11"/>
      <c r="E1818" s="11"/>
      <c r="F1818" s="11"/>
      <c r="G1818" s="11"/>
      <c r="H1818" s="11"/>
      <c r="I1818" s="11"/>
      <c r="J1818" s="11"/>
      <c r="K1818" s="11"/>
      <c r="L1818" s="11"/>
      <c r="M1818" s="11"/>
      <c r="N1818" s="44" t="n">
        <v>17.52</v>
      </c>
      <c r="O1818" s="11"/>
    </row>
    <row r="1819" customFormat="false" ht="14.25" hidden="false" customHeight="true" outlineLevel="0" collapsed="false">
      <c r="C1819" s="11"/>
      <c r="D1819" s="11"/>
      <c r="E1819" s="11"/>
      <c r="F1819" s="11"/>
      <c r="G1819" s="11"/>
      <c r="H1819" s="11"/>
      <c r="I1819" s="11"/>
      <c r="J1819" s="11"/>
      <c r="K1819" s="11"/>
      <c r="L1819" s="11"/>
      <c r="M1819" s="11"/>
      <c r="N1819" s="44" t="n">
        <v>17.37</v>
      </c>
      <c r="O1819" s="11"/>
    </row>
    <row r="1820" customFormat="false" ht="14.25" hidden="false" customHeight="true" outlineLevel="0" collapsed="false">
      <c r="C1820" s="11"/>
      <c r="D1820" s="11"/>
      <c r="E1820" s="11"/>
      <c r="F1820" s="11"/>
      <c r="G1820" s="11"/>
      <c r="H1820" s="11"/>
      <c r="I1820" s="11"/>
      <c r="J1820" s="11"/>
      <c r="K1820" s="11"/>
      <c r="L1820" s="11"/>
      <c r="M1820" s="11"/>
      <c r="N1820" s="44" t="n">
        <v>17.36</v>
      </c>
      <c r="O1820" s="11"/>
    </row>
    <row r="1821" customFormat="false" ht="14.25" hidden="false" customHeight="true" outlineLevel="0" collapsed="false">
      <c r="C1821" s="11"/>
      <c r="D1821" s="11"/>
      <c r="E1821" s="11"/>
      <c r="F1821" s="11"/>
      <c r="G1821" s="11"/>
      <c r="H1821" s="11"/>
      <c r="I1821" s="11"/>
      <c r="J1821" s="11"/>
      <c r="K1821" s="11"/>
      <c r="L1821" s="11"/>
      <c r="M1821" s="11"/>
      <c r="N1821" s="44" t="n">
        <v>17.35</v>
      </c>
      <c r="O1821" s="11"/>
    </row>
    <row r="1822" customFormat="false" ht="14.25" hidden="false" customHeight="true" outlineLevel="0" collapsed="false">
      <c r="C1822" s="11"/>
      <c r="D1822" s="11"/>
      <c r="E1822" s="11"/>
      <c r="F1822" s="11"/>
      <c r="G1822" s="11"/>
      <c r="H1822" s="11"/>
      <c r="I1822" s="11"/>
      <c r="J1822" s="11"/>
      <c r="K1822" s="11"/>
      <c r="L1822" s="11"/>
      <c r="M1822" s="11"/>
      <c r="N1822" s="44" t="n">
        <v>17.05</v>
      </c>
      <c r="O1822" s="11"/>
    </row>
    <row r="1823" customFormat="false" ht="14.25" hidden="false" customHeight="true" outlineLevel="0" collapsed="false">
      <c r="C1823" s="11"/>
      <c r="D1823" s="11"/>
      <c r="E1823" s="11"/>
      <c r="F1823" s="11"/>
      <c r="G1823" s="11"/>
      <c r="H1823" s="11"/>
      <c r="I1823" s="11"/>
      <c r="J1823" s="11"/>
      <c r="K1823" s="11"/>
      <c r="L1823" s="11"/>
      <c r="M1823" s="11"/>
      <c r="N1823" s="44" t="n">
        <v>17.18</v>
      </c>
      <c r="O1823" s="11"/>
    </row>
    <row r="1824" customFormat="false" ht="14.25" hidden="false" customHeight="true" outlineLevel="0" collapsed="false">
      <c r="C1824" s="11"/>
      <c r="D1824" s="11"/>
      <c r="E1824" s="11"/>
      <c r="F1824" s="11"/>
      <c r="G1824" s="11"/>
      <c r="H1824" s="11"/>
      <c r="I1824" s="11"/>
      <c r="J1824" s="11"/>
      <c r="K1824" s="11"/>
      <c r="L1824" s="11"/>
      <c r="M1824" s="11"/>
      <c r="N1824" s="44" t="n">
        <v>17.45</v>
      </c>
      <c r="O1824" s="11"/>
    </row>
    <row r="1825" customFormat="false" ht="14.25" hidden="false" customHeight="true" outlineLevel="0" collapsed="false">
      <c r="C1825" s="11"/>
      <c r="D1825" s="11"/>
      <c r="E1825" s="11"/>
      <c r="F1825" s="11"/>
      <c r="G1825" s="11"/>
      <c r="H1825" s="11"/>
      <c r="I1825" s="11"/>
      <c r="J1825" s="11"/>
      <c r="K1825" s="11"/>
      <c r="L1825" s="11"/>
      <c r="M1825" s="11"/>
      <c r="N1825" s="44" t="n">
        <v>17.43</v>
      </c>
      <c r="O1825" s="11"/>
    </row>
    <row r="1826" customFormat="false" ht="14.25" hidden="false" customHeight="true" outlineLevel="0" collapsed="false">
      <c r="C1826" s="11"/>
      <c r="D1826" s="11"/>
      <c r="E1826" s="11"/>
      <c r="F1826" s="11"/>
      <c r="G1826" s="11"/>
      <c r="H1826" s="11"/>
      <c r="I1826" s="11"/>
      <c r="J1826" s="11"/>
      <c r="K1826" s="11"/>
      <c r="L1826" s="11"/>
      <c r="M1826" s="11"/>
      <c r="N1826" s="44" t="n">
        <v>17.52</v>
      </c>
      <c r="O1826" s="11"/>
    </row>
    <row r="1827" customFormat="false" ht="14.25" hidden="false" customHeight="true" outlineLevel="0" collapsed="false">
      <c r="C1827" s="11"/>
      <c r="D1827" s="11"/>
      <c r="E1827" s="11"/>
      <c r="F1827" s="11"/>
      <c r="G1827" s="11"/>
      <c r="H1827" s="11"/>
      <c r="I1827" s="11"/>
      <c r="J1827" s="11"/>
      <c r="K1827" s="11"/>
      <c r="L1827" s="11"/>
      <c r="M1827" s="11"/>
      <c r="N1827" s="44" t="n">
        <v>17.12</v>
      </c>
      <c r="O1827" s="11"/>
    </row>
    <row r="1828" customFormat="false" ht="14.25" hidden="false" customHeight="true" outlineLevel="0" collapsed="false">
      <c r="C1828" s="11"/>
      <c r="D1828" s="11"/>
      <c r="E1828" s="11"/>
      <c r="F1828" s="11"/>
      <c r="G1828" s="11"/>
      <c r="H1828" s="11"/>
      <c r="I1828" s="11"/>
      <c r="J1828" s="11"/>
      <c r="K1828" s="11"/>
      <c r="L1828" s="11"/>
      <c r="M1828" s="11"/>
      <c r="N1828" s="44" t="n">
        <v>16.74</v>
      </c>
      <c r="O1828" s="11"/>
    </row>
    <row r="1829" customFormat="false" ht="14.25" hidden="false" customHeight="true" outlineLevel="0" collapsed="false">
      <c r="C1829" s="11"/>
      <c r="D1829" s="11"/>
      <c r="E1829" s="11"/>
      <c r="F1829" s="11"/>
      <c r="G1829" s="11"/>
      <c r="H1829" s="11"/>
      <c r="I1829" s="11"/>
      <c r="J1829" s="11"/>
      <c r="K1829" s="11"/>
      <c r="L1829" s="11"/>
      <c r="M1829" s="11"/>
      <c r="N1829" s="44" t="n">
        <v>16.84</v>
      </c>
      <c r="O1829" s="11"/>
    </row>
    <row r="1830" customFormat="false" ht="14.25" hidden="false" customHeight="true" outlineLevel="0" collapsed="false">
      <c r="C1830" s="11"/>
      <c r="D1830" s="11"/>
      <c r="E1830" s="11"/>
      <c r="F1830" s="11"/>
      <c r="G1830" s="11"/>
      <c r="H1830" s="11"/>
      <c r="I1830" s="11"/>
      <c r="J1830" s="11"/>
      <c r="K1830" s="11"/>
      <c r="L1830" s="11"/>
      <c r="M1830" s="11"/>
      <c r="N1830" s="44" t="n">
        <v>17.1</v>
      </c>
      <c r="O1830" s="11"/>
    </row>
    <row r="1831" customFormat="false" ht="14.25" hidden="false" customHeight="true" outlineLevel="0" collapsed="false">
      <c r="C1831" s="11"/>
      <c r="D1831" s="11"/>
      <c r="E1831" s="11"/>
      <c r="F1831" s="11"/>
      <c r="G1831" s="11"/>
      <c r="H1831" s="11"/>
      <c r="I1831" s="11"/>
      <c r="J1831" s="11"/>
      <c r="K1831" s="11"/>
      <c r="L1831" s="11"/>
      <c r="M1831" s="11"/>
      <c r="N1831" s="44" t="n">
        <v>16.88</v>
      </c>
      <c r="O1831" s="11"/>
    </row>
    <row r="1832" customFormat="false" ht="14.25" hidden="false" customHeight="true" outlineLevel="0" collapsed="false">
      <c r="C1832" s="11"/>
      <c r="D1832" s="11"/>
      <c r="E1832" s="11"/>
      <c r="F1832" s="11"/>
      <c r="G1832" s="11"/>
      <c r="H1832" s="11"/>
      <c r="I1832" s="11"/>
      <c r="J1832" s="11"/>
      <c r="K1832" s="11"/>
      <c r="L1832" s="11"/>
      <c r="M1832" s="11"/>
      <c r="N1832" s="44" t="n">
        <v>17.35</v>
      </c>
      <c r="O1832" s="11"/>
    </row>
    <row r="1833" customFormat="false" ht="14.25" hidden="false" customHeight="true" outlineLevel="0" collapsed="false">
      <c r="C1833" s="11"/>
      <c r="D1833" s="11"/>
      <c r="E1833" s="11"/>
      <c r="F1833" s="11"/>
      <c r="G1833" s="11"/>
      <c r="H1833" s="11"/>
      <c r="I1833" s="11"/>
      <c r="J1833" s="11"/>
      <c r="K1833" s="11"/>
      <c r="L1833" s="11"/>
      <c r="M1833" s="11"/>
      <c r="N1833" s="44" t="n">
        <v>17.27</v>
      </c>
      <c r="O1833" s="11"/>
    </row>
    <row r="1834" customFormat="false" ht="14.25" hidden="false" customHeight="true" outlineLevel="0" collapsed="false">
      <c r="C1834" s="11"/>
      <c r="D1834" s="11"/>
      <c r="E1834" s="11"/>
      <c r="F1834" s="11"/>
      <c r="G1834" s="11"/>
      <c r="H1834" s="11"/>
      <c r="I1834" s="11"/>
      <c r="J1834" s="11"/>
      <c r="K1834" s="11"/>
      <c r="L1834" s="11"/>
      <c r="M1834" s="11"/>
      <c r="N1834" s="44" t="n">
        <v>16.91</v>
      </c>
      <c r="O1834" s="11"/>
    </row>
    <row r="1835" customFormat="false" ht="14.25" hidden="false" customHeight="true" outlineLevel="0" collapsed="false">
      <c r="C1835" s="11"/>
      <c r="D1835" s="11"/>
      <c r="E1835" s="11"/>
      <c r="F1835" s="11"/>
      <c r="G1835" s="11"/>
      <c r="H1835" s="11"/>
      <c r="I1835" s="11"/>
      <c r="J1835" s="11"/>
      <c r="K1835" s="11"/>
      <c r="L1835" s="11"/>
      <c r="M1835" s="11"/>
      <c r="N1835" s="44" t="n">
        <v>16.49</v>
      </c>
      <c r="O1835" s="11"/>
    </row>
    <row r="1836" customFormat="false" ht="14.25" hidden="false" customHeight="true" outlineLevel="0" collapsed="false">
      <c r="C1836" s="11"/>
      <c r="D1836" s="11"/>
      <c r="E1836" s="11"/>
      <c r="F1836" s="11"/>
      <c r="G1836" s="11"/>
      <c r="H1836" s="11"/>
      <c r="I1836" s="11"/>
      <c r="J1836" s="11"/>
      <c r="K1836" s="11"/>
      <c r="L1836" s="11"/>
      <c r="M1836" s="11"/>
      <c r="N1836" s="44" t="n">
        <v>16.43</v>
      </c>
      <c r="O1836" s="11"/>
    </row>
    <row r="1837" customFormat="false" ht="14.25" hidden="false" customHeight="true" outlineLevel="0" collapsed="false">
      <c r="C1837" s="11"/>
      <c r="D1837" s="11"/>
      <c r="E1837" s="11"/>
      <c r="F1837" s="11"/>
      <c r="G1837" s="11"/>
      <c r="H1837" s="11"/>
      <c r="I1837" s="11"/>
      <c r="J1837" s="11"/>
      <c r="K1837" s="11"/>
      <c r="L1837" s="11"/>
      <c r="M1837" s="11"/>
      <c r="N1837" s="44" t="n">
        <v>16.56</v>
      </c>
      <c r="O1837" s="11"/>
    </row>
    <row r="1838" customFormat="false" ht="14.25" hidden="false" customHeight="true" outlineLevel="0" collapsed="false">
      <c r="C1838" s="11"/>
      <c r="D1838" s="11"/>
      <c r="E1838" s="11"/>
      <c r="F1838" s="11"/>
      <c r="G1838" s="11"/>
      <c r="H1838" s="11"/>
      <c r="I1838" s="11"/>
      <c r="J1838" s="11"/>
      <c r="K1838" s="11"/>
      <c r="L1838" s="11"/>
      <c r="M1838" s="11"/>
      <c r="N1838" s="44" t="n">
        <v>16.7</v>
      </c>
      <c r="O1838" s="11"/>
    </row>
    <row r="1839" customFormat="false" ht="14.25" hidden="false" customHeight="true" outlineLevel="0" collapsed="false">
      <c r="C1839" s="11"/>
      <c r="D1839" s="11"/>
      <c r="E1839" s="11"/>
      <c r="F1839" s="11"/>
      <c r="G1839" s="11"/>
      <c r="H1839" s="11"/>
      <c r="I1839" s="11"/>
      <c r="J1839" s="11"/>
      <c r="K1839" s="11"/>
      <c r="L1839" s="11"/>
      <c r="M1839" s="11"/>
      <c r="N1839" s="44" t="n">
        <v>16.91</v>
      </c>
      <c r="O1839" s="11"/>
    </row>
    <row r="1840" customFormat="false" ht="14.25" hidden="false" customHeight="true" outlineLevel="0" collapsed="false">
      <c r="C1840" s="11"/>
      <c r="D1840" s="11"/>
      <c r="E1840" s="11"/>
      <c r="F1840" s="11"/>
      <c r="G1840" s="11"/>
      <c r="H1840" s="11"/>
      <c r="I1840" s="11"/>
      <c r="J1840" s="11"/>
      <c r="K1840" s="11"/>
      <c r="L1840" s="11"/>
      <c r="M1840" s="11"/>
      <c r="N1840" s="44" t="n">
        <v>16.79</v>
      </c>
      <c r="O1840" s="11"/>
    </row>
    <row r="1841" customFormat="false" ht="14.25" hidden="false" customHeight="true" outlineLevel="0" collapsed="false">
      <c r="C1841" s="11"/>
      <c r="D1841" s="11"/>
      <c r="E1841" s="11"/>
      <c r="F1841" s="11"/>
      <c r="G1841" s="11"/>
      <c r="H1841" s="11"/>
      <c r="I1841" s="11"/>
      <c r="J1841" s="11"/>
      <c r="K1841" s="11"/>
      <c r="L1841" s="11"/>
      <c r="M1841" s="11"/>
      <c r="N1841" s="44" t="n">
        <v>16.84</v>
      </c>
      <c r="O1841" s="11"/>
    </row>
    <row r="1842" customFormat="false" ht="14.25" hidden="false" customHeight="true" outlineLevel="0" collapsed="false">
      <c r="C1842" s="11"/>
      <c r="D1842" s="11"/>
      <c r="E1842" s="11"/>
      <c r="F1842" s="11"/>
      <c r="G1842" s="11"/>
      <c r="H1842" s="11"/>
      <c r="I1842" s="11"/>
      <c r="J1842" s="11"/>
      <c r="K1842" s="11"/>
      <c r="L1842" s="11"/>
      <c r="M1842" s="11"/>
      <c r="N1842" s="44" t="n">
        <v>16.83</v>
      </c>
      <c r="O1842" s="11"/>
    </row>
    <row r="1843" customFormat="false" ht="14.25" hidden="false" customHeight="true" outlineLevel="0" collapsed="false">
      <c r="C1843" s="11"/>
      <c r="D1843" s="11"/>
      <c r="E1843" s="11"/>
      <c r="F1843" s="11"/>
      <c r="G1843" s="11"/>
      <c r="H1843" s="11"/>
      <c r="I1843" s="11"/>
      <c r="J1843" s="11"/>
      <c r="K1843" s="11"/>
      <c r="L1843" s="11"/>
      <c r="M1843" s="11"/>
      <c r="N1843" s="44" t="n">
        <v>16.74</v>
      </c>
      <c r="O1843" s="11"/>
    </row>
    <row r="1844" customFormat="false" ht="14.25" hidden="false" customHeight="true" outlineLevel="0" collapsed="false">
      <c r="C1844" s="11"/>
      <c r="D1844" s="11"/>
      <c r="E1844" s="11"/>
      <c r="F1844" s="11"/>
      <c r="G1844" s="11"/>
      <c r="H1844" s="11"/>
      <c r="I1844" s="11"/>
      <c r="J1844" s="11"/>
      <c r="K1844" s="11"/>
      <c r="L1844" s="11"/>
      <c r="M1844" s="11"/>
      <c r="N1844" s="44" t="n">
        <v>16.31</v>
      </c>
      <c r="O1844" s="11"/>
    </row>
    <row r="1845" customFormat="false" ht="14.25" hidden="false" customHeight="true" outlineLevel="0" collapsed="false">
      <c r="C1845" s="11"/>
      <c r="D1845" s="11"/>
      <c r="E1845" s="11"/>
      <c r="F1845" s="11"/>
      <c r="G1845" s="11"/>
      <c r="H1845" s="11"/>
      <c r="I1845" s="11"/>
      <c r="J1845" s="11"/>
      <c r="K1845" s="11"/>
      <c r="L1845" s="11"/>
      <c r="M1845" s="11"/>
      <c r="N1845" s="44" t="n">
        <v>16.56</v>
      </c>
      <c r="O1845" s="11"/>
    </row>
    <row r="1846" customFormat="false" ht="14.25" hidden="false" customHeight="true" outlineLevel="0" collapsed="false">
      <c r="C1846" s="11"/>
      <c r="D1846" s="11"/>
      <c r="E1846" s="11"/>
      <c r="F1846" s="11"/>
      <c r="G1846" s="11"/>
      <c r="H1846" s="11"/>
      <c r="I1846" s="11"/>
      <c r="J1846" s="11"/>
      <c r="K1846" s="11"/>
      <c r="L1846" s="11"/>
      <c r="M1846" s="11"/>
      <c r="N1846" s="44" t="n">
        <v>16.31</v>
      </c>
      <c r="O1846" s="11"/>
    </row>
    <row r="1847" customFormat="false" ht="14.25" hidden="false" customHeight="true" outlineLevel="0" collapsed="false">
      <c r="C1847" s="11"/>
      <c r="D1847" s="11"/>
      <c r="E1847" s="11"/>
      <c r="F1847" s="11"/>
      <c r="G1847" s="11"/>
      <c r="H1847" s="11"/>
      <c r="I1847" s="11"/>
      <c r="J1847" s="11"/>
      <c r="K1847" s="11"/>
      <c r="L1847" s="11"/>
      <c r="M1847" s="11"/>
      <c r="N1847" s="44" t="n">
        <v>16.31</v>
      </c>
      <c r="O1847" s="11"/>
    </row>
    <row r="1848" customFormat="false" ht="14.25" hidden="false" customHeight="true" outlineLevel="0" collapsed="false">
      <c r="C1848" s="11"/>
      <c r="D1848" s="11"/>
      <c r="E1848" s="11"/>
      <c r="F1848" s="11"/>
      <c r="G1848" s="11"/>
      <c r="H1848" s="11"/>
      <c r="I1848" s="11"/>
      <c r="J1848" s="11"/>
      <c r="K1848" s="11"/>
      <c r="L1848" s="11"/>
      <c r="M1848" s="11"/>
      <c r="N1848" s="44" t="n">
        <v>16.45</v>
      </c>
      <c r="O1848" s="11"/>
    </row>
    <row r="1849" customFormat="false" ht="14.25" hidden="false" customHeight="true" outlineLevel="0" collapsed="false">
      <c r="C1849" s="11"/>
      <c r="D1849" s="11"/>
      <c r="E1849" s="11"/>
      <c r="F1849" s="11"/>
      <c r="G1849" s="11"/>
      <c r="H1849" s="11"/>
      <c r="I1849" s="11"/>
      <c r="J1849" s="11"/>
      <c r="K1849" s="11"/>
      <c r="L1849" s="11"/>
      <c r="M1849" s="11"/>
      <c r="N1849" s="44" t="n">
        <v>16.59</v>
      </c>
      <c r="O1849" s="11"/>
    </row>
    <row r="1850" customFormat="false" ht="14.25" hidden="false" customHeight="true" outlineLevel="0" collapsed="false">
      <c r="C1850" s="11"/>
      <c r="D1850" s="11"/>
      <c r="E1850" s="11"/>
      <c r="F1850" s="11"/>
      <c r="G1850" s="11"/>
      <c r="H1850" s="11"/>
      <c r="I1850" s="11"/>
      <c r="J1850" s="11"/>
      <c r="K1850" s="11"/>
      <c r="L1850" s="11"/>
      <c r="M1850" s="11"/>
      <c r="N1850" s="44" t="n">
        <v>16.56</v>
      </c>
      <c r="O1850" s="11"/>
    </row>
    <row r="1851" customFormat="false" ht="14.25" hidden="false" customHeight="true" outlineLevel="0" collapsed="false">
      <c r="C1851" s="11"/>
      <c r="D1851" s="11"/>
      <c r="E1851" s="11"/>
      <c r="F1851" s="11"/>
      <c r="G1851" s="11"/>
      <c r="H1851" s="11"/>
      <c r="I1851" s="11"/>
      <c r="J1851" s="11"/>
      <c r="K1851" s="11"/>
      <c r="L1851" s="11"/>
      <c r="M1851" s="11"/>
      <c r="N1851" s="44" t="n">
        <v>17</v>
      </c>
      <c r="O1851" s="11"/>
    </row>
    <row r="1852" customFormat="false" ht="14.25" hidden="false" customHeight="true" outlineLevel="0" collapsed="false">
      <c r="C1852" s="11"/>
      <c r="D1852" s="11"/>
      <c r="E1852" s="11"/>
      <c r="F1852" s="11"/>
      <c r="G1852" s="11"/>
      <c r="H1852" s="11"/>
      <c r="I1852" s="11"/>
      <c r="J1852" s="11"/>
      <c r="K1852" s="11"/>
      <c r="L1852" s="11"/>
      <c r="M1852" s="11"/>
      <c r="N1852" s="44" t="n">
        <v>16.87</v>
      </c>
      <c r="O1852" s="11"/>
    </row>
    <row r="1853" customFormat="false" ht="14.25" hidden="false" customHeight="true" outlineLevel="0" collapsed="false">
      <c r="C1853" s="11"/>
      <c r="D1853" s="11"/>
      <c r="E1853" s="11"/>
      <c r="F1853" s="11"/>
      <c r="G1853" s="11"/>
      <c r="H1853" s="11"/>
      <c r="I1853" s="11"/>
      <c r="J1853" s="11"/>
      <c r="K1853" s="11"/>
      <c r="L1853" s="11"/>
      <c r="M1853" s="11"/>
      <c r="N1853" s="44" t="n">
        <v>16.91</v>
      </c>
      <c r="O1853" s="11"/>
    </row>
    <row r="1854" customFormat="false" ht="14.25" hidden="false" customHeight="true" outlineLevel="0" collapsed="false">
      <c r="C1854" s="11"/>
      <c r="D1854" s="11"/>
      <c r="E1854" s="11"/>
      <c r="F1854" s="11"/>
      <c r="G1854" s="11"/>
      <c r="H1854" s="11"/>
      <c r="I1854" s="11"/>
      <c r="J1854" s="11"/>
      <c r="K1854" s="11"/>
      <c r="L1854" s="11"/>
      <c r="M1854" s="11"/>
      <c r="N1854" s="44" t="n">
        <v>16.97</v>
      </c>
      <c r="O1854" s="11"/>
    </row>
    <row r="1855" customFormat="false" ht="14.25" hidden="false" customHeight="true" outlineLevel="0" collapsed="false">
      <c r="C1855" s="11"/>
      <c r="D1855" s="11"/>
      <c r="E1855" s="11"/>
      <c r="F1855" s="11"/>
      <c r="G1855" s="11"/>
      <c r="H1855" s="11"/>
      <c r="I1855" s="11"/>
      <c r="J1855" s="11"/>
      <c r="K1855" s="11"/>
      <c r="L1855" s="11"/>
      <c r="M1855" s="11"/>
      <c r="N1855" s="44" t="n">
        <v>17.18</v>
      </c>
      <c r="O1855" s="11"/>
    </row>
    <row r="1856" customFormat="false" ht="14.25" hidden="false" customHeight="true" outlineLevel="0" collapsed="false">
      <c r="C1856" s="11"/>
      <c r="D1856" s="11"/>
      <c r="E1856" s="11"/>
      <c r="F1856" s="11"/>
      <c r="G1856" s="11"/>
      <c r="H1856" s="11"/>
      <c r="I1856" s="11"/>
      <c r="J1856" s="11"/>
      <c r="K1856" s="11"/>
      <c r="L1856" s="11"/>
      <c r="M1856" s="11"/>
      <c r="N1856" s="44" t="n">
        <v>17.29</v>
      </c>
      <c r="O1856" s="11"/>
    </row>
    <row r="1857" customFormat="false" ht="14.25" hidden="false" customHeight="true" outlineLevel="0" collapsed="false">
      <c r="C1857" s="11"/>
      <c r="D1857" s="11"/>
      <c r="E1857" s="11"/>
      <c r="F1857" s="11"/>
      <c r="G1857" s="11"/>
      <c r="H1857" s="11"/>
      <c r="I1857" s="11"/>
      <c r="J1857" s="11"/>
      <c r="K1857" s="11"/>
      <c r="L1857" s="11"/>
      <c r="M1857" s="11"/>
      <c r="N1857" s="44" t="n">
        <v>17.17</v>
      </c>
      <c r="O1857" s="11"/>
    </row>
    <row r="1858" customFormat="false" ht="14.25" hidden="false" customHeight="true" outlineLevel="0" collapsed="false">
      <c r="C1858" s="11"/>
      <c r="D1858" s="11"/>
      <c r="E1858" s="11"/>
      <c r="F1858" s="11"/>
      <c r="G1858" s="11"/>
      <c r="H1858" s="11"/>
      <c r="I1858" s="11"/>
      <c r="J1858" s="11"/>
      <c r="K1858" s="11"/>
      <c r="L1858" s="11"/>
      <c r="M1858" s="11"/>
      <c r="N1858" s="44" t="n">
        <v>16.9</v>
      </c>
      <c r="O1858" s="11"/>
    </row>
    <row r="1859" customFormat="false" ht="14.25" hidden="false" customHeight="true" outlineLevel="0" collapsed="false">
      <c r="C1859" s="11"/>
      <c r="D1859" s="11"/>
      <c r="E1859" s="11"/>
      <c r="F1859" s="11"/>
      <c r="G1859" s="11"/>
      <c r="H1859" s="11"/>
      <c r="I1859" s="11"/>
      <c r="J1859" s="11"/>
      <c r="K1859" s="11"/>
      <c r="L1859" s="11"/>
      <c r="M1859" s="11"/>
      <c r="N1859" s="44" t="n">
        <v>16.79</v>
      </c>
      <c r="O1859" s="11"/>
    </row>
    <row r="1860" customFormat="false" ht="14.25" hidden="false" customHeight="true" outlineLevel="0" collapsed="false">
      <c r="C1860" s="11"/>
      <c r="D1860" s="11"/>
      <c r="E1860" s="11"/>
      <c r="F1860" s="11"/>
      <c r="G1860" s="11"/>
      <c r="H1860" s="11"/>
      <c r="I1860" s="11"/>
      <c r="J1860" s="11"/>
      <c r="K1860" s="11"/>
      <c r="L1860" s="11"/>
      <c r="M1860" s="11"/>
      <c r="N1860" s="44" t="n">
        <v>16.33</v>
      </c>
      <c r="O1860" s="11"/>
    </row>
    <row r="1861" customFormat="false" ht="14.25" hidden="false" customHeight="true" outlineLevel="0" collapsed="false">
      <c r="C1861" s="11"/>
      <c r="D1861" s="11"/>
      <c r="E1861" s="11"/>
      <c r="F1861" s="11"/>
      <c r="G1861" s="11"/>
      <c r="H1861" s="11"/>
      <c r="I1861" s="11"/>
      <c r="J1861" s="11"/>
      <c r="K1861" s="11"/>
      <c r="L1861" s="11"/>
      <c r="M1861" s="11"/>
      <c r="N1861" s="44" t="n">
        <v>16.4</v>
      </c>
      <c r="O1861" s="11"/>
    </row>
    <row r="1862" customFormat="false" ht="14.25" hidden="false" customHeight="true" outlineLevel="0" collapsed="false">
      <c r="C1862" s="11"/>
      <c r="D1862" s="11"/>
      <c r="E1862" s="11"/>
      <c r="F1862" s="11"/>
      <c r="G1862" s="11"/>
      <c r="H1862" s="11"/>
      <c r="I1862" s="11"/>
      <c r="J1862" s="11"/>
      <c r="K1862" s="11"/>
      <c r="L1862" s="11"/>
      <c r="M1862" s="11"/>
      <c r="N1862" s="44" t="n">
        <v>16.3</v>
      </c>
      <c r="O1862" s="11"/>
    </row>
    <row r="1863" customFormat="false" ht="14.25" hidden="false" customHeight="true" outlineLevel="0" collapsed="false">
      <c r="C1863" s="11"/>
      <c r="D1863" s="11"/>
      <c r="E1863" s="11"/>
      <c r="F1863" s="11"/>
      <c r="G1863" s="11"/>
      <c r="H1863" s="11"/>
      <c r="I1863" s="11"/>
      <c r="J1863" s="11"/>
      <c r="K1863" s="11"/>
      <c r="L1863" s="11"/>
      <c r="M1863" s="11"/>
      <c r="N1863" s="44" t="n">
        <v>16.38</v>
      </c>
      <c r="O1863" s="11"/>
    </row>
    <row r="1864" customFormat="false" ht="14.25" hidden="false" customHeight="true" outlineLevel="0" collapsed="false">
      <c r="C1864" s="11"/>
      <c r="D1864" s="11"/>
      <c r="E1864" s="11"/>
      <c r="F1864" s="11"/>
      <c r="G1864" s="11"/>
      <c r="H1864" s="11"/>
      <c r="I1864" s="11"/>
      <c r="J1864" s="11"/>
      <c r="K1864" s="11"/>
      <c r="L1864" s="11"/>
      <c r="M1864" s="11"/>
      <c r="N1864" s="44" t="n">
        <v>16.71</v>
      </c>
      <c r="O1864" s="11"/>
    </row>
    <row r="1865" customFormat="false" ht="14.25" hidden="false" customHeight="true" outlineLevel="0" collapsed="false">
      <c r="C1865" s="11"/>
      <c r="D1865" s="11"/>
      <c r="E1865" s="11"/>
      <c r="F1865" s="11"/>
      <c r="G1865" s="11"/>
      <c r="H1865" s="11"/>
      <c r="I1865" s="11"/>
      <c r="J1865" s="11"/>
      <c r="K1865" s="11"/>
      <c r="L1865" s="11"/>
      <c r="M1865" s="11"/>
      <c r="N1865" s="44" t="n">
        <v>16.99</v>
      </c>
      <c r="O1865" s="11"/>
    </row>
    <row r="1866" customFormat="false" ht="14.25" hidden="false" customHeight="true" outlineLevel="0" collapsed="false">
      <c r="C1866" s="11"/>
      <c r="D1866" s="11"/>
      <c r="E1866" s="11"/>
      <c r="F1866" s="11"/>
      <c r="G1866" s="11"/>
      <c r="H1866" s="11"/>
      <c r="I1866" s="11"/>
      <c r="J1866" s="11"/>
      <c r="K1866" s="11"/>
      <c r="L1866" s="11"/>
      <c r="M1866" s="11"/>
      <c r="N1866" s="44" t="n">
        <v>16.96</v>
      </c>
      <c r="O1866" s="11"/>
    </row>
    <row r="1867" customFormat="false" ht="14.25" hidden="false" customHeight="true" outlineLevel="0" collapsed="false">
      <c r="C1867" s="11"/>
      <c r="D1867" s="11"/>
      <c r="E1867" s="11"/>
      <c r="F1867" s="11"/>
      <c r="G1867" s="11"/>
      <c r="H1867" s="11"/>
      <c r="I1867" s="11"/>
      <c r="J1867" s="11"/>
      <c r="K1867" s="11"/>
      <c r="L1867" s="11"/>
      <c r="M1867" s="11"/>
      <c r="N1867" s="44" t="n">
        <v>16.7</v>
      </c>
      <c r="O1867" s="11"/>
    </row>
    <row r="1868" customFormat="false" ht="14.25" hidden="false" customHeight="true" outlineLevel="0" collapsed="false">
      <c r="C1868" s="11"/>
      <c r="D1868" s="11"/>
      <c r="E1868" s="11"/>
      <c r="F1868" s="11"/>
      <c r="G1868" s="11"/>
      <c r="H1868" s="11"/>
      <c r="I1868" s="11"/>
      <c r="J1868" s="11"/>
      <c r="K1868" s="11"/>
      <c r="L1868" s="11"/>
      <c r="M1868" s="11"/>
      <c r="N1868" s="44" t="n">
        <v>17.06</v>
      </c>
      <c r="O1868" s="11"/>
    </row>
    <row r="1869" customFormat="false" ht="14.25" hidden="false" customHeight="true" outlineLevel="0" collapsed="false">
      <c r="C1869" s="11"/>
      <c r="D1869" s="11"/>
      <c r="E1869" s="11"/>
      <c r="F1869" s="11"/>
      <c r="G1869" s="11"/>
      <c r="H1869" s="11"/>
      <c r="I1869" s="11"/>
      <c r="J1869" s="11"/>
      <c r="K1869" s="11"/>
      <c r="L1869" s="11"/>
      <c r="M1869" s="11"/>
      <c r="N1869" s="44" t="n">
        <v>17.33</v>
      </c>
      <c r="O1869" s="11"/>
    </row>
    <row r="1870" customFormat="false" ht="14.25" hidden="false" customHeight="true" outlineLevel="0" collapsed="false">
      <c r="C1870" s="11"/>
      <c r="D1870" s="11"/>
      <c r="E1870" s="11"/>
      <c r="F1870" s="11"/>
      <c r="G1870" s="11"/>
      <c r="H1870" s="11"/>
      <c r="I1870" s="11"/>
      <c r="J1870" s="11"/>
      <c r="K1870" s="11"/>
      <c r="L1870" s="11"/>
      <c r="M1870" s="11"/>
      <c r="N1870" s="44" t="n">
        <v>17.55</v>
      </c>
      <c r="O1870" s="11"/>
    </row>
    <row r="1871" customFormat="false" ht="14.25" hidden="false" customHeight="true" outlineLevel="0" collapsed="false">
      <c r="C1871" s="11"/>
      <c r="D1871" s="11"/>
      <c r="E1871" s="11"/>
      <c r="F1871" s="11"/>
      <c r="G1871" s="11"/>
      <c r="H1871" s="11"/>
      <c r="I1871" s="11"/>
      <c r="J1871" s="11"/>
      <c r="K1871" s="11"/>
      <c r="L1871" s="11"/>
      <c r="M1871" s="11"/>
      <c r="N1871" s="44" t="n">
        <v>17.38</v>
      </c>
      <c r="O1871" s="11"/>
    </row>
    <row r="1872" customFormat="false" ht="14.25" hidden="false" customHeight="true" outlineLevel="0" collapsed="false">
      <c r="C1872" s="11"/>
      <c r="D1872" s="11"/>
      <c r="E1872" s="11"/>
      <c r="F1872" s="11"/>
      <c r="G1872" s="11"/>
      <c r="H1872" s="11"/>
      <c r="I1872" s="11"/>
      <c r="J1872" s="11"/>
      <c r="K1872" s="11"/>
      <c r="L1872" s="11"/>
      <c r="M1872" s="11"/>
      <c r="N1872" s="44" t="n">
        <v>17.09</v>
      </c>
      <c r="O1872" s="11"/>
    </row>
    <row r="1873" customFormat="false" ht="14.25" hidden="false" customHeight="true" outlineLevel="0" collapsed="false">
      <c r="C1873" s="11"/>
      <c r="D1873" s="11"/>
      <c r="E1873" s="11"/>
      <c r="F1873" s="11"/>
      <c r="G1873" s="11"/>
      <c r="H1873" s="11"/>
      <c r="I1873" s="11"/>
      <c r="J1873" s="11"/>
      <c r="K1873" s="11"/>
      <c r="L1873" s="11"/>
      <c r="M1873" s="11"/>
      <c r="N1873" s="44" t="n">
        <v>17.12</v>
      </c>
      <c r="O1873" s="11"/>
    </row>
    <row r="1874" customFormat="false" ht="14.25" hidden="false" customHeight="true" outlineLevel="0" collapsed="false">
      <c r="C1874" s="11"/>
      <c r="D1874" s="11"/>
      <c r="E1874" s="11"/>
      <c r="F1874" s="11"/>
      <c r="G1874" s="11"/>
      <c r="H1874" s="11"/>
      <c r="I1874" s="11"/>
      <c r="J1874" s="11"/>
      <c r="K1874" s="11"/>
      <c r="L1874" s="11"/>
      <c r="M1874" s="11"/>
      <c r="N1874" s="44" t="n">
        <v>16.77</v>
      </c>
      <c r="O1874" s="11"/>
    </row>
    <row r="1875" customFormat="false" ht="14.25" hidden="false" customHeight="true" outlineLevel="0" collapsed="false">
      <c r="C1875" s="11"/>
      <c r="D1875" s="11"/>
      <c r="E1875" s="11"/>
      <c r="F1875" s="11"/>
      <c r="G1875" s="11"/>
      <c r="H1875" s="11"/>
      <c r="I1875" s="11"/>
      <c r="J1875" s="11"/>
      <c r="K1875" s="11"/>
      <c r="L1875" s="11"/>
      <c r="M1875" s="11"/>
      <c r="N1875" s="44" t="n">
        <v>16.51</v>
      </c>
      <c r="O1875" s="11"/>
    </row>
    <row r="1876" customFormat="false" ht="14.25" hidden="false" customHeight="true" outlineLevel="0" collapsed="false">
      <c r="C1876" s="11"/>
      <c r="D1876" s="11"/>
      <c r="E1876" s="11"/>
      <c r="F1876" s="11"/>
      <c r="G1876" s="11"/>
      <c r="H1876" s="11"/>
      <c r="I1876" s="11"/>
      <c r="J1876" s="11"/>
      <c r="K1876" s="11"/>
      <c r="L1876" s="11"/>
      <c r="M1876" s="11"/>
      <c r="N1876" s="44" t="n">
        <v>16.5</v>
      </c>
      <c r="O1876" s="11"/>
    </row>
    <row r="1877" customFormat="false" ht="14.25" hidden="false" customHeight="true" outlineLevel="0" collapsed="false">
      <c r="C1877" s="11"/>
      <c r="D1877" s="11"/>
      <c r="E1877" s="11"/>
      <c r="F1877" s="11"/>
      <c r="G1877" s="11"/>
      <c r="H1877" s="11"/>
      <c r="I1877" s="11"/>
      <c r="J1877" s="11"/>
      <c r="K1877" s="11"/>
      <c r="L1877" s="11"/>
      <c r="M1877" s="11"/>
      <c r="N1877" s="44" t="n">
        <v>16.64</v>
      </c>
      <c r="O1877" s="11"/>
    </row>
    <row r="1878" customFormat="false" ht="14.25" hidden="false" customHeight="true" outlineLevel="0" collapsed="false">
      <c r="C1878" s="11"/>
      <c r="D1878" s="11"/>
      <c r="E1878" s="11"/>
      <c r="F1878" s="11"/>
      <c r="G1878" s="11"/>
      <c r="H1878" s="11"/>
      <c r="I1878" s="11"/>
      <c r="J1878" s="11"/>
      <c r="K1878" s="11"/>
      <c r="L1878" s="11"/>
      <c r="M1878" s="11"/>
      <c r="N1878" s="44" t="n">
        <v>16.42</v>
      </c>
      <c r="O1878" s="11"/>
    </row>
    <row r="1879" customFormat="false" ht="14.25" hidden="false" customHeight="true" outlineLevel="0" collapsed="false">
      <c r="C1879" s="11"/>
      <c r="D1879" s="11"/>
      <c r="E1879" s="11"/>
      <c r="F1879" s="11"/>
      <c r="G1879" s="11"/>
      <c r="H1879" s="11"/>
      <c r="I1879" s="11"/>
      <c r="J1879" s="11"/>
      <c r="K1879" s="11"/>
      <c r="L1879" s="11"/>
      <c r="M1879" s="11"/>
      <c r="N1879" s="44" t="n">
        <v>16.46</v>
      </c>
      <c r="O1879" s="11"/>
    </row>
    <row r="1880" customFormat="false" ht="14.25" hidden="false" customHeight="true" outlineLevel="0" collapsed="false">
      <c r="C1880" s="11"/>
      <c r="D1880" s="11"/>
      <c r="E1880" s="11"/>
      <c r="F1880" s="11"/>
      <c r="G1880" s="11"/>
      <c r="H1880" s="11"/>
      <c r="I1880" s="11"/>
      <c r="J1880" s="11"/>
      <c r="K1880" s="11"/>
      <c r="L1880" s="11"/>
      <c r="M1880" s="11"/>
      <c r="N1880" s="44" t="n">
        <v>16.47</v>
      </c>
      <c r="O1880" s="11"/>
    </row>
    <row r="1881" customFormat="false" ht="14.25" hidden="false" customHeight="true" outlineLevel="0" collapsed="false">
      <c r="C1881" s="11"/>
      <c r="D1881" s="11"/>
      <c r="E1881" s="11"/>
      <c r="F1881" s="11"/>
      <c r="G1881" s="11"/>
      <c r="H1881" s="11"/>
      <c r="I1881" s="11"/>
      <c r="J1881" s="11"/>
      <c r="K1881" s="11"/>
      <c r="L1881" s="11"/>
      <c r="M1881" s="11"/>
      <c r="N1881" s="44" t="n">
        <v>16.49</v>
      </c>
      <c r="O1881" s="11"/>
    </row>
    <row r="1882" customFormat="false" ht="14.25" hidden="false" customHeight="true" outlineLevel="0" collapsed="false">
      <c r="C1882" s="11"/>
      <c r="D1882" s="11"/>
      <c r="E1882" s="11"/>
      <c r="F1882" s="11"/>
      <c r="G1882" s="11"/>
      <c r="H1882" s="11"/>
      <c r="I1882" s="11"/>
      <c r="J1882" s="11"/>
      <c r="K1882" s="11"/>
      <c r="L1882" s="11"/>
      <c r="M1882" s="11"/>
      <c r="N1882" s="44" t="n">
        <v>16.49</v>
      </c>
      <c r="O1882" s="11"/>
    </row>
    <row r="1883" customFormat="false" ht="14.25" hidden="false" customHeight="true" outlineLevel="0" collapsed="false">
      <c r="C1883" s="11"/>
      <c r="D1883" s="11"/>
      <c r="E1883" s="11"/>
      <c r="F1883" s="11"/>
      <c r="G1883" s="11"/>
      <c r="H1883" s="11"/>
      <c r="I1883" s="11"/>
      <c r="J1883" s="11"/>
      <c r="K1883" s="11"/>
      <c r="L1883" s="11"/>
      <c r="M1883" s="11"/>
      <c r="N1883" s="44" t="n">
        <v>16.01</v>
      </c>
      <c r="O1883" s="11"/>
    </row>
    <row r="1884" customFormat="false" ht="14.25" hidden="false" customHeight="true" outlineLevel="0" collapsed="false">
      <c r="C1884" s="11"/>
      <c r="D1884" s="11"/>
      <c r="E1884" s="11"/>
      <c r="F1884" s="11"/>
      <c r="G1884" s="11"/>
      <c r="H1884" s="11"/>
      <c r="I1884" s="11"/>
      <c r="J1884" s="11"/>
      <c r="K1884" s="11"/>
      <c r="L1884" s="11"/>
      <c r="M1884" s="11"/>
      <c r="N1884" s="44" t="n">
        <v>15.93</v>
      </c>
      <c r="O1884" s="11"/>
    </row>
    <row r="1885" customFormat="false" ht="14.25" hidden="false" customHeight="true" outlineLevel="0" collapsed="false">
      <c r="C1885" s="11"/>
      <c r="D1885" s="11"/>
      <c r="E1885" s="11"/>
      <c r="F1885" s="11"/>
      <c r="G1885" s="11"/>
      <c r="H1885" s="11"/>
      <c r="I1885" s="11"/>
      <c r="J1885" s="11"/>
      <c r="K1885" s="11"/>
      <c r="L1885" s="11"/>
      <c r="M1885" s="11"/>
      <c r="N1885" s="44" t="n">
        <v>16.13</v>
      </c>
      <c r="O1885" s="11"/>
    </row>
    <row r="1886" customFormat="false" ht="14.25" hidden="false" customHeight="true" outlineLevel="0" collapsed="false">
      <c r="C1886" s="11"/>
      <c r="D1886" s="11"/>
      <c r="E1886" s="11"/>
      <c r="F1886" s="11"/>
      <c r="G1886" s="11"/>
      <c r="H1886" s="11"/>
      <c r="I1886" s="11"/>
      <c r="J1886" s="11"/>
      <c r="K1886" s="11"/>
      <c r="L1886" s="11"/>
      <c r="M1886" s="11"/>
      <c r="N1886" s="44" t="n">
        <v>16.2</v>
      </c>
      <c r="O1886" s="11"/>
    </row>
    <row r="1887" customFormat="false" ht="14.25" hidden="false" customHeight="true" outlineLevel="0" collapsed="false">
      <c r="C1887" s="11"/>
      <c r="D1887" s="11"/>
      <c r="E1887" s="11"/>
      <c r="F1887" s="11"/>
      <c r="G1887" s="11"/>
      <c r="H1887" s="11"/>
      <c r="I1887" s="11"/>
      <c r="J1887" s="11"/>
      <c r="K1887" s="11"/>
      <c r="L1887" s="11"/>
      <c r="M1887" s="11"/>
      <c r="N1887" s="44" t="n">
        <v>16.29</v>
      </c>
      <c r="O1887" s="11"/>
    </row>
    <row r="1888" customFormat="false" ht="14.25" hidden="false" customHeight="true" outlineLevel="0" collapsed="false">
      <c r="C1888" s="11"/>
      <c r="D1888" s="11"/>
      <c r="E1888" s="11"/>
      <c r="F1888" s="11"/>
      <c r="G1888" s="11"/>
      <c r="H1888" s="11"/>
      <c r="I1888" s="11"/>
      <c r="J1888" s="11"/>
      <c r="K1888" s="11"/>
      <c r="L1888" s="11"/>
      <c r="M1888" s="11"/>
      <c r="N1888" s="44" t="n">
        <v>16.26</v>
      </c>
      <c r="O1888" s="11"/>
    </row>
    <row r="1889" customFormat="false" ht="14.25" hidden="false" customHeight="true" outlineLevel="0" collapsed="false">
      <c r="C1889" s="11"/>
      <c r="D1889" s="11"/>
      <c r="E1889" s="11"/>
      <c r="F1889" s="11"/>
      <c r="G1889" s="11"/>
      <c r="H1889" s="11"/>
      <c r="I1889" s="11"/>
      <c r="J1889" s="11"/>
      <c r="K1889" s="11"/>
      <c r="L1889" s="11"/>
      <c r="M1889" s="11"/>
      <c r="N1889" s="44" t="n">
        <v>16.35</v>
      </c>
      <c r="O1889" s="11"/>
    </row>
    <row r="1890" customFormat="false" ht="14.25" hidden="false" customHeight="true" outlineLevel="0" collapsed="false">
      <c r="C1890" s="11"/>
      <c r="D1890" s="11"/>
      <c r="E1890" s="11"/>
      <c r="F1890" s="11"/>
      <c r="G1890" s="11"/>
      <c r="H1890" s="11"/>
      <c r="I1890" s="11"/>
      <c r="J1890" s="11"/>
      <c r="K1890" s="11"/>
      <c r="L1890" s="11"/>
      <c r="M1890" s="11"/>
      <c r="N1890" s="44" t="n">
        <v>16.52</v>
      </c>
      <c r="O1890" s="11"/>
    </row>
    <row r="1891" customFormat="false" ht="14.25" hidden="false" customHeight="true" outlineLevel="0" collapsed="false">
      <c r="C1891" s="11"/>
      <c r="D1891" s="11"/>
      <c r="E1891" s="11"/>
      <c r="F1891" s="11"/>
      <c r="G1891" s="11"/>
      <c r="H1891" s="11"/>
      <c r="I1891" s="11"/>
      <c r="J1891" s="11"/>
      <c r="K1891" s="11"/>
      <c r="L1891" s="11"/>
      <c r="M1891" s="11"/>
      <c r="N1891" s="44" t="n">
        <v>16.04</v>
      </c>
      <c r="O1891" s="11"/>
    </row>
    <row r="1892" customFormat="false" ht="14.25" hidden="false" customHeight="true" outlineLevel="0" collapsed="false">
      <c r="C1892" s="11"/>
      <c r="D1892" s="11"/>
      <c r="E1892" s="11"/>
      <c r="F1892" s="11"/>
      <c r="G1892" s="11"/>
      <c r="H1892" s="11"/>
      <c r="I1892" s="11"/>
      <c r="J1892" s="11"/>
      <c r="K1892" s="11"/>
      <c r="L1892" s="11"/>
      <c r="M1892" s="11"/>
      <c r="N1892" s="44" t="n">
        <v>15.93</v>
      </c>
      <c r="O1892" s="11"/>
    </row>
    <row r="1893" customFormat="false" ht="14.25" hidden="false" customHeight="true" outlineLevel="0" collapsed="false">
      <c r="C1893" s="11"/>
      <c r="D1893" s="11"/>
      <c r="E1893" s="11"/>
      <c r="F1893" s="11"/>
      <c r="G1893" s="11"/>
      <c r="H1893" s="11"/>
      <c r="I1893" s="11"/>
      <c r="J1893" s="11"/>
      <c r="K1893" s="11"/>
      <c r="L1893" s="11"/>
      <c r="M1893" s="11"/>
      <c r="N1893" s="44" t="n">
        <v>15.82</v>
      </c>
      <c r="O1893" s="11"/>
    </row>
    <row r="1894" customFormat="false" ht="14.25" hidden="false" customHeight="true" outlineLevel="0" collapsed="false">
      <c r="C1894" s="11"/>
      <c r="D1894" s="11"/>
      <c r="E1894" s="11"/>
      <c r="F1894" s="11"/>
      <c r="G1894" s="11"/>
      <c r="H1894" s="11"/>
      <c r="I1894" s="11"/>
      <c r="J1894" s="11"/>
      <c r="K1894" s="11"/>
      <c r="L1894" s="11"/>
      <c r="M1894" s="11"/>
      <c r="N1894" s="44" t="n">
        <v>15.94</v>
      </c>
      <c r="O1894" s="11"/>
    </row>
    <row r="1895" customFormat="false" ht="14.25" hidden="false" customHeight="true" outlineLevel="0" collapsed="false">
      <c r="C1895" s="11"/>
      <c r="D1895" s="11"/>
      <c r="E1895" s="11"/>
      <c r="F1895" s="11"/>
      <c r="G1895" s="11"/>
      <c r="H1895" s="11"/>
      <c r="I1895" s="11"/>
      <c r="J1895" s="11"/>
      <c r="K1895" s="11"/>
      <c r="L1895" s="11"/>
      <c r="M1895" s="11"/>
      <c r="N1895" s="44" t="n">
        <v>15.54</v>
      </c>
      <c r="O1895" s="11"/>
    </row>
    <row r="1896" customFormat="false" ht="14.25" hidden="false" customHeight="true" outlineLevel="0" collapsed="false">
      <c r="C1896" s="11"/>
      <c r="D1896" s="11"/>
      <c r="E1896" s="11"/>
      <c r="F1896" s="11"/>
      <c r="G1896" s="11"/>
      <c r="H1896" s="11"/>
      <c r="I1896" s="11"/>
      <c r="J1896" s="11"/>
      <c r="K1896" s="11"/>
      <c r="L1896" s="11"/>
      <c r="M1896" s="11"/>
      <c r="N1896" s="44" t="n">
        <v>15.31</v>
      </c>
      <c r="O1896" s="11"/>
    </row>
    <row r="1897" customFormat="false" ht="14.25" hidden="false" customHeight="true" outlineLevel="0" collapsed="false">
      <c r="C1897" s="11"/>
      <c r="D1897" s="11"/>
      <c r="E1897" s="11"/>
      <c r="F1897" s="11"/>
      <c r="G1897" s="11"/>
      <c r="H1897" s="11"/>
      <c r="I1897" s="11"/>
      <c r="J1897" s="11"/>
      <c r="K1897" s="11"/>
      <c r="L1897" s="11"/>
      <c r="M1897" s="11"/>
      <c r="N1897" s="44" t="n">
        <v>14.96</v>
      </c>
      <c r="O1897" s="11"/>
    </row>
    <row r="1898" customFormat="false" ht="14.25" hidden="false" customHeight="true" outlineLevel="0" collapsed="false">
      <c r="C1898" s="11"/>
      <c r="D1898" s="11"/>
      <c r="E1898" s="11"/>
      <c r="F1898" s="11"/>
      <c r="G1898" s="11"/>
      <c r="H1898" s="11"/>
      <c r="I1898" s="11"/>
      <c r="J1898" s="11"/>
      <c r="K1898" s="11"/>
      <c r="L1898" s="11"/>
      <c r="M1898" s="11"/>
      <c r="N1898" s="44" t="n">
        <v>15.56</v>
      </c>
      <c r="O1898" s="11"/>
    </row>
    <row r="1899" customFormat="false" ht="14.25" hidden="false" customHeight="true" outlineLevel="0" collapsed="false">
      <c r="C1899" s="11"/>
      <c r="D1899" s="11"/>
      <c r="E1899" s="11"/>
      <c r="F1899" s="11"/>
      <c r="G1899" s="11"/>
      <c r="H1899" s="11"/>
      <c r="I1899" s="11"/>
      <c r="J1899" s="11"/>
      <c r="K1899" s="11"/>
      <c r="L1899" s="11"/>
      <c r="M1899" s="11"/>
      <c r="N1899" s="44" t="n">
        <v>15.33</v>
      </c>
      <c r="O1899" s="11"/>
    </row>
    <row r="1900" customFormat="false" ht="14.25" hidden="false" customHeight="true" outlineLevel="0" collapsed="false">
      <c r="C1900" s="11"/>
      <c r="D1900" s="11"/>
      <c r="E1900" s="11"/>
      <c r="F1900" s="11"/>
      <c r="G1900" s="11"/>
      <c r="H1900" s="11"/>
      <c r="I1900" s="11"/>
      <c r="J1900" s="11"/>
      <c r="K1900" s="11"/>
      <c r="L1900" s="11"/>
      <c r="M1900" s="11"/>
      <c r="N1900" s="44" t="n">
        <v>15.5</v>
      </c>
      <c r="O1900" s="11"/>
    </row>
    <row r="1901" customFormat="false" ht="14.25" hidden="false" customHeight="true" outlineLevel="0" collapsed="false">
      <c r="C1901" s="11"/>
      <c r="D1901" s="11"/>
      <c r="E1901" s="11"/>
      <c r="F1901" s="11"/>
      <c r="G1901" s="11"/>
      <c r="H1901" s="11"/>
      <c r="I1901" s="11"/>
      <c r="J1901" s="11"/>
      <c r="K1901" s="11"/>
      <c r="L1901" s="11"/>
      <c r="M1901" s="11"/>
      <c r="N1901" s="44" t="n">
        <v>15.02</v>
      </c>
      <c r="O1901" s="11"/>
    </row>
    <row r="1902" customFormat="false" ht="14.25" hidden="false" customHeight="true" outlineLevel="0" collapsed="false">
      <c r="C1902" s="11"/>
      <c r="D1902" s="11"/>
      <c r="E1902" s="11"/>
      <c r="F1902" s="11"/>
      <c r="G1902" s="11"/>
      <c r="H1902" s="11"/>
      <c r="I1902" s="11"/>
      <c r="J1902" s="11"/>
      <c r="K1902" s="11"/>
      <c r="L1902" s="11"/>
      <c r="M1902" s="11"/>
      <c r="N1902" s="44" t="n">
        <v>15.49</v>
      </c>
      <c r="O1902" s="11"/>
    </row>
    <row r="1903" customFormat="false" ht="14.25" hidden="false" customHeight="true" outlineLevel="0" collapsed="false">
      <c r="C1903" s="11"/>
      <c r="D1903" s="11"/>
      <c r="E1903" s="11"/>
      <c r="F1903" s="11"/>
      <c r="G1903" s="11"/>
      <c r="H1903" s="11"/>
      <c r="I1903" s="11"/>
      <c r="J1903" s="11"/>
      <c r="K1903" s="11"/>
      <c r="L1903" s="11"/>
      <c r="M1903" s="11"/>
      <c r="N1903" s="44" t="n">
        <v>15.7</v>
      </c>
      <c r="O1903" s="11"/>
    </row>
    <row r="1904" customFormat="false" ht="14.25" hidden="false" customHeight="true" outlineLevel="0" collapsed="false">
      <c r="C1904" s="11"/>
      <c r="D1904" s="11"/>
      <c r="E1904" s="11"/>
      <c r="F1904" s="11"/>
      <c r="G1904" s="11"/>
      <c r="H1904" s="11"/>
      <c r="I1904" s="11"/>
      <c r="J1904" s="11"/>
      <c r="K1904" s="11"/>
      <c r="L1904" s="11"/>
      <c r="M1904" s="11"/>
      <c r="N1904" s="44" t="n">
        <v>15.5</v>
      </c>
      <c r="O1904" s="11"/>
    </row>
    <row r="1905" customFormat="false" ht="14.25" hidden="false" customHeight="true" outlineLevel="0" collapsed="false">
      <c r="C1905" s="11"/>
      <c r="D1905" s="11"/>
      <c r="E1905" s="11"/>
      <c r="F1905" s="11"/>
      <c r="G1905" s="11"/>
      <c r="H1905" s="11"/>
      <c r="I1905" s="11"/>
      <c r="J1905" s="11"/>
      <c r="K1905" s="11"/>
      <c r="L1905" s="11"/>
      <c r="M1905" s="11"/>
      <c r="N1905" s="44" t="n">
        <v>15.34</v>
      </c>
      <c r="O1905" s="11"/>
    </row>
    <row r="1906" customFormat="false" ht="14.25" hidden="false" customHeight="true" outlineLevel="0" collapsed="false">
      <c r="C1906" s="11"/>
      <c r="D1906" s="11"/>
      <c r="E1906" s="11"/>
      <c r="F1906" s="11"/>
      <c r="G1906" s="11"/>
      <c r="H1906" s="11"/>
      <c r="I1906" s="11"/>
      <c r="J1906" s="11"/>
      <c r="K1906" s="11"/>
      <c r="L1906" s="11"/>
      <c r="M1906" s="11"/>
      <c r="N1906" s="44" t="n">
        <v>15.57</v>
      </c>
      <c r="O1906" s="11"/>
    </row>
    <row r="1907" customFormat="false" ht="14.25" hidden="false" customHeight="true" outlineLevel="0" collapsed="false">
      <c r="C1907" s="11"/>
      <c r="D1907" s="11"/>
      <c r="E1907" s="11"/>
      <c r="F1907" s="11"/>
      <c r="G1907" s="11"/>
      <c r="H1907" s="11"/>
      <c r="I1907" s="11"/>
      <c r="J1907" s="11"/>
      <c r="K1907" s="11"/>
      <c r="L1907" s="11"/>
      <c r="M1907" s="11"/>
      <c r="N1907" s="44" t="n">
        <v>15.74</v>
      </c>
      <c r="O1907" s="11"/>
    </row>
    <row r="1908" customFormat="false" ht="14.25" hidden="false" customHeight="true" outlineLevel="0" collapsed="false">
      <c r="C1908" s="11"/>
      <c r="D1908" s="11"/>
      <c r="E1908" s="11"/>
      <c r="F1908" s="11"/>
      <c r="G1908" s="11"/>
      <c r="H1908" s="11"/>
      <c r="I1908" s="11"/>
      <c r="J1908" s="11"/>
      <c r="K1908" s="11"/>
      <c r="L1908" s="11"/>
      <c r="M1908" s="11"/>
      <c r="N1908" s="44" t="n">
        <v>15.85</v>
      </c>
      <c r="O1908" s="11"/>
    </row>
    <row r="1909" customFormat="false" ht="14.25" hidden="false" customHeight="true" outlineLevel="0" collapsed="false">
      <c r="C1909" s="11"/>
      <c r="D1909" s="11"/>
      <c r="E1909" s="11"/>
      <c r="F1909" s="11"/>
      <c r="G1909" s="11"/>
      <c r="H1909" s="11"/>
      <c r="I1909" s="11"/>
      <c r="J1909" s="11"/>
      <c r="K1909" s="11"/>
      <c r="L1909" s="11"/>
      <c r="M1909" s="11"/>
      <c r="N1909" s="44" t="n">
        <v>15.94</v>
      </c>
      <c r="O1909" s="11"/>
    </row>
    <row r="1910" customFormat="false" ht="14.25" hidden="false" customHeight="true" outlineLevel="0" collapsed="false">
      <c r="C1910" s="11"/>
      <c r="D1910" s="11"/>
      <c r="E1910" s="11"/>
      <c r="F1910" s="11"/>
      <c r="G1910" s="11"/>
      <c r="H1910" s="11"/>
      <c r="I1910" s="11"/>
      <c r="J1910" s="11"/>
      <c r="K1910" s="11"/>
      <c r="L1910" s="11"/>
      <c r="M1910" s="11"/>
      <c r="N1910" s="44" t="n">
        <v>16.09</v>
      </c>
      <c r="O1910" s="11"/>
    </row>
    <row r="1911" customFormat="false" ht="14.25" hidden="false" customHeight="true" outlineLevel="0" collapsed="false">
      <c r="C1911" s="11"/>
      <c r="D1911" s="11"/>
      <c r="E1911" s="11"/>
      <c r="F1911" s="11"/>
      <c r="G1911" s="11"/>
      <c r="H1911" s="11"/>
      <c r="I1911" s="11"/>
      <c r="J1911" s="11"/>
      <c r="K1911" s="11"/>
      <c r="L1911" s="11"/>
      <c r="M1911" s="11"/>
      <c r="N1911" s="44" t="n">
        <v>16.32</v>
      </c>
      <c r="O1911" s="11"/>
    </row>
    <row r="1912" customFormat="false" ht="14.25" hidden="false" customHeight="true" outlineLevel="0" collapsed="false">
      <c r="C1912" s="11"/>
      <c r="D1912" s="11"/>
      <c r="E1912" s="11"/>
      <c r="F1912" s="11"/>
      <c r="G1912" s="11"/>
      <c r="H1912" s="11"/>
      <c r="I1912" s="11"/>
      <c r="J1912" s="11"/>
      <c r="K1912" s="11"/>
      <c r="L1912" s="11"/>
      <c r="M1912" s="11"/>
      <c r="N1912" s="44" t="n">
        <v>16.31</v>
      </c>
      <c r="O1912" s="11"/>
    </row>
    <row r="1913" customFormat="false" ht="14.25" hidden="false" customHeight="true" outlineLevel="0" collapsed="false">
      <c r="C1913" s="11"/>
      <c r="D1913" s="11"/>
      <c r="E1913" s="11"/>
      <c r="F1913" s="11"/>
      <c r="G1913" s="11"/>
      <c r="H1913" s="11"/>
      <c r="I1913" s="11"/>
      <c r="J1913" s="11"/>
      <c r="K1913" s="11"/>
      <c r="L1913" s="11"/>
      <c r="M1913" s="11"/>
      <c r="N1913" s="44" t="n">
        <v>16.17</v>
      </c>
      <c r="O1913" s="11"/>
    </row>
    <row r="1914" customFormat="false" ht="14.25" hidden="false" customHeight="true" outlineLevel="0" collapsed="false">
      <c r="C1914" s="11"/>
      <c r="D1914" s="11"/>
      <c r="E1914" s="11"/>
      <c r="F1914" s="11"/>
      <c r="G1914" s="11"/>
      <c r="H1914" s="11"/>
      <c r="I1914" s="11"/>
      <c r="J1914" s="11"/>
      <c r="K1914" s="11"/>
      <c r="L1914" s="11"/>
      <c r="M1914" s="11"/>
      <c r="N1914" s="44" t="n">
        <v>16.04</v>
      </c>
      <c r="O1914" s="11"/>
    </row>
    <row r="1915" customFormat="false" ht="14.25" hidden="false" customHeight="true" outlineLevel="0" collapsed="false">
      <c r="C1915" s="11"/>
      <c r="D1915" s="11"/>
      <c r="E1915" s="11"/>
      <c r="F1915" s="11"/>
      <c r="G1915" s="11"/>
      <c r="H1915" s="11"/>
      <c r="I1915" s="11"/>
      <c r="J1915" s="11"/>
      <c r="K1915" s="11"/>
      <c r="L1915" s="11"/>
      <c r="M1915" s="11"/>
      <c r="N1915" s="44" t="n">
        <v>16.08</v>
      </c>
      <c r="O1915" s="11"/>
    </row>
    <row r="1916" customFormat="false" ht="14.25" hidden="false" customHeight="true" outlineLevel="0" collapsed="false">
      <c r="C1916" s="11"/>
      <c r="D1916" s="11"/>
      <c r="E1916" s="11"/>
      <c r="F1916" s="11"/>
      <c r="G1916" s="11"/>
      <c r="H1916" s="11"/>
      <c r="I1916" s="11"/>
      <c r="J1916" s="11"/>
      <c r="K1916" s="11"/>
      <c r="L1916" s="11"/>
      <c r="M1916" s="11"/>
      <c r="N1916" s="44" t="n">
        <v>16.08</v>
      </c>
      <c r="O1916" s="11"/>
    </row>
    <row r="1917" customFormat="false" ht="14.25" hidden="false" customHeight="true" outlineLevel="0" collapsed="false">
      <c r="C1917" s="11"/>
      <c r="D1917" s="11"/>
      <c r="E1917" s="11"/>
      <c r="F1917" s="11"/>
      <c r="G1917" s="11"/>
      <c r="H1917" s="11"/>
      <c r="I1917" s="11"/>
      <c r="J1917" s="11"/>
      <c r="K1917" s="11"/>
      <c r="L1917" s="11"/>
      <c r="M1917" s="11"/>
      <c r="N1917" s="44" t="n">
        <v>16.44</v>
      </c>
      <c r="O1917" s="11"/>
    </row>
    <row r="1918" customFormat="false" ht="14.25" hidden="false" customHeight="true" outlineLevel="0" collapsed="false">
      <c r="C1918" s="11"/>
      <c r="D1918" s="11"/>
      <c r="E1918" s="11"/>
      <c r="F1918" s="11"/>
      <c r="G1918" s="11"/>
      <c r="H1918" s="11"/>
      <c r="I1918" s="11"/>
      <c r="J1918" s="11"/>
      <c r="K1918" s="11"/>
      <c r="L1918" s="11"/>
      <c r="M1918" s="11"/>
      <c r="N1918" s="44" t="n">
        <v>16.41</v>
      </c>
      <c r="O1918" s="11"/>
    </row>
    <row r="1919" customFormat="false" ht="14.25" hidden="false" customHeight="true" outlineLevel="0" collapsed="false">
      <c r="C1919" s="11"/>
      <c r="D1919" s="11"/>
      <c r="E1919" s="11"/>
      <c r="F1919" s="11"/>
      <c r="G1919" s="11"/>
      <c r="H1919" s="11"/>
      <c r="I1919" s="11"/>
      <c r="J1919" s="11"/>
      <c r="K1919" s="11"/>
      <c r="L1919" s="11"/>
      <c r="M1919" s="11"/>
      <c r="N1919" s="44" t="n">
        <v>16.62</v>
      </c>
      <c r="O1919" s="11"/>
    </row>
    <row r="1920" customFormat="false" ht="14.25" hidden="false" customHeight="true" outlineLevel="0" collapsed="false">
      <c r="C1920" s="11"/>
      <c r="D1920" s="11"/>
      <c r="E1920" s="11"/>
      <c r="F1920" s="11"/>
      <c r="G1920" s="11"/>
      <c r="H1920" s="11"/>
      <c r="I1920" s="11"/>
      <c r="J1920" s="11"/>
      <c r="K1920" s="11"/>
      <c r="L1920" s="11"/>
      <c r="M1920" s="11"/>
      <c r="N1920" s="44" t="n">
        <v>16.68</v>
      </c>
      <c r="O1920" s="11"/>
    </row>
    <row r="1921" customFormat="false" ht="14.25" hidden="false" customHeight="true" outlineLevel="0" collapsed="false">
      <c r="C1921" s="11"/>
      <c r="D1921" s="11"/>
      <c r="E1921" s="11"/>
      <c r="F1921" s="11"/>
      <c r="G1921" s="11"/>
      <c r="H1921" s="11"/>
      <c r="I1921" s="11"/>
      <c r="J1921" s="11"/>
      <c r="K1921" s="11"/>
      <c r="L1921" s="11"/>
      <c r="M1921" s="11"/>
      <c r="N1921" s="44" t="n">
        <v>16.65</v>
      </c>
      <c r="O1921" s="11"/>
    </row>
    <row r="1922" customFormat="false" ht="14.25" hidden="false" customHeight="true" outlineLevel="0" collapsed="false">
      <c r="C1922" s="11"/>
      <c r="D1922" s="11"/>
      <c r="E1922" s="11"/>
      <c r="F1922" s="11"/>
      <c r="G1922" s="11"/>
      <c r="H1922" s="11"/>
      <c r="I1922" s="11"/>
      <c r="J1922" s="11"/>
      <c r="K1922" s="11"/>
      <c r="L1922" s="11"/>
      <c r="M1922" s="11"/>
      <c r="N1922" s="44" t="n">
        <v>16.76</v>
      </c>
      <c r="O1922" s="11"/>
    </row>
    <row r="1923" customFormat="false" ht="14.25" hidden="false" customHeight="true" outlineLevel="0" collapsed="false">
      <c r="C1923" s="11"/>
      <c r="D1923" s="11"/>
      <c r="E1923" s="11"/>
      <c r="F1923" s="11"/>
      <c r="G1923" s="11"/>
      <c r="H1923" s="11"/>
      <c r="I1923" s="11"/>
      <c r="J1923" s="11"/>
      <c r="K1923" s="11"/>
      <c r="L1923" s="11"/>
      <c r="M1923" s="11"/>
      <c r="N1923" s="44" t="n">
        <v>16.72</v>
      </c>
      <c r="O1923" s="11"/>
    </row>
    <row r="1924" customFormat="false" ht="14.25" hidden="false" customHeight="true" outlineLevel="0" collapsed="false">
      <c r="C1924" s="11"/>
      <c r="D1924" s="11"/>
      <c r="E1924" s="11"/>
      <c r="F1924" s="11"/>
      <c r="G1924" s="11"/>
      <c r="H1924" s="11"/>
      <c r="I1924" s="11"/>
      <c r="J1924" s="11"/>
      <c r="K1924" s="11"/>
      <c r="L1924" s="11"/>
      <c r="M1924" s="11"/>
      <c r="N1924" s="44" t="n">
        <v>16.66</v>
      </c>
      <c r="O1924" s="11"/>
    </row>
    <row r="1925" customFormat="false" ht="14.25" hidden="false" customHeight="true" outlineLevel="0" collapsed="false">
      <c r="C1925" s="11"/>
      <c r="D1925" s="11"/>
      <c r="E1925" s="11"/>
      <c r="F1925" s="11"/>
      <c r="G1925" s="11"/>
      <c r="H1925" s="11"/>
      <c r="I1925" s="11"/>
      <c r="J1925" s="11"/>
      <c r="K1925" s="11"/>
      <c r="L1925" s="11"/>
      <c r="M1925" s="11"/>
      <c r="N1925" s="44" t="n">
        <v>16.64</v>
      </c>
      <c r="O1925" s="11"/>
    </row>
    <row r="1926" customFormat="false" ht="14.25" hidden="false" customHeight="true" outlineLevel="0" collapsed="false">
      <c r="C1926" s="11"/>
      <c r="D1926" s="11"/>
      <c r="E1926" s="11"/>
      <c r="F1926" s="11"/>
      <c r="G1926" s="11"/>
      <c r="H1926" s="11"/>
      <c r="I1926" s="11"/>
      <c r="J1926" s="11"/>
      <c r="K1926" s="11"/>
      <c r="L1926" s="11"/>
      <c r="M1926" s="11"/>
      <c r="N1926" s="44" t="n">
        <v>16.7</v>
      </c>
      <c r="O1926" s="11"/>
    </row>
    <row r="1927" customFormat="false" ht="14.25" hidden="false" customHeight="true" outlineLevel="0" collapsed="false">
      <c r="C1927" s="11"/>
      <c r="D1927" s="11"/>
      <c r="E1927" s="11"/>
      <c r="F1927" s="11"/>
      <c r="G1927" s="11"/>
      <c r="H1927" s="11"/>
      <c r="I1927" s="11"/>
      <c r="J1927" s="11"/>
      <c r="K1927" s="11"/>
      <c r="L1927" s="11"/>
      <c r="M1927" s="11"/>
      <c r="N1927" s="44" t="n">
        <v>16.73</v>
      </c>
      <c r="O1927" s="11"/>
    </row>
    <row r="1928" customFormat="false" ht="14.25" hidden="false" customHeight="true" outlineLevel="0" collapsed="false">
      <c r="C1928" s="11"/>
      <c r="D1928" s="11"/>
      <c r="E1928" s="11"/>
      <c r="F1928" s="11"/>
      <c r="G1928" s="11"/>
      <c r="H1928" s="11"/>
      <c r="I1928" s="11"/>
      <c r="J1928" s="11"/>
      <c r="K1928" s="11"/>
      <c r="L1928" s="11"/>
      <c r="M1928" s="11"/>
      <c r="N1928" s="44" t="n">
        <v>17</v>
      </c>
      <c r="O1928" s="11"/>
    </row>
    <row r="1929" customFormat="false" ht="14.25" hidden="false" customHeight="true" outlineLevel="0" collapsed="false">
      <c r="C1929" s="11"/>
      <c r="D1929" s="11"/>
      <c r="E1929" s="11"/>
      <c r="F1929" s="11"/>
      <c r="G1929" s="11"/>
      <c r="H1929" s="11"/>
      <c r="I1929" s="11"/>
      <c r="J1929" s="11"/>
      <c r="K1929" s="11"/>
      <c r="L1929" s="11"/>
      <c r="M1929" s="11"/>
      <c r="N1929" s="44" t="n">
        <v>16.43</v>
      </c>
      <c r="O1929" s="11"/>
    </row>
    <row r="1930" customFormat="false" ht="14.25" hidden="false" customHeight="true" outlineLevel="0" collapsed="false">
      <c r="C1930" s="11"/>
      <c r="D1930" s="11"/>
      <c r="E1930" s="11"/>
      <c r="F1930" s="11"/>
      <c r="G1930" s="11"/>
      <c r="H1930" s="11"/>
      <c r="I1930" s="11"/>
      <c r="J1930" s="11"/>
      <c r="K1930" s="11"/>
      <c r="L1930" s="11"/>
      <c r="M1930" s="11"/>
      <c r="N1930" s="44" t="n">
        <v>16.64</v>
      </c>
      <c r="O1930" s="11"/>
    </row>
    <row r="1931" customFormat="false" ht="14.25" hidden="false" customHeight="true" outlineLevel="0" collapsed="false">
      <c r="C1931" s="11"/>
      <c r="D1931" s="11"/>
      <c r="E1931" s="11"/>
      <c r="F1931" s="11"/>
      <c r="G1931" s="11"/>
      <c r="H1931" s="11"/>
      <c r="I1931" s="11"/>
      <c r="J1931" s="11"/>
      <c r="K1931" s="11"/>
      <c r="L1931" s="11"/>
      <c r="M1931" s="11"/>
      <c r="N1931" s="44" t="n">
        <v>16.57</v>
      </c>
      <c r="O1931" s="11"/>
    </row>
    <row r="1932" customFormat="false" ht="14.25" hidden="false" customHeight="true" outlineLevel="0" collapsed="false">
      <c r="C1932" s="11"/>
      <c r="D1932" s="11"/>
      <c r="E1932" s="11"/>
      <c r="F1932" s="11"/>
      <c r="G1932" s="11"/>
      <c r="H1932" s="11"/>
      <c r="I1932" s="11"/>
      <c r="J1932" s="11"/>
      <c r="K1932" s="11"/>
      <c r="L1932" s="11"/>
      <c r="M1932" s="11"/>
      <c r="N1932" s="44" t="n">
        <v>16.47</v>
      </c>
      <c r="O1932" s="11"/>
    </row>
    <row r="1933" customFormat="false" ht="14.25" hidden="false" customHeight="true" outlineLevel="0" collapsed="false">
      <c r="C1933" s="11"/>
      <c r="D1933" s="11"/>
      <c r="E1933" s="11"/>
      <c r="F1933" s="11"/>
      <c r="G1933" s="11"/>
      <c r="H1933" s="11"/>
      <c r="I1933" s="11"/>
      <c r="J1933" s="11"/>
      <c r="K1933" s="11"/>
      <c r="L1933" s="11"/>
      <c r="M1933" s="11"/>
      <c r="N1933" s="44" t="n">
        <v>16.17</v>
      </c>
      <c r="O1933" s="11"/>
    </row>
    <row r="1934" customFormat="false" ht="14.25" hidden="false" customHeight="true" outlineLevel="0" collapsed="false">
      <c r="C1934" s="11"/>
      <c r="D1934" s="11"/>
      <c r="E1934" s="11"/>
      <c r="F1934" s="11"/>
      <c r="G1934" s="11"/>
      <c r="H1934" s="11"/>
      <c r="I1934" s="11"/>
      <c r="J1934" s="11"/>
      <c r="K1934" s="11"/>
      <c r="L1934" s="11"/>
      <c r="M1934" s="11"/>
      <c r="N1934" s="44" t="n">
        <v>16.17</v>
      </c>
      <c r="O1934" s="11"/>
    </row>
    <row r="1935" customFormat="false" ht="14.25" hidden="false" customHeight="true" outlineLevel="0" collapsed="false">
      <c r="C1935" s="11"/>
      <c r="D1935" s="11"/>
      <c r="E1935" s="11"/>
      <c r="F1935" s="11"/>
      <c r="G1935" s="11"/>
      <c r="H1935" s="11"/>
      <c r="I1935" s="11"/>
      <c r="J1935" s="11"/>
      <c r="K1935" s="11"/>
      <c r="L1935" s="11"/>
      <c r="M1935" s="11"/>
      <c r="N1935" s="44" t="n">
        <v>16.16</v>
      </c>
      <c r="O1935" s="11"/>
    </row>
    <row r="1936" customFormat="false" ht="14.25" hidden="false" customHeight="true" outlineLevel="0" collapsed="false">
      <c r="C1936" s="11"/>
      <c r="D1936" s="11"/>
      <c r="E1936" s="11"/>
      <c r="F1936" s="11"/>
      <c r="G1936" s="11"/>
      <c r="H1936" s="11"/>
      <c r="I1936" s="11"/>
      <c r="J1936" s="11"/>
      <c r="K1936" s="11"/>
      <c r="L1936" s="11"/>
      <c r="M1936" s="11"/>
      <c r="N1936" s="44" t="n">
        <v>16.58</v>
      </c>
      <c r="O1936" s="11"/>
    </row>
    <row r="1937" customFormat="false" ht="14.25" hidden="false" customHeight="true" outlineLevel="0" collapsed="false">
      <c r="C1937" s="11"/>
      <c r="D1937" s="11"/>
      <c r="E1937" s="11"/>
      <c r="F1937" s="11"/>
      <c r="G1937" s="11"/>
      <c r="H1937" s="11"/>
      <c r="I1937" s="11"/>
      <c r="J1937" s="11"/>
      <c r="K1937" s="11"/>
      <c r="L1937" s="11"/>
      <c r="M1937" s="11"/>
      <c r="N1937" s="44" t="n">
        <v>16.43</v>
      </c>
      <c r="O1937" s="11"/>
    </row>
    <row r="1938" customFormat="false" ht="14.25" hidden="false" customHeight="true" outlineLevel="0" collapsed="false">
      <c r="C1938" s="11"/>
      <c r="D1938" s="11"/>
      <c r="E1938" s="11"/>
      <c r="F1938" s="11"/>
      <c r="G1938" s="11"/>
      <c r="H1938" s="11"/>
      <c r="I1938" s="11"/>
      <c r="J1938" s="11"/>
      <c r="K1938" s="11"/>
      <c r="L1938" s="11"/>
      <c r="M1938" s="11"/>
      <c r="N1938" s="44" t="n">
        <v>16.3</v>
      </c>
      <c r="O1938" s="11"/>
    </row>
    <row r="1939" customFormat="false" ht="14.25" hidden="false" customHeight="true" outlineLevel="0" collapsed="false">
      <c r="C1939" s="11"/>
      <c r="D1939" s="11"/>
      <c r="E1939" s="11"/>
      <c r="F1939" s="11"/>
      <c r="G1939" s="11"/>
      <c r="H1939" s="11"/>
      <c r="I1939" s="11"/>
      <c r="J1939" s="11"/>
      <c r="K1939" s="11"/>
      <c r="L1939" s="11"/>
      <c r="M1939" s="11"/>
      <c r="N1939" s="44" t="n">
        <v>16.22</v>
      </c>
      <c r="O1939" s="11"/>
    </row>
    <row r="1940" customFormat="false" ht="14.25" hidden="false" customHeight="true" outlineLevel="0" collapsed="false">
      <c r="C1940" s="11"/>
      <c r="D1940" s="11"/>
      <c r="E1940" s="11"/>
      <c r="F1940" s="11"/>
      <c r="G1940" s="11"/>
      <c r="H1940" s="11"/>
      <c r="I1940" s="11"/>
      <c r="J1940" s="11"/>
      <c r="K1940" s="11"/>
      <c r="L1940" s="11"/>
      <c r="M1940" s="11"/>
      <c r="N1940" s="44" t="n">
        <v>16.24</v>
      </c>
      <c r="O1940" s="11"/>
    </row>
    <row r="1941" customFormat="false" ht="14.25" hidden="false" customHeight="true" outlineLevel="0" collapsed="false">
      <c r="C1941" s="11"/>
      <c r="D1941" s="11"/>
      <c r="E1941" s="11"/>
      <c r="F1941" s="11"/>
      <c r="G1941" s="11"/>
      <c r="H1941" s="11"/>
      <c r="I1941" s="11"/>
      <c r="J1941" s="11"/>
      <c r="K1941" s="11"/>
      <c r="L1941" s="11"/>
      <c r="M1941" s="11"/>
      <c r="N1941" s="44" t="n">
        <v>16.16</v>
      </c>
      <c r="O1941" s="11"/>
    </row>
    <row r="1942" customFormat="false" ht="14.25" hidden="false" customHeight="true" outlineLevel="0" collapsed="false">
      <c r="C1942" s="11"/>
      <c r="D1942" s="11"/>
      <c r="E1942" s="11"/>
      <c r="F1942" s="11"/>
      <c r="G1942" s="11"/>
      <c r="H1942" s="11"/>
      <c r="I1942" s="11"/>
      <c r="J1942" s="11"/>
      <c r="K1942" s="11"/>
      <c r="L1942" s="11"/>
      <c r="M1942" s="11"/>
      <c r="N1942" s="44" t="n">
        <v>16.21</v>
      </c>
      <c r="O1942" s="11"/>
    </row>
    <row r="1943" customFormat="false" ht="14.25" hidden="false" customHeight="true" outlineLevel="0" collapsed="false">
      <c r="C1943" s="11"/>
      <c r="D1943" s="11"/>
      <c r="E1943" s="11"/>
      <c r="F1943" s="11"/>
      <c r="G1943" s="11"/>
      <c r="H1943" s="11"/>
      <c r="I1943" s="11"/>
      <c r="J1943" s="11"/>
      <c r="K1943" s="11"/>
      <c r="L1943" s="11"/>
      <c r="M1943" s="11"/>
      <c r="N1943" s="44" t="n">
        <v>16.35</v>
      </c>
      <c r="O1943" s="11"/>
    </row>
    <row r="1944" customFormat="false" ht="14.25" hidden="false" customHeight="true" outlineLevel="0" collapsed="false">
      <c r="C1944" s="11"/>
      <c r="D1944" s="11"/>
      <c r="E1944" s="11"/>
      <c r="F1944" s="11"/>
      <c r="G1944" s="11"/>
      <c r="H1944" s="11"/>
      <c r="I1944" s="11"/>
      <c r="J1944" s="11"/>
      <c r="K1944" s="11"/>
      <c r="L1944" s="11"/>
      <c r="M1944" s="11"/>
      <c r="N1944" s="44" t="n">
        <v>16.49</v>
      </c>
      <c r="O1944" s="11"/>
    </row>
    <row r="1945" customFormat="false" ht="14.25" hidden="false" customHeight="true" outlineLevel="0" collapsed="false">
      <c r="C1945" s="11"/>
      <c r="D1945" s="11"/>
      <c r="E1945" s="11"/>
      <c r="F1945" s="11"/>
      <c r="G1945" s="11"/>
      <c r="H1945" s="11"/>
      <c r="I1945" s="11"/>
      <c r="J1945" s="11"/>
      <c r="K1945" s="11"/>
      <c r="L1945" s="11"/>
      <c r="M1945" s="11"/>
      <c r="N1945" s="44" t="n">
        <v>16.52</v>
      </c>
      <c r="O1945" s="11"/>
    </row>
    <row r="1946" customFormat="false" ht="14.25" hidden="false" customHeight="true" outlineLevel="0" collapsed="false">
      <c r="C1946" s="11"/>
      <c r="D1946" s="11"/>
      <c r="E1946" s="11"/>
      <c r="F1946" s="11"/>
      <c r="G1946" s="11"/>
      <c r="H1946" s="11"/>
      <c r="I1946" s="11"/>
      <c r="J1946" s="11"/>
      <c r="K1946" s="11"/>
      <c r="L1946" s="11"/>
      <c r="M1946" s="11"/>
      <c r="N1946" s="44" t="n">
        <v>16.52</v>
      </c>
      <c r="O1946" s="11"/>
    </row>
    <row r="1947" customFormat="false" ht="14.25" hidden="false" customHeight="true" outlineLevel="0" collapsed="false">
      <c r="C1947" s="11"/>
      <c r="D1947" s="11"/>
      <c r="E1947" s="11"/>
      <c r="F1947" s="11"/>
      <c r="G1947" s="11"/>
      <c r="H1947" s="11"/>
      <c r="I1947" s="11"/>
      <c r="J1947" s="11"/>
      <c r="K1947" s="11"/>
      <c r="L1947" s="11"/>
      <c r="M1947" s="11"/>
      <c r="N1947" s="44" t="n">
        <v>16.65</v>
      </c>
      <c r="O1947" s="11"/>
    </row>
    <row r="1948" customFormat="false" ht="14.25" hidden="false" customHeight="true" outlineLevel="0" collapsed="false">
      <c r="C1948" s="11"/>
      <c r="D1948" s="11"/>
      <c r="E1948" s="11"/>
      <c r="F1948" s="11"/>
      <c r="G1948" s="11"/>
      <c r="H1948" s="11"/>
      <c r="I1948" s="11"/>
      <c r="J1948" s="11"/>
      <c r="K1948" s="11"/>
      <c r="L1948" s="11"/>
      <c r="M1948" s="11"/>
      <c r="N1948" s="44" t="n">
        <v>16.72</v>
      </c>
      <c r="O1948" s="11"/>
    </row>
    <row r="1949" customFormat="false" ht="14.25" hidden="false" customHeight="true" outlineLevel="0" collapsed="false">
      <c r="C1949" s="11"/>
      <c r="D1949" s="11"/>
      <c r="E1949" s="11"/>
      <c r="F1949" s="11"/>
      <c r="G1949" s="11"/>
      <c r="H1949" s="11"/>
      <c r="I1949" s="11"/>
      <c r="J1949" s="11"/>
      <c r="K1949" s="11"/>
      <c r="L1949" s="11"/>
      <c r="M1949" s="11"/>
      <c r="N1949" s="44" t="n">
        <v>16.49</v>
      </c>
      <c r="O1949" s="11"/>
    </row>
    <row r="1950" customFormat="false" ht="14.25" hidden="false" customHeight="true" outlineLevel="0" collapsed="false">
      <c r="C1950" s="11"/>
      <c r="D1950" s="11"/>
      <c r="E1950" s="11"/>
      <c r="F1950" s="11"/>
      <c r="G1950" s="11"/>
      <c r="H1950" s="11"/>
      <c r="I1950" s="11"/>
      <c r="J1950" s="11"/>
      <c r="K1950" s="11"/>
      <c r="L1950" s="11"/>
      <c r="M1950" s="11"/>
      <c r="N1950" s="44" t="n">
        <v>17.22</v>
      </c>
      <c r="O1950" s="11"/>
    </row>
    <row r="1951" customFormat="false" ht="14.25" hidden="false" customHeight="true" outlineLevel="0" collapsed="false">
      <c r="C1951" s="11"/>
      <c r="D1951" s="11"/>
      <c r="E1951" s="11"/>
      <c r="F1951" s="11"/>
      <c r="G1951" s="11"/>
      <c r="H1951" s="11"/>
      <c r="I1951" s="11"/>
      <c r="J1951" s="11"/>
      <c r="K1951" s="11"/>
      <c r="L1951" s="11"/>
      <c r="M1951" s="11"/>
      <c r="N1951" s="44" t="n">
        <v>17.49</v>
      </c>
      <c r="O1951" s="11"/>
    </row>
    <row r="1952" customFormat="false" ht="14.25" hidden="false" customHeight="true" outlineLevel="0" collapsed="false">
      <c r="C1952" s="11"/>
      <c r="D1952" s="11"/>
      <c r="E1952" s="11"/>
      <c r="F1952" s="11"/>
      <c r="G1952" s="11"/>
      <c r="H1952" s="11"/>
      <c r="I1952" s="11"/>
      <c r="J1952" s="11"/>
      <c r="K1952" s="11"/>
      <c r="L1952" s="11"/>
      <c r="M1952" s="11"/>
      <c r="N1952" s="44" t="n">
        <v>17.49</v>
      </c>
      <c r="O1952" s="11"/>
    </row>
    <row r="1953" customFormat="false" ht="14.25" hidden="false" customHeight="true" outlineLevel="0" collapsed="false">
      <c r="C1953" s="11"/>
      <c r="D1953" s="11"/>
      <c r="E1953" s="11"/>
      <c r="F1953" s="11"/>
      <c r="G1953" s="11"/>
      <c r="H1953" s="11"/>
      <c r="I1953" s="11"/>
      <c r="J1953" s="11"/>
      <c r="K1953" s="11"/>
      <c r="L1953" s="11"/>
      <c r="M1953" s="11"/>
      <c r="N1953" s="44" t="n">
        <v>17.79</v>
      </c>
      <c r="O1953" s="11"/>
    </row>
    <row r="1954" customFormat="false" ht="14.25" hidden="false" customHeight="true" outlineLevel="0" collapsed="false">
      <c r="C1954" s="11"/>
      <c r="D1954" s="11"/>
      <c r="E1954" s="11"/>
      <c r="F1954" s="11"/>
      <c r="G1954" s="11"/>
      <c r="H1954" s="11"/>
      <c r="I1954" s="11"/>
      <c r="J1954" s="11"/>
      <c r="K1954" s="11"/>
      <c r="L1954" s="11"/>
      <c r="M1954" s="11"/>
      <c r="N1954" s="44" t="n">
        <v>17.29</v>
      </c>
      <c r="O1954" s="11"/>
    </row>
    <row r="1955" customFormat="false" ht="14.25" hidden="false" customHeight="true" outlineLevel="0" collapsed="false">
      <c r="C1955" s="11"/>
      <c r="D1955" s="11"/>
      <c r="E1955" s="11"/>
      <c r="F1955" s="11"/>
      <c r="G1955" s="11"/>
      <c r="H1955" s="11"/>
      <c r="I1955" s="11"/>
      <c r="J1955" s="11"/>
      <c r="K1955" s="11"/>
      <c r="L1955" s="11"/>
      <c r="M1955" s="11"/>
      <c r="N1955" s="44" t="n">
        <v>17.55</v>
      </c>
      <c r="O1955" s="11"/>
    </row>
    <row r="1956" customFormat="false" ht="14.25" hidden="false" customHeight="true" outlineLevel="0" collapsed="false">
      <c r="C1956" s="11"/>
      <c r="D1956" s="11"/>
      <c r="E1956" s="11"/>
      <c r="F1956" s="11"/>
      <c r="G1956" s="11"/>
      <c r="H1956" s="11"/>
      <c r="I1956" s="11"/>
      <c r="J1956" s="11"/>
      <c r="K1956" s="11"/>
      <c r="L1956" s="11"/>
      <c r="M1956" s="11"/>
      <c r="N1956" s="44" t="n">
        <v>18.03</v>
      </c>
      <c r="O1956" s="11"/>
    </row>
    <row r="1957" customFormat="false" ht="14.25" hidden="false" customHeight="true" outlineLevel="0" collapsed="false">
      <c r="C1957" s="11"/>
      <c r="D1957" s="11"/>
      <c r="E1957" s="11"/>
      <c r="F1957" s="11"/>
      <c r="G1957" s="11"/>
      <c r="H1957" s="11"/>
      <c r="I1957" s="11"/>
      <c r="J1957" s="11"/>
      <c r="K1957" s="11"/>
      <c r="L1957" s="11"/>
      <c r="M1957" s="11"/>
      <c r="N1957" s="44" t="n">
        <v>17.6</v>
      </c>
      <c r="O1957" s="11"/>
    </row>
    <row r="1958" customFormat="false" ht="14.25" hidden="false" customHeight="true" outlineLevel="0" collapsed="false">
      <c r="C1958" s="11"/>
      <c r="D1958" s="11"/>
      <c r="E1958" s="11"/>
      <c r="F1958" s="11"/>
      <c r="G1958" s="11"/>
      <c r="H1958" s="11"/>
      <c r="I1958" s="11"/>
      <c r="J1958" s="11"/>
      <c r="K1958" s="11"/>
      <c r="L1958" s="11"/>
      <c r="M1958" s="11"/>
      <c r="N1958" s="44" t="n">
        <v>18.03</v>
      </c>
      <c r="O1958" s="11"/>
    </row>
    <row r="1959" customFormat="false" ht="14.25" hidden="false" customHeight="true" outlineLevel="0" collapsed="false">
      <c r="C1959" s="11"/>
      <c r="D1959" s="11"/>
      <c r="E1959" s="11"/>
      <c r="F1959" s="11"/>
      <c r="G1959" s="11"/>
      <c r="H1959" s="11"/>
      <c r="I1959" s="11"/>
      <c r="J1959" s="11"/>
      <c r="K1959" s="11"/>
      <c r="L1959" s="11"/>
      <c r="M1959" s="11"/>
      <c r="N1959" s="44" t="n">
        <v>18.42</v>
      </c>
      <c r="O1959" s="11"/>
    </row>
    <row r="1960" customFormat="false" ht="14.25" hidden="false" customHeight="true" outlineLevel="0" collapsed="false">
      <c r="C1960" s="11"/>
      <c r="D1960" s="11"/>
      <c r="E1960" s="11"/>
      <c r="F1960" s="11"/>
      <c r="G1960" s="11"/>
      <c r="H1960" s="11"/>
      <c r="I1960" s="11"/>
      <c r="J1960" s="11"/>
      <c r="K1960" s="11"/>
      <c r="L1960" s="11"/>
      <c r="M1960" s="11"/>
      <c r="N1960" s="44" t="n">
        <v>18.34</v>
      </c>
      <c r="O1960" s="11"/>
    </row>
    <row r="1961" customFormat="false" ht="14.25" hidden="false" customHeight="true" outlineLevel="0" collapsed="false">
      <c r="C1961" s="11"/>
      <c r="D1961" s="11"/>
      <c r="E1961" s="11"/>
      <c r="F1961" s="11"/>
      <c r="G1961" s="11"/>
      <c r="H1961" s="11"/>
      <c r="I1961" s="11"/>
      <c r="J1961" s="11"/>
      <c r="K1961" s="11"/>
      <c r="L1961" s="11"/>
      <c r="M1961" s="11"/>
      <c r="N1961" s="44" t="n">
        <v>18.19</v>
      </c>
      <c r="O1961" s="11"/>
    </row>
    <row r="1962" customFormat="false" ht="14.25" hidden="false" customHeight="true" outlineLevel="0" collapsed="false">
      <c r="C1962" s="11"/>
      <c r="D1962" s="11"/>
      <c r="E1962" s="11"/>
      <c r="F1962" s="11"/>
      <c r="G1962" s="11"/>
      <c r="H1962" s="11"/>
      <c r="I1962" s="11"/>
      <c r="J1962" s="11"/>
      <c r="K1962" s="11"/>
      <c r="L1962" s="11"/>
      <c r="M1962" s="11"/>
      <c r="N1962" s="44" t="n">
        <v>18.11</v>
      </c>
      <c r="O1962" s="11"/>
    </row>
    <row r="1963" customFormat="false" ht="14.25" hidden="false" customHeight="true" outlineLevel="0" collapsed="false">
      <c r="C1963" s="11"/>
      <c r="D1963" s="11"/>
      <c r="E1963" s="11"/>
      <c r="F1963" s="11"/>
      <c r="G1963" s="11"/>
      <c r="H1963" s="11"/>
      <c r="I1963" s="11"/>
      <c r="J1963" s="11"/>
      <c r="K1963" s="11"/>
      <c r="L1963" s="11"/>
      <c r="M1963" s="11"/>
      <c r="N1963" s="44" t="n">
        <v>18.38</v>
      </c>
      <c r="O1963" s="11"/>
    </row>
    <row r="1964" customFormat="false" ht="14.25" hidden="false" customHeight="true" outlineLevel="0" collapsed="false">
      <c r="C1964" s="11"/>
      <c r="D1964" s="11"/>
      <c r="E1964" s="11"/>
      <c r="F1964" s="11"/>
      <c r="G1964" s="11"/>
      <c r="H1964" s="11"/>
      <c r="I1964" s="11"/>
      <c r="J1964" s="11"/>
      <c r="K1964" s="11"/>
      <c r="L1964" s="11"/>
      <c r="M1964" s="11"/>
      <c r="N1964" s="44" t="n">
        <v>18.24</v>
      </c>
      <c r="O1964" s="11"/>
    </row>
    <row r="1965" customFormat="false" ht="14.25" hidden="false" customHeight="true" outlineLevel="0" collapsed="false">
      <c r="C1965" s="11"/>
      <c r="D1965" s="11"/>
      <c r="E1965" s="11"/>
      <c r="F1965" s="11"/>
      <c r="G1965" s="11"/>
      <c r="H1965" s="11"/>
      <c r="I1965" s="11"/>
      <c r="J1965" s="11"/>
      <c r="K1965" s="11"/>
      <c r="L1965" s="11"/>
      <c r="M1965" s="11"/>
      <c r="N1965" s="44" t="n">
        <v>18.53</v>
      </c>
      <c r="O1965" s="11"/>
    </row>
    <row r="1966" customFormat="false" ht="14.25" hidden="false" customHeight="true" outlineLevel="0" collapsed="false">
      <c r="C1966" s="11"/>
      <c r="D1966" s="11"/>
      <c r="E1966" s="11"/>
      <c r="F1966" s="11"/>
      <c r="G1966" s="11"/>
      <c r="H1966" s="11"/>
      <c r="I1966" s="11"/>
      <c r="J1966" s="11"/>
      <c r="K1966" s="11"/>
      <c r="L1966" s="11"/>
      <c r="M1966" s="11"/>
      <c r="N1966" s="44" t="n">
        <v>18.17</v>
      </c>
      <c r="O1966" s="11"/>
    </row>
    <row r="1967" customFormat="false" ht="14.25" hidden="false" customHeight="true" outlineLevel="0" collapsed="false">
      <c r="C1967" s="11"/>
      <c r="D1967" s="11"/>
      <c r="E1967" s="11"/>
      <c r="F1967" s="11"/>
      <c r="G1967" s="11"/>
      <c r="H1967" s="11"/>
      <c r="I1967" s="11"/>
      <c r="J1967" s="11"/>
      <c r="K1967" s="11"/>
      <c r="L1967" s="11"/>
      <c r="M1967" s="11"/>
      <c r="N1967" s="44" t="n">
        <v>18.17</v>
      </c>
      <c r="O1967" s="11"/>
    </row>
    <row r="1968" customFormat="false" ht="14.25" hidden="false" customHeight="true" outlineLevel="0" collapsed="false">
      <c r="C1968" s="11"/>
      <c r="D1968" s="11"/>
      <c r="E1968" s="11"/>
      <c r="F1968" s="11"/>
      <c r="G1968" s="11"/>
      <c r="H1968" s="11"/>
      <c r="I1968" s="11"/>
      <c r="J1968" s="11"/>
      <c r="K1968" s="11"/>
      <c r="L1968" s="11"/>
      <c r="M1968" s="11"/>
      <c r="N1968" s="44" t="n">
        <v>18.15</v>
      </c>
      <c r="O1968" s="11"/>
    </row>
    <row r="1969" customFormat="false" ht="14.25" hidden="false" customHeight="true" outlineLevel="0" collapsed="false">
      <c r="C1969" s="11"/>
      <c r="D1969" s="11"/>
      <c r="E1969" s="11"/>
      <c r="F1969" s="11"/>
      <c r="G1969" s="11"/>
      <c r="H1969" s="11"/>
      <c r="I1969" s="11"/>
      <c r="J1969" s="11"/>
      <c r="K1969" s="11"/>
      <c r="L1969" s="11"/>
      <c r="M1969" s="11"/>
      <c r="N1969" s="44" t="n">
        <v>18.13</v>
      </c>
      <c r="O1969" s="11"/>
    </row>
    <row r="1970" customFormat="false" ht="14.25" hidden="false" customHeight="true" outlineLevel="0" collapsed="false">
      <c r="C1970" s="11"/>
      <c r="D1970" s="11"/>
      <c r="E1970" s="11"/>
      <c r="F1970" s="11"/>
      <c r="G1970" s="11"/>
      <c r="H1970" s="11"/>
      <c r="I1970" s="11"/>
      <c r="J1970" s="11"/>
      <c r="K1970" s="11"/>
      <c r="L1970" s="11"/>
      <c r="M1970" s="11"/>
      <c r="N1970" s="44" t="n">
        <v>18.09</v>
      </c>
      <c r="O1970" s="11"/>
    </row>
    <row r="1971" customFormat="false" ht="14.25" hidden="false" customHeight="true" outlineLevel="0" collapsed="false">
      <c r="C1971" s="11"/>
      <c r="D1971" s="11"/>
      <c r="E1971" s="11"/>
      <c r="F1971" s="11"/>
      <c r="G1971" s="11"/>
      <c r="H1971" s="11"/>
      <c r="I1971" s="11"/>
      <c r="J1971" s="11"/>
      <c r="K1971" s="11"/>
      <c r="L1971" s="11"/>
      <c r="M1971" s="11"/>
      <c r="N1971" s="44" t="n">
        <v>17.76</v>
      </c>
      <c r="O1971" s="11"/>
    </row>
    <row r="1972" customFormat="false" ht="14.25" hidden="false" customHeight="true" outlineLevel="0" collapsed="false">
      <c r="C1972" s="11"/>
      <c r="D1972" s="11"/>
      <c r="E1972" s="11"/>
      <c r="F1972" s="11"/>
      <c r="G1972" s="11"/>
      <c r="H1972" s="11"/>
      <c r="I1972" s="11"/>
      <c r="J1972" s="11"/>
      <c r="K1972" s="11"/>
      <c r="L1972" s="11"/>
      <c r="M1972" s="11"/>
      <c r="N1972" s="44" t="n">
        <v>17.87</v>
      </c>
      <c r="O1972" s="11"/>
    </row>
    <row r="1973" customFormat="false" ht="14.25" hidden="false" customHeight="true" outlineLevel="0" collapsed="false">
      <c r="C1973" s="11"/>
      <c r="D1973" s="11"/>
      <c r="E1973" s="11"/>
      <c r="F1973" s="11"/>
      <c r="G1973" s="11"/>
      <c r="H1973" s="11"/>
      <c r="I1973" s="11"/>
      <c r="J1973" s="11"/>
      <c r="K1973" s="11"/>
      <c r="L1973" s="11"/>
      <c r="M1973" s="11"/>
      <c r="N1973" s="44" t="n">
        <v>18.05</v>
      </c>
      <c r="O1973" s="11"/>
    </row>
    <row r="1974" customFormat="false" ht="14.25" hidden="false" customHeight="true" outlineLevel="0" collapsed="false">
      <c r="C1974" s="11"/>
      <c r="D1974" s="11"/>
      <c r="E1974" s="11"/>
      <c r="F1974" s="11"/>
      <c r="G1974" s="11"/>
      <c r="H1974" s="11"/>
      <c r="I1974" s="11"/>
      <c r="J1974" s="11"/>
      <c r="K1974" s="11"/>
      <c r="L1974" s="11"/>
      <c r="M1974" s="11"/>
      <c r="N1974" s="44" t="n">
        <v>18.07</v>
      </c>
      <c r="O1974" s="11"/>
    </row>
    <row r="1975" customFormat="false" ht="14.25" hidden="false" customHeight="true" outlineLevel="0" collapsed="false">
      <c r="C1975" s="11"/>
      <c r="D1975" s="11"/>
      <c r="E1975" s="11"/>
      <c r="F1975" s="11"/>
      <c r="G1975" s="11"/>
      <c r="H1975" s="11"/>
      <c r="I1975" s="11"/>
      <c r="J1975" s="11"/>
      <c r="K1975" s="11"/>
      <c r="L1975" s="11"/>
      <c r="M1975" s="11"/>
      <c r="N1975" s="44" t="n">
        <v>18.57</v>
      </c>
      <c r="O1975" s="11"/>
    </row>
    <row r="1976" customFormat="false" ht="14.25" hidden="false" customHeight="true" outlineLevel="0" collapsed="false">
      <c r="C1976" s="11"/>
      <c r="D1976" s="11"/>
      <c r="E1976" s="11"/>
      <c r="F1976" s="11"/>
      <c r="G1976" s="11"/>
      <c r="H1976" s="11"/>
      <c r="I1976" s="11"/>
      <c r="J1976" s="11"/>
      <c r="K1976" s="11"/>
      <c r="L1976" s="11"/>
      <c r="M1976" s="11"/>
      <c r="N1976" s="44" t="n">
        <v>18.69</v>
      </c>
      <c r="O1976" s="11"/>
    </row>
    <row r="1977" customFormat="false" ht="14.25" hidden="false" customHeight="true" outlineLevel="0" collapsed="false">
      <c r="C1977" s="11"/>
      <c r="D1977" s="11"/>
      <c r="E1977" s="11"/>
      <c r="F1977" s="11"/>
      <c r="G1977" s="11"/>
      <c r="H1977" s="11"/>
      <c r="I1977" s="11"/>
      <c r="J1977" s="11"/>
      <c r="K1977" s="11"/>
      <c r="L1977" s="11"/>
      <c r="M1977" s="11"/>
      <c r="N1977" s="44" t="n">
        <v>18.88</v>
      </c>
      <c r="O1977" s="11"/>
    </row>
    <row r="1978" customFormat="false" ht="14.25" hidden="false" customHeight="true" outlineLevel="0" collapsed="false">
      <c r="C1978" s="11"/>
      <c r="D1978" s="11"/>
      <c r="E1978" s="11"/>
      <c r="F1978" s="11"/>
      <c r="G1978" s="11"/>
      <c r="H1978" s="11"/>
      <c r="I1978" s="11"/>
      <c r="J1978" s="11"/>
      <c r="K1978" s="11"/>
      <c r="L1978" s="11"/>
      <c r="M1978" s="11"/>
      <c r="N1978" s="44" t="n">
        <v>18.88</v>
      </c>
      <c r="O1978" s="11"/>
    </row>
    <row r="1979" customFormat="false" ht="14.25" hidden="false" customHeight="true" outlineLevel="0" collapsed="false">
      <c r="C1979" s="11"/>
      <c r="D1979" s="11"/>
      <c r="E1979" s="11"/>
      <c r="F1979" s="11"/>
      <c r="G1979" s="11"/>
      <c r="H1979" s="11"/>
      <c r="I1979" s="11"/>
      <c r="J1979" s="11"/>
      <c r="K1979" s="11"/>
      <c r="L1979" s="11"/>
      <c r="M1979" s="11"/>
      <c r="N1979" s="44" t="n">
        <v>18.63</v>
      </c>
      <c r="O1979" s="11"/>
    </row>
    <row r="1980" customFormat="false" ht="14.25" hidden="false" customHeight="true" outlineLevel="0" collapsed="false">
      <c r="C1980" s="11"/>
      <c r="D1980" s="11"/>
      <c r="E1980" s="11"/>
      <c r="F1980" s="11"/>
      <c r="G1980" s="11"/>
      <c r="H1980" s="11"/>
      <c r="I1980" s="11"/>
      <c r="J1980" s="11"/>
      <c r="K1980" s="11"/>
      <c r="L1980" s="11"/>
      <c r="M1980" s="11"/>
      <c r="N1980" s="44" t="n">
        <v>18.32</v>
      </c>
      <c r="O1980" s="11"/>
    </row>
    <row r="1981" customFormat="false" ht="14.25" hidden="false" customHeight="true" outlineLevel="0" collapsed="false">
      <c r="C1981" s="11"/>
      <c r="D1981" s="11"/>
      <c r="E1981" s="11"/>
      <c r="F1981" s="11"/>
      <c r="G1981" s="11"/>
      <c r="H1981" s="11"/>
      <c r="I1981" s="11"/>
      <c r="J1981" s="11"/>
      <c r="K1981" s="11"/>
      <c r="L1981" s="11"/>
      <c r="M1981" s="11"/>
      <c r="N1981" s="44" t="n">
        <v>18.45</v>
      </c>
      <c r="O1981" s="11"/>
    </row>
    <row r="1982" customFormat="false" ht="14.25" hidden="false" customHeight="true" outlineLevel="0" collapsed="false">
      <c r="C1982" s="11"/>
      <c r="D1982" s="11"/>
      <c r="E1982" s="11"/>
      <c r="F1982" s="11"/>
      <c r="G1982" s="11"/>
      <c r="H1982" s="11"/>
      <c r="I1982" s="11"/>
      <c r="J1982" s="11"/>
      <c r="K1982" s="11"/>
      <c r="L1982" s="11"/>
      <c r="M1982" s="11"/>
      <c r="N1982" s="44" t="n">
        <v>18.54</v>
      </c>
      <c r="O1982" s="11"/>
    </row>
    <row r="1983" customFormat="false" ht="14.25" hidden="false" customHeight="true" outlineLevel="0" collapsed="false">
      <c r="C1983" s="11"/>
      <c r="D1983" s="11"/>
      <c r="E1983" s="11"/>
      <c r="F1983" s="11"/>
      <c r="G1983" s="11"/>
      <c r="H1983" s="11"/>
      <c r="I1983" s="11"/>
      <c r="J1983" s="11"/>
      <c r="K1983" s="11"/>
      <c r="L1983" s="11"/>
      <c r="M1983" s="11"/>
      <c r="N1983" s="44" t="n">
        <v>18.51</v>
      </c>
      <c r="O1983" s="11"/>
    </row>
    <row r="1984" customFormat="false" ht="14.25" hidden="false" customHeight="true" outlineLevel="0" collapsed="false">
      <c r="C1984" s="11"/>
      <c r="D1984" s="11"/>
      <c r="E1984" s="11"/>
      <c r="F1984" s="11"/>
      <c r="G1984" s="11"/>
      <c r="H1984" s="11"/>
      <c r="I1984" s="11"/>
      <c r="J1984" s="11"/>
      <c r="K1984" s="11"/>
      <c r="L1984" s="11"/>
      <c r="M1984" s="11"/>
      <c r="N1984" s="44" t="n">
        <v>18.77</v>
      </c>
      <c r="O1984" s="11"/>
    </row>
    <row r="1985" customFormat="false" ht="14.25" hidden="false" customHeight="true" outlineLevel="0" collapsed="false">
      <c r="C1985" s="11"/>
      <c r="D1985" s="11"/>
      <c r="E1985" s="11"/>
      <c r="F1985" s="11"/>
      <c r="G1985" s="11"/>
      <c r="H1985" s="11"/>
      <c r="I1985" s="11"/>
      <c r="J1985" s="11"/>
      <c r="K1985" s="11"/>
      <c r="L1985" s="11"/>
      <c r="M1985" s="11"/>
      <c r="N1985" s="44" t="n">
        <v>18.86</v>
      </c>
      <c r="O1985" s="11"/>
    </row>
    <row r="1986" customFormat="false" ht="14.25" hidden="false" customHeight="true" outlineLevel="0" collapsed="false">
      <c r="C1986" s="11"/>
      <c r="D1986" s="11"/>
      <c r="E1986" s="11"/>
      <c r="F1986" s="11"/>
      <c r="G1986" s="11"/>
      <c r="H1986" s="11"/>
      <c r="I1986" s="11"/>
      <c r="J1986" s="11"/>
      <c r="K1986" s="11"/>
      <c r="L1986" s="11"/>
      <c r="M1986" s="11"/>
      <c r="N1986" s="44" t="n">
        <v>18.82</v>
      </c>
      <c r="O1986" s="11"/>
    </row>
    <row r="1987" customFormat="false" ht="14.25" hidden="false" customHeight="true" outlineLevel="0" collapsed="false">
      <c r="C1987" s="11"/>
      <c r="D1987" s="11"/>
      <c r="E1987" s="11"/>
      <c r="F1987" s="11"/>
      <c r="G1987" s="11"/>
      <c r="H1987" s="11"/>
      <c r="I1987" s="11"/>
      <c r="J1987" s="11"/>
      <c r="K1987" s="11"/>
      <c r="L1987" s="11"/>
      <c r="M1987" s="11"/>
      <c r="N1987" s="44" t="n">
        <v>18.83</v>
      </c>
      <c r="O1987" s="11"/>
    </row>
    <row r="1988" customFormat="false" ht="14.25" hidden="false" customHeight="true" outlineLevel="0" collapsed="false">
      <c r="C1988" s="11"/>
      <c r="D1988" s="11"/>
      <c r="E1988" s="11"/>
      <c r="F1988" s="11"/>
      <c r="G1988" s="11"/>
      <c r="H1988" s="11"/>
      <c r="I1988" s="11"/>
      <c r="J1988" s="11"/>
      <c r="K1988" s="11"/>
      <c r="L1988" s="11"/>
      <c r="M1988" s="11"/>
      <c r="N1988" s="44" t="n">
        <v>19.07</v>
      </c>
      <c r="O1988" s="11"/>
    </row>
    <row r="1989" customFormat="false" ht="14.25" hidden="false" customHeight="true" outlineLevel="0" collapsed="false">
      <c r="C1989" s="11"/>
      <c r="D1989" s="11"/>
      <c r="E1989" s="11"/>
      <c r="F1989" s="11"/>
      <c r="G1989" s="11"/>
      <c r="H1989" s="11"/>
      <c r="I1989" s="11"/>
      <c r="J1989" s="11"/>
      <c r="K1989" s="11"/>
      <c r="L1989" s="11"/>
      <c r="M1989" s="11"/>
      <c r="N1989" s="44" t="n">
        <v>18.88</v>
      </c>
      <c r="O1989" s="11"/>
    </row>
    <row r="1990" customFormat="false" ht="14.25" hidden="false" customHeight="true" outlineLevel="0" collapsed="false">
      <c r="C1990" s="11"/>
      <c r="D1990" s="11"/>
      <c r="E1990" s="11"/>
      <c r="F1990" s="11"/>
      <c r="G1990" s="11"/>
      <c r="H1990" s="11"/>
      <c r="I1990" s="11"/>
      <c r="J1990" s="11"/>
      <c r="K1990" s="11"/>
      <c r="L1990" s="11"/>
      <c r="M1990" s="11"/>
      <c r="N1990" s="44" t="n">
        <v>19.12</v>
      </c>
      <c r="O1990" s="11"/>
    </row>
    <row r="1991" customFormat="false" ht="14.25" hidden="false" customHeight="true" outlineLevel="0" collapsed="false">
      <c r="C1991" s="11"/>
      <c r="D1991" s="11"/>
      <c r="E1991" s="11"/>
      <c r="F1991" s="11"/>
      <c r="G1991" s="11"/>
      <c r="H1991" s="11"/>
      <c r="I1991" s="11"/>
      <c r="J1991" s="11"/>
      <c r="K1991" s="11"/>
      <c r="L1991" s="11"/>
      <c r="M1991" s="11"/>
      <c r="N1991" s="44" t="n">
        <v>19.07</v>
      </c>
      <c r="O1991" s="11"/>
    </row>
    <row r="1992" customFormat="false" ht="14.25" hidden="false" customHeight="true" outlineLevel="0" collapsed="false">
      <c r="C1992" s="11"/>
      <c r="D1992" s="11"/>
      <c r="E1992" s="11"/>
      <c r="F1992" s="11"/>
      <c r="G1992" s="11"/>
      <c r="H1992" s="11"/>
      <c r="I1992" s="11"/>
      <c r="J1992" s="11"/>
      <c r="K1992" s="11"/>
      <c r="L1992" s="11"/>
      <c r="M1992" s="11"/>
      <c r="N1992" s="44" t="n">
        <v>19.27</v>
      </c>
      <c r="O1992" s="11"/>
    </row>
    <row r="1993" customFormat="false" ht="14.25" hidden="false" customHeight="true" outlineLevel="0" collapsed="false">
      <c r="C1993" s="11"/>
      <c r="D1993" s="11"/>
      <c r="E1993" s="11"/>
      <c r="F1993" s="11"/>
      <c r="G1993" s="11"/>
      <c r="H1993" s="11"/>
      <c r="I1993" s="11"/>
      <c r="J1993" s="11"/>
      <c r="K1993" s="11"/>
      <c r="L1993" s="11"/>
      <c r="M1993" s="11"/>
      <c r="N1993" s="44" t="n">
        <v>18.4</v>
      </c>
      <c r="O1993" s="11"/>
    </row>
    <row r="1994" customFormat="false" ht="14.25" hidden="false" customHeight="true" outlineLevel="0" collapsed="false">
      <c r="C1994" s="11"/>
      <c r="D1994" s="11"/>
      <c r="E1994" s="11"/>
      <c r="F1994" s="11"/>
      <c r="G1994" s="11"/>
      <c r="H1994" s="11"/>
      <c r="I1994" s="11"/>
      <c r="J1994" s="11"/>
      <c r="K1994" s="11"/>
      <c r="L1994" s="11"/>
      <c r="M1994" s="11"/>
      <c r="N1994" s="44" t="n">
        <v>18.11</v>
      </c>
      <c r="O1994" s="11"/>
    </row>
    <row r="1995" customFormat="false" ht="14.25" hidden="false" customHeight="true" outlineLevel="0" collapsed="false">
      <c r="C1995" s="11"/>
      <c r="D1995" s="11"/>
      <c r="E1995" s="11"/>
      <c r="F1995" s="11"/>
      <c r="G1995" s="11"/>
      <c r="H1995" s="11"/>
      <c r="I1995" s="11"/>
      <c r="J1995" s="11"/>
      <c r="K1995" s="11"/>
      <c r="L1995" s="11"/>
      <c r="M1995" s="11"/>
      <c r="N1995" s="44" t="n">
        <v>18.18</v>
      </c>
      <c r="O1995" s="11"/>
    </row>
    <row r="1996" customFormat="false" ht="14.25" hidden="false" customHeight="true" outlineLevel="0" collapsed="false">
      <c r="C1996" s="11"/>
      <c r="D1996" s="11"/>
      <c r="E1996" s="11"/>
      <c r="F1996" s="11"/>
      <c r="G1996" s="11"/>
      <c r="H1996" s="11"/>
      <c r="I1996" s="11"/>
      <c r="J1996" s="11"/>
      <c r="K1996" s="11"/>
      <c r="L1996" s="11"/>
      <c r="M1996" s="11"/>
      <c r="N1996" s="44" t="n">
        <v>17.78</v>
      </c>
      <c r="O1996" s="11"/>
    </row>
    <row r="1997" customFormat="false" ht="14.25" hidden="false" customHeight="true" outlineLevel="0" collapsed="false">
      <c r="C1997" s="11"/>
      <c r="D1997" s="11"/>
      <c r="E1997" s="11"/>
      <c r="F1997" s="11"/>
      <c r="G1997" s="11"/>
      <c r="H1997" s="11"/>
      <c r="I1997" s="11"/>
      <c r="J1997" s="11"/>
      <c r="K1997" s="11"/>
      <c r="L1997" s="11"/>
      <c r="M1997" s="11"/>
      <c r="N1997" s="44" t="n">
        <v>17.81</v>
      </c>
      <c r="O1997" s="11"/>
    </row>
    <row r="1998" customFormat="false" ht="14.25" hidden="false" customHeight="true" outlineLevel="0" collapsed="false">
      <c r="C1998" s="11"/>
      <c r="D1998" s="11"/>
      <c r="E1998" s="11"/>
      <c r="F1998" s="11"/>
      <c r="G1998" s="11"/>
      <c r="H1998" s="11"/>
      <c r="I1998" s="11"/>
      <c r="J1998" s="11"/>
      <c r="K1998" s="11"/>
      <c r="L1998" s="11"/>
      <c r="M1998" s="11"/>
      <c r="N1998" s="44" t="n">
        <v>17.58</v>
      </c>
      <c r="O1998" s="11"/>
    </row>
    <row r="1999" customFormat="false" ht="14.25" hidden="false" customHeight="true" outlineLevel="0" collapsed="false">
      <c r="C1999" s="11"/>
      <c r="D1999" s="11"/>
      <c r="E1999" s="11"/>
      <c r="F1999" s="11"/>
      <c r="G1999" s="11"/>
      <c r="H1999" s="11"/>
      <c r="I1999" s="11"/>
      <c r="J1999" s="11"/>
      <c r="K1999" s="11"/>
      <c r="L1999" s="11"/>
      <c r="M1999" s="11"/>
      <c r="N1999" s="44" t="n">
        <v>17.53</v>
      </c>
      <c r="O1999" s="11"/>
    </row>
    <row r="2000" customFormat="false" ht="14.25" hidden="false" customHeight="true" outlineLevel="0" collapsed="false">
      <c r="C2000" s="11"/>
      <c r="D2000" s="11"/>
      <c r="E2000" s="11"/>
      <c r="F2000" s="11"/>
      <c r="G2000" s="11"/>
      <c r="H2000" s="11"/>
      <c r="I2000" s="11"/>
      <c r="J2000" s="11"/>
      <c r="K2000" s="11"/>
      <c r="L2000" s="11"/>
      <c r="M2000" s="11"/>
      <c r="N2000" s="44" t="n">
        <v>17.29</v>
      </c>
      <c r="O2000" s="11"/>
    </row>
    <row r="2001" customFormat="false" ht="14.25" hidden="false" customHeight="true" outlineLevel="0" collapsed="false">
      <c r="C2001" s="11"/>
      <c r="D2001" s="11"/>
      <c r="E2001" s="11"/>
      <c r="F2001" s="11"/>
      <c r="G2001" s="11"/>
      <c r="H2001" s="11"/>
      <c r="I2001" s="11"/>
      <c r="J2001" s="11"/>
      <c r="K2001" s="11"/>
      <c r="L2001" s="11"/>
      <c r="M2001" s="11"/>
      <c r="N2001" s="44" t="n">
        <v>17.18</v>
      </c>
      <c r="O2001" s="11"/>
    </row>
    <row r="2002" customFormat="false" ht="14.25" hidden="false" customHeight="true" outlineLevel="0" collapsed="false">
      <c r="C2002" s="11"/>
      <c r="D2002" s="11"/>
      <c r="E2002" s="11"/>
      <c r="F2002" s="11"/>
      <c r="G2002" s="11"/>
      <c r="H2002" s="11"/>
      <c r="I2002" s="11"/>
      <c r="J2002" s="11"/>
      <c r="K2002" s="11"/>
      <c r="L2002" s="11"/>
      <c r="M2002" s="11"/>
      <c r="N2002" s="44" t="n">
        <v>17.58</v>
      </c>
      <c r="O2002" s="11"/>
    </row>
    <row r="2003" customFormat="false" ht="14.25" hidden="false" customHeight="true" outlineLevel="0" collapsed="false">
      <c r="C2003" s="11"/>
      <c r="D2003" s="11"/>
      <c r="E2003" s="11"/>
      <c r="F2003" s="11"/>
      <c r="G2003" s="11"/>
      <c r="H2003" s="11"/>
      <c r="I2003" s="11"/>
      <c r="J2003" s="11"/>
      <c r="K2003" s="11"/>
      <c r="L2003" s="11"/>
      <c r="M2003" s="11"/>
      <c r="N2003" s="44" t="n">
        <v>17.56</v>
      </c>
      <c r="O2003" s="11"/>
    </row>
    <row r="2004" customFormat="false" ht="14.25" hidden="false" customHeight="true" outlineLevel="0" collapsed="false">
      <c r="C2004" s="11"/>
      <c r="D2004" s="11"/>
      <c r="E2004" s="11"/>
      <c r="F2004" s="11"/>
      <c r="G2004" s="11"/>
      <c r="H2004" s="11"/>
      <c r="I2004" s="11"/>
      <c r="J2004" s="11"/>
      <c r="K2004" s="11"/>
      <c r="L2004" s="11"/>
      <c r="M2004" s="11"/>
      <c r="N2004" s="44" t="n">
        <v>17.48</v>
      </c>
      <c r="O2004" s="11"/>
    </row>
    <row r="2005" customFormat="false" ht="14.25" hidden="false" customHeight="true" outlineLevel="0" collapsed="false">
      <c r="C2005" s="11"/>
      <c r="D2005" s="11"/>
      <c r="E2005" s="11"/>
      <c r="F2005" s="11"/>
      <c r="G2005" s="11"/>
      <c r="H2005" s="11"/>
      <c r="I2005" s="11"/>
      <c r="J2005" s="11"/>
      <c r="K2005" s="11"/>
      <c r="L2005" s="11"/>
      <c r="M2005" s="11"/>
      <c r="N2005" s="44" t="n">
        <v>17.36</v>
      </c>
      <c r="O2005" s="11"/>
    </row>
    <row r="2006" customFormat="false" ht="14.25" hidden="false" customHeight="true" outlineLevel="0" collapsed="false">
      <c r="C2006" s="11"/>
      <c r="D2006" s="11"/>
      <c r="E2006" s="11"/>
      <c r="F2006" s="11"/>
      <c r="G2006" s="11"/>
      <c r="H2006" s="11"/>
      <c r="I2006" s="11"/>
      <c r="J2006" s="11"/>
      <c r="K2006" s="11"/>
      <c r="L2006" s="11"/>
      <c r="M2006" s="11"/>
      <c r="N2006" s="44" t="n">
        <v>17.5</v>
      </c>
      <c r="O2006" s="11"/>
    </row>
    <row r="2007" customFormat="false" ht="14.25" hidden="false" customHeight="true" outlineLevel="0" collapsed="false">
      <c r="C2007" s="11"/>
      <c r="D2007" s="11"/>
      <c r="E2007" s="11"/>
      <c r="F2007" s="11"/>
      <c r="G2007" s="11"/>
      <c r="H2007" s="11"/>
      <c r="I2007" s="11"/>
      <c r="J2007" s="11"/>
      <c r="K2007" s="11"/>
      <c r="L2007" s="11"/>
      <c r="M2007" s="11"/>
      <c r="N2007" s="44" t="n">
        <v>17.46</v>
      </c>
      <c r="O2007" s="11"/>
    </row>
    <row r="2008" customFormat="false" ht="14.25" hidden="false" customHeight="true" outlineLevel="0" collapsed="false">
      <c r="C2008" s="11"/>
      <c r="D2008" s="11"/>
      <c r="E2008" s="11"/>
      <c r="F2008" s="11"/>
      <c r="G2008" s="11"/>
      <c r="H2008" s="11"/>
      <c r="I2008" s="11"/>
      <c r="J2008" s="11"/>
      <c r="K2008" s="11"/>
      <c r="L2008" s="11"/>
      <c r="M2008" s="11"/>
      <c r="N2008" s="44" t="n">
        <v>17.34</v>
      </c>
      <c r="O2008" s="11"/>
    </row>
    <row r="2009" customFormat="false" ht="14.25" hidden="false" customHeight="true" outlineLevel="0" collapsed="false">
      <c r="C2009" s="11"/>
      <c r="D2009" s="11"/>
      <c r="E2009" s="11"/>
      <c r="F2009" s="11"/>
      <c r="G2009" s="11"/>
      <c r="H2009" s="11"/>
      <c r="I2009" s="11"/>
      <c r="J2009" s="11"/>
      <c r="K2009" s="11"/>
      <c r="L2009" s="11"/>
      <c r="M2009" s="11"/>
      <c r="N2009" s="44" t="n">
        <v>17.17</v>
      </c>
      <c r="O2009" s="11"/>
    </row>
    <row r="2010" customFormat="false" ht="14.25" hidden="false" customHeight="true" outlineLevel="0" collapsed="false">
      <c r="C2010" s="11"/>
      <c r="D2010" s="11"/>
      <c r="E2010" s="11"/>
      <c r="F2010" s="11"/>
      <c r="G2010" s="11"/>
      <c r="H2010" s="11"/>
      <c r="I2010" s="11"/>
      <c r="J2010" s="11"/>
      <c r="K2010" s="11"/>
      <c r="L2010" s="11"/>
      <c r="M2010" s="11"/>
      <c r="N2010" s="44" t="n">
        <v>16.97</v>
      </c>
      <c r="O2010" s="11"/>
    </row>
    <row r="2011" customFormat="false" ht="14.25" hidden="false" customHeight="true" outlineLevel="0" collapsed="false">
      <c r="C2011" s="11"/>
      <c r="D2011" s="11"/>
      <c r="E2011" s="11"/>
      <c r="F2011" s="11"/>
      <c r="G2011" s="11"/>
      <c r="H2011" s="11"/>
      <c r="I2011" s="11"/>
      <c r="J2011" s="11"/>
      <c r="K2011" s="11"/>
      <c r="L2011" s="11"/>
      <c r="M2011" s="11"/>
      <c r="N2011" s="44" t="n">
        <v>17.01</v>
      </c>
      <c r="O2011" s="11"/>
    </row>
    <row r="2012" customFormat="false" ht="14.25" hidden="false" customHeight="true" outlineLevel="0" collapsed="false">
      <c r="C2012" s="11"/>
      <c r="D2012" s="11"/>
      <c r="E2012" s="11"/>
      <c r="F2012" s="11"/>
      <c r="G2012" s="11"/>
      <c r="H2012" s="11"/>
      <c r="I2012" s="11"/>
      <c r="J2012" s="11"/>
      <c r="K2012" s="11"/>
      <c r="L2012" s="11"/>
      <c r="M2012" s="11"/>
      <c r="N2012" s="44" t="n">
        <v>16.92</v>
      </c>
      <c r="O2012" s="11"/>
    </row>
    <row r="2013" customFormat="false" ht="14.25" hidden="false" customHeight="true" outlineLevel="0" collapsed="false">
      <c r="C2013" s="11"/>
      <c r="D2013" s="11"/>
      <c r="E2013" s="11"/>
      <c r="F2013" s="11"/>
      <c r="G2013" s="11"/>
      <c r="H2013" s="11"/>
      <c r="I2013" s="11"/>
      <c r="J2013" s="11"/>
      <c r="K2013" s="11"/>
      <c r="L2013" s="11"/>
      <c r="M2013" s="11"/>
      <c r="N2013" s="44" t="n">
        <v>16.79</v>
      </c>
      <c r="O2013" s="11"/>
    </row>
    <row r="2014" customFormat="false" ht="14.25" hidden="false" customHeight="true" outlineLevel="0" collapsed="false">
      <c r="C2014" s="11"/>
      <c r="D2014" s="11"/>
      <c r="E2014" s="11"/>
      <c r="F2014" s="11"/>
      <c r="G2014" s="11"/>
      <c r="H2014" s="11"/>
      <c r="I2014" s="11"/>
      <c r="J2014" s="11"/>
      <c r="K2014" s="11"/>
      <c r="L2014" s="11"/>
      <c r="M2014" s="11"/>
      <c r="N2014" s="44" t="n">
        <v>17.06</v>
      </c>
      <c r="O2014" s="11"/>
    </row>
    <row r="2015" customFormat="false" ht="14.25" hidden="false" customHeight="true" outlineLevel="0" collapsed="false">
      <c r="C2015" s="11"/>
      <c r="D2015" s="11"/>
      <c r="E2015" s="11"/>
      <c r="F2015" s="11"/>
      <c r="G2015" s="11"/>
      <c r="H2015" s="11"/>
      <c r="I2015" s="11"/>
      <c r="J2015" s="11"/>
      <c r="K2015" s="11"/>
      <c r="L2015" s="11"/>
      <c r="M2015" s="11"/>
      <c r="N2015" s="44" t="n">
        <v>16.88</v>
      </c>
      <c r="O2015" s="11"/>
    </row>
    <row r="2016" customFormat="false" ht="14.25" hidden="false" customHeight="true" outlineLevel="0" collapsed="false">
      <c r="C2016" s="11"/>
      <c r="D2016" s="11"/>
      <c r="E2016" s="11"/>
      <c r="F2016" s="11"/>
      <c r="G2016" s="11"/>
      <c r="H2016" s="11"/>
      <c r="I2016" s="11"/>
      <c r="J2016" s="11"/>
      <c r="K2016" s="11"/>
      <c r="L2016" s="11"/>
      <c r="M2016" s="11"/>
      <c r="N2016" s="44" t="n">
        <v>16.86</v>
      </c>
      <c r="O2016" s="11"/>
    </row>
    <row r="2017" customFormat="false" ht="14.25" hidden="false" customHeight="true" outlineLevel="0" collapsed="false">
      <c r="C2017" s="11"/>
      <c r="D2017" s="11"/>
      <c r="E2017" s="11"/>
      <c r="F2017" s="11"/>
      <c r="G2017" s="11"/>
      <c r="H2017" s="11"/>
      <c r="I2017" s="11"/>
      <c r="J2017" s="11"/>
      <c r="K2017" s="11"/>
      <c r="L2017" s="11"/>
      <c r="M2017" s="11"/>
      <c r="N2017" s="44" t="n">
        <v>16.92</v>
      </c>
      <c r="O2017" s="11"/>
    </row>
    <row r="2018" customFormat="false" ht="14.25" hidden="false" customHeight="true" outlineLevel="0" collapsed="false">
      <c r="C2018" s="11"/>
      <c r="D2018" s="11"/>
      <c r="E2018" s="11"/>
      <c r="F2018" s="11"/>
      <c r="G2018" s="11"/>
      <c r="H2018" s="11"/>
      <c r="I2018" s="11"/>
      <c r="J2018" s="11"/>
      <c r="K2018" s="11"/>
      <c r="L2018" s="11"/>
      <c r="M2018" s="11"/>
      <c r="N2018" s="44" t="n">
        <v>16.89</v>
      </c>
      <c r="O2018" s="11"/>
    </row>
    <row r="2019" customFormat="false" ht="14.25" hidden="false" customHeight="true" outlineLevel="0" collapsed="false">
      <c r="C2019" s="11"/>
      <c r="D2019" s="11"/>
      <c r="E2019" s="11"/>
      <c r="F2019" s="11"/>
      <c r="G2019" s="11"/>
      <c r="H2019" s="11"/>
      <c r="I2019" s="11"/>
      <c r="J2019" s="11"/>
      <c r="K2019" s="11"/>
      <c r="L2019" s="11"/>
      <c r="M2019" s="11"/>
      <c r="N2019" s="44" t="n">
        <v>16.75</v>
      </c>
      <c r="O2019" s="11"/>
    </row>
    <row r="2020" customFormat="false" ht="14.25" hidden="false" customHeight="true" outlineLevel="0" collapsed="false">
      <c r="C2020" s="11"/>
      <c r="D2020" s="11"/>
      <c r="E2020" s="11"/>
      <c r="F2020" s="11"/>
      <c r="G2020" s="11"/>
      <c r="H2020" s="11"/>
      <c r="I2020" s="11"/>
      <c r="J2020" s="11"/>
      <c r="K2020" s="11"/>
      <c r="L2020" s="11"/>
      <c r="M2020" s="11"/>
      <c r="N2020" s="44" t="n">
        <v>16.75</v>
      </c>
      <c r="O2020" s="11"/>
    </row>
    <row r="2021" customFormat="false" ht="14.25" hidden="false" customHeight="true" outlineLevel="0" collapsed="false">
      <c r="C2021" s="11"/>
      <c r="D2021" s="11"/>
      <c r="E2021" s="11"/>
      <c r="F2021" s="11"/>
      <c r="G2021" s="11"/>
      <c r="H2021" s="11"/>
      <c r="I2021" s="11"/>
      <c r="J2021" s="11"/>
      <c r="K2021" s="11"/>
      <c r="L2021" s="11"/>
      <c r="M2021" s="11"/>
      <c r="N2021" s="44" t="n">
        <v>16.97</v>
      </c>
      <c r="O2021" s="11"/>
    </row>
    <row r="2022" customFormat="false" ht="14.25" hidden="false" customHeight="true" outlineLevel="0" collapsed="false">
      <c r="C2022" s="11"/>
      <c r="D2022" s="11"/>
      <c r="E2022" s="11"/>
      <c r="F2022" s="11"/>
      <c r="G2022" s="11"/>
      <c r="H2022" s="11"/>
      <c r="I2022" s="11"/>
      <c r="J2022" s="11"/>
      <c r="K2022" s="11"/>
      <c r="L2022" s="11"/>
      <c r="M2022" s="11"/>
      <c r="N2022" s="44" t="n">
        <v>16.96</v>
      </c>
      <c r="O2022" s="11"/>
    </row>
    <row r="2023" customFormat="false" ht="14.25" hidden="false" customHeight="true" outlineLevel="0" collapsed="false">
      <c r="C2023" s="11"/>
      <c r="D2023" s="11"/>
      <c r="E2023" s="11"/>
      <c r="F2023" s="11"/>
      <c r="G2023" s="11"/>
      <c r="H2023" s="11"/>
      <c r="I2023" s="11"/>
      <c r="J2023" s="11"/>
      <c r="K2023" s="11"/>
      <c r="L2023" s="11"/>
      <c r="M2023" s="11"/>
      <c r="N2023" s="44" t="n">
        <v>16.22</v>
      </c>
      <c r="O2023" s="11"/>
    </row>
    <row r="2024" customFormat="false" ht="14.25" hidden="false" customHeight="true" outlineLevel="0" collapsed="false">
      <c r="C2024" s="11"/>
      <c r="D2024" s="11"/>
      <c r="E2024" s="11"/>
      <c r="F2024" s="11"/>
      <c r="G2024" s="11"/>
      <c r="H2024" s="11"/>
      <c r="I2024" s="11"/>
      <c r="J2024" s="11"/>
      <c r="K2024" s="11"/>
      <c r="L2024" s="11"/>
      <c r="M2024" s="11"/>
      <c r="N2024" s="44" t="n">
        <v>16.22</v>
      </c>
      <c r="O2024" s="11"/>
    </row>
    <row r="2025" customFormat="false" ht="14.25" hidden="false" customHeight="true" outlineLevel="0" collapsed="false">
      <c r="C2025" s="11"/>
      <c r="D2025" s="11"/>
      <c r="E2025" s="11"/>
      <c r="F2025" s="11"/>
      <c r="G2025" s="11"/>
      <c r="H2025" s="11"/>
      <c r="I2025" s="11"/>
      <c r="J2025" s="11"/>
      <c r="K2025" s="11"/>
      <c r="L2025" s="11"/>
      <c r="M2025" s="11"/>
      <c r="N2025" s="44" t="n">
        <v>15.97</v>
      </c>
      <c r="O2025" s="11"/>
    </row>
    <row r="2026" customFormat="false" ht="14.25" hidden="false" customHeight="true" outlineLevel="0" collapsed="false">
      <c r="C2026" s="11"/>
      <c r="D2026" s="11"/>
      <c r="E2026" s="11"/>
      <c r="F2026" s="11"/>
      <c r="G2026" s="11"/>
      <c r="H2026" s="11"/>
      <c r="I2026" s="11"/>
      <c r="J2026" s="11"/>
      <c r="K2026" s="11"/>
      <c r="L2026" s="11"/>
      <c r="M2026" s="11"/>
      <c r="N2026" s="44" t="n">
        <v>15.95</v>
      </c>
      <c r="O2026" s="11"/>
    </row>
    <row r="2027" customFormat="false" ht="14.25" hidden="false" customHeight="true" outlineLevel="0" collapsed="false">
      <c r="C2027" s="11"/>
      <c r="D2027" s="11"/>
      <c r="E2027" s="11"/>
      <c r="F2027" s="11"/>
      <c r="G2027" s="11"/>
      <c r="H2027" s="11"/>
      <c r="I2027" s="11"/>
      <c r="J2027" s="11"/>
      <c r="K2027" s="11"/>
      <c r="L2027" s="11"/>
      <c r="M2027" s="11"/>
      <c r="N2027" s="44" t="n">
        <v>16.07</v>
      </c>
      <c r="O2027" s="11"/>
    </row>
    <row r="2028" customFormat="false" ht="14.25" hidden="false" customHeight="true" outlineLevel="0" collapsed="false">
      <c r="C2028" s="11"/>
      <c r="D2028" s="11"/>
      <c r="E2028" s="11"/>
      <c r="F2028" s="11"/>
      <c r="G2028" s="11"/>
      <c r="H2028" s="11"/>
      <c r="I2028" s="11"/>
      <c r="J2028" s="11"/>
      <c r="K2028" s="11"/>
      <c r="L2028" s="11"/>
      <c r="M2028" s="11"/>
      <c r="N2028" s="44" t="n">
        <v>16.27</v>
      </c>
      <c r="O2028" s="11"/>
    </row>
    <row r="2029" customFormat="false" ht="14.25" hidden="false" customHeight="true" outlineLevel="0" collapsed="false">
      <c r="C2029" s="11"/>
      <c r="D2029" s="11"/>
      <c r="E2029" s="11"/>
      <c r="F2029" s="11"/>
      <c r="G2029" s="11"/>
      <c r="H2029" s="11"/>
      <c r="I2029" s="11"/>
      <c r="J2029" s="11"/>
      <c r="K2029" s="11"/>
      <c r="L2029" s="11"/>
      <c r="M2029" s="11"/>
      <c r="N2029" s="44" t="n">
        <v>16.11</v>
      </c>
      <c r="O2029" s="11"/>
    </row>
    <row r="2030" customFormat="false" ht="14.25" hidden="false" customHeight="true" outlineLevel="0" collapsed="false">
      <c r="C2030" s="11"/>
      <c r="D2030" s="11"/>
      <c r="E2030" s="11"/>
      <c r="F2030" s="11"/>
      <c r="G2030" s="11"/>
      <c r="H2030" s="11"/>
      <c r="I2030" s="11"/>
      <c r="J2030" s="11"/>
      <c r="K2030" s="11"/>
      <c r="L2030" s="11"/>
      <c r="M2030" s="11"/>
      <c r="N2030" s="44" t="n">
        <v>16.29</v>
      </c>
      <c r="O2030" s="11"/>
    </row>
    <row r="2031" customFormat="false" ht="14.25" hidden="false" customHeight="true" outlineLevel="0" collapsed="false">
      <c r="C2031" s="11"/>
      <c r="D2031" s="11"/>
      <c r="E2031" s="11"/>
      <c r="F2031" s="11"/>
      <c r="G2031" s="11"/>
      <c r="H2031" s="11"/>
      <c r="I2031" s="11"/>
      <c r="J2031" s="11"/>
      <c r="K2031" s="11"/>
      <c r="L2031" s="11"/>
      <c r="M2031" s="11"/>
      <c r="N2031" s="44" t="n">
        <v>16.08</v>
      </c>
      <c r="O2031" s="11"/>
    </row>
    <row r="2032" customFormat="false" ht="14.25" hidden="false" customHeight="true" outlineLevel="0" collapsed="false">
      <c r="C2032" s="11"/>
      <c r="D2032" s="11"/>
      <c r="E2032" s="11"/>
      <c r="F2032" s="11"/>
      <c r="G2032" s="11"/>
      <c r="H2032" s="11"/>
      <c r="I2032" s="11"/>
      <c r="J2032" s="11"/>
      <c r="K2032" s="11"/>
      <c r="L2032" s="11"/>
      <c r="M2032" s="11"/>
      <c r="N2032" s="44" t="n">
        <v>16.06</v>
      </c>
      <c r="O2032" s="11"/>
    </row>
    <row r="2033" customFormat="false" ht="14.25" hidden="false" customHeight="true" outlineLevel="0" collapsed="false">
      <c r="C2033" s="11"/>
      <c r="D2033" s="11"/>
      <c r="E2033" s="11"/>
      <c r="F2033" s="11"/>
      <c r="G2033" s="11"/>
      <c r="H2033" s="11"/>
      <c r="I2033" s="11"/>
      <c r="J2033" s="11"/>
      <c r="K2033" s="11"/>
      <c r="L2033" s="11"/>
      <c r="M2033" s="11"/>
      <c r="N2033" s="44" t="n">
        <v>15.87</v>
      </c>
      <c r="O2033" s="11"/>
    </row>
    <row r="2034" customFormat="false" ht="14.25" hidden="false" customHeight="true" outlineLevel="0" collapsed="false">
      <c r="C2034" s="11"/>
      <c r="D2034" s="11"/>
      <c r="E2034" s="11"/>
      <c r="F2034" s="11"/>
      <c r="G2034" s="11"/>
      <c r="H2034" s="11"/>
      <c r="I2034" s="11"/>
      <c r="J2034" s="11"/>
      <c r="K2034" s="11"/>
      <c r="L2034" s="11"/>
      <c r="M2034" s="11"/>
      <c r="N2034" s="44" t="n">
        <v>15.81</v>
      </c>
      <c r="O2034" s="11"/>
    </row>
    <row r="2035" customFormat="false" ht="14.25" hidden="false" customHeight="true" outlineLevel="0" collapsed="false">
      <c r="C2035" s="11"/>
      <c r="D2035" s="11"/>
      <c r="E2035" s="11"/>
      <c r="F2035" s="11"/>
      <c r="G2035" s="11"/>
      <c r="H2035" s="11"/>
      <c r="I2035" s="11"/>
      <c r="J2035" s="11"/>
      <c r="K2035" s="11"/>
      <c r="L2035" s="11"/>
      <c r="M2035" s="11"/>
      <c r="N2035" s="44" t="n">
        <v>15.57</v>
      </c>
      <c r="O2035" s="11"/>
    </row>
    <row r="2036" customFormat="false" ht="14.25" hidden="false" customHeight="true" outlineLevel="0" collapsed="false">
      <c r="C2036" s="11"/>
      <c r="D2036" s="11"/>
      <c r="E2036" s="11"/>
      <c r="F2036" s="11"/>
      <c r="G2036" s="11"/>
      <c r="H2036" s="11"/>
      <c r="I2036" s="11"/>
      <c r="J2036" s="11"/>
      <c r="K2036" s="11"/>
      <c r="L2036" s="11"/>
      <c r="M2036" s="11"/>
      <c r="N2036" s="44" t="n">
        <v>15.47</v>
      </c>
      <c r="O2036" s="11"/>
    </row>
    <row r="2037" customFormat="false" ht="14.25" hidden="false" customHeight="true" outlineLevel="0" collapsed="false">
      <c r="C2037" s="11"/>
      <c r="D2037" s="11"/>
      <c r="E2037" s="11"/>
      <c r="F2037" s="11"/>
      <c r="G2037" s="11"/>
      <c r="H2037" s="11"/>
      <c r="I2037" s="11"/>
      <c r="J2037" s="11"/>
      <c r="K2037" s="11"/>
      <c r="L2037" s="11"/>
      <c r="M2037" s="11"/>
      <c r="N2037" s="44" t="n">
        <v>15.55</v>
      </c>
      <c r="O2037" s="11"/>
    </row>
    <row r="2038" customFormat="false" ht="14.25" hidden="false" customHeight="true" outlineLevel="0" collapsed="false">
      <c r="C2038" s="11"/>
      <c r="D2038" s="11"/>
      <c r="E2038" s="11"/>
      <c r="F2038" s="11"/>
      <c r="G2038" s="11"/>
      <c r="H2038" s="11"/>
      <c r="I2038" s="11"/>
      <c r="J2038" s="11"/>
      <c r="K2038" s="11"/>
      <c r="L2038" s="11"/>
      <c r="M2038" s="11"/>
      <c r="N2038" s="44" t="n">
        <v>15.31</v>
      </c>
      <c r="O2038" s="11"/>
    </row>
    <row r="2039" customFormat="false" ht="14.25" hidden="false" customHeight="true" outlineLevel="0" collapsed="false">
      <c r="C2039" s="11"/>
      <c r="D2039" s="11"/>
      <c r="E2039" s="11"/>
      <c r="F2039" s="11"/>
      <c r="G2039" s="11"/>
      <c r="H2039" s="11"/>
      <c r="I2039" s="11"/>
      <c r="J2039" s="11"/>
      <c r="K2039" s="11"/>
      <c r="L2039" s="11"/>
      <c r="M2039" s="11"/>
      <c r="N2039" s="44" t="n">
        <v>15.38</v>
      </c>
      <c r="O2039" s="11"/>
    </row>
    <row r="2040" customFormat="false" ht="14.25" hidden="false" customHeight="true" outlineLevel="0" collapsed="false">
      <c r="C2040" s="11"/>
      <c r="D2040" s="11"/>
      <c r="E2040" s="11"/>
      <c r="F2040" s="11"/>
      <c r="G2040" s="11"/>
      <c r="H2040" s="11"/>
      <c r="I2040" s="11"/>
      <c r="J2040" s="11"/>
      <c r="K2040" s="11"/>
      <c r="L2040" s="11"/>
      <c r="M2040" s="11"/>
      <c r="N2040" s="44" t="n">
        <v>15.65</v>
      </c>
      <c r="O2040" s="11"/>
    </row>
    <row r="2041" customFormat="false" ht="14.25" hidden="false" customHeight="true" outlineLevel="0" collapsed="false">
      <c r="C2041" s="11"/>
      <c r="D2041" s="11"/>
      <c r="E2041" s="11"/>
      <c r="F2041" s="11"/>
      <c r="G2041" s="11"/>
      <c r="H2041" s="11"/>
      <c r="I2041" s="11"/>
      <c r="J2041" s="11"/>
      <c r="K2041" s="11"/>
      <c r="L2041" s="11"/>
      <c r="M2041" s="11"/>
      <c r="N2041" s="44" t="n">
        <v>15.4</v>
      </c>
      <c r="O2041" s="11"/>
    </row>
    <row r="2042" customFormat="false" ht="14.25" hidden="false" customHeight="true" outlineLevel="0" collapsed="false">
      <c r="C2042" s="11"/>
      <c r="D2042" s="11"/>
      <c r="E2042" s="11"/>
      <c r="F2042" s="11"/>
      <c r="G2042" s="11"/>
      <c r="H2042" s="11"/>
      <c r="I2042" s="11"/>
      <c r="J2042" s="11"/>
      <c r="K2042" s="11"/>
      <c r="L2042" s="11"/>
      <c r="M2042" s="11"/>
      <c r="N2042" s="44" t="n">
        <v>15.23</v>
      </c>
      <c r="O2042" s="11"/>
    </row>
    <row r="2043" customFormat="false" ht="14.25" hidden="false" customHeight="true" outlineLevel="0" collapsed="false">
      <c r="C2043" s="11"/>
      <c r="D2043" s="11"/>
      <c r="E2043" s="11"/>
      <c r="F2043" s="11"/>
      <c r="G2043" s="11"/>
      <c r="H2043" s="11"/>
      <c r="I2043" s="11"/>
      <c r="J2043" s="11"/>
      <c r="K2043" s="11"/>
      <c r="L2043" s="11"/>
      <c r="M2043" s="11"/>
      <c r="N2043" s="44" t="n">
        <v>15.04</v>
      </c>
      <c r="O2043" s="11"/>
    </row>
    <row r="2044" customFormat="false" ht="14.25" hidden="false" customHeight="true" outlineLevel="0" collapsed="false">
      <c r="C2044" s="11"/>
      <c r="D2044" s="11"/>
      <c r="E2044" s="11"/>
      <c r="F2044" s="11"/>
      <c r="G2044" s="11"/>
      <c r="H2044" s="11"/>
      <c r="I2044" s="11"/>
      <c r="J2044" s="11"/>
      <c r="K2044" s="11"/>
      <c r="L2044" s="11"/>
      <c r="M2044" s="11"/>
      <c r="N2044" s="44" t="n">
        <v>14.91</v>
      </c>
      <c r="O2044" s="11"/>
    </row>
    <row r="2045" customFormat="false" ht="14.25" hidden="false" customHeight="true" outlineLevel="0" collapsed="false">
      <c r="C2045" s="11"/>
      <c r="D2045" s="11"/>
      <c r="E2045" s="11"/>
      <c r="F2045" s="11"/>
      <c r="G2045" s="11"/>
      <c r="H2045" s="11"/>
      <c r="I2045" s="11"/>
      <c r="J2045" s="11"/>
      <c r="K2045" s="11"/>
      <c r="L2045" s="11"/>
      <c r="M2045" s="11"/>
      <c r="N2045" s="44" t="n">
        <v>15.01</v>
      </c>
      <c r="O2045" s="11"/>
    </row>
    <row r="2046" customFormat="false" ht="14.25" hidden="false" customHeight="true" outlineLevel="0" collapsed="false">
      <c r="C2046" s="11"/>
      <c r="D2046" s="11"/>
      <c r="E2046" s="11"/>
      <c r="F2046" s="11"/>
      <c r="G2046" s="11"/>
      <c r="H2046" s="11"/>
      <c r="I2046" s="11"/>
      <c r="J2046" s="11"/>
      <c r="K2046" s="11"/>
      <c r="L2046" s="11"/>
      <c r="M2046" s="11"/>
      <c r="N2046" s="44" t="n">
        <v>15.08</v>
      </c>
      <c r="O2046" s="11"/>
    </row>
    <row r="2047" customFormat="false" ht="14.25" hidden="false" customHeight="true" outlineLevel="0" collapsed="false">
      <c r="C2047" s="11"/>
      <c r="D2047" s="11"/>
      <c r="E2047" s="11"/>
      <c r="F2047" s="11"/>
      <c r="G2047" s="11"/>
      <c r="H2047" s="11"/>
      <c r="I2047" s="11"/>
      <c r="J2047" s="11"/>
      <c r="K2047" s="11"/>
      <c r="L2047" s="11"/>
      <c r="M2047" s="11"/>
      <c r="N2047" s="44" t="n">
        <v>15.3</v>
      </c>
      <c r="O2047" s="11"/>
    </row>
    <row r="2048" customFormat="false" ht="14.25" hidden="false" customHeight="true" outlineLevel="0" collapsed="false">
      <c r="C2048" s="11"/>
      <c r="D2048" s="11"/>
      <c r="E2048" s="11"/>
      <c r="F2048" s="11"/>
      <c r="G2048" s="11"/>
      <c r="H2048" s="11"/>
      <c r="I2048" s="11"/>
      <c r="J2048" s="11"/>
      <c r="K2048" s="11"/>
      <c r="L2048" s="11"/>
      <c r="M2048" s="11"/>
      <c r="N2048" s="44" t="n">
        <v>15.55</v>
      </c>
      <c r="O2048" s="11"/>
    </row>
    <row r="2049" customFormat="false" ht="14.25" hidden="false" customHeight="true" outlineLevel="0" collapsed="false">
      <c r="C2049" s="11"/>
      <c r="D2049" s="11"/>
      <c r="E2049" s="11"/>
      <c r="F2049" s="11"/>
      <c r="G2049" s="11"/>
      <c r="H2049" s="11"/>
      <c r="I2049" s="11"/>
      <c r="J2049" s="11"/>
      <c r="K2049" s="11"/>
      <c r="L2049" s="11"/>
      <c r="M2049" s="11"/>
      <c r="N2049" s="44" t="n">
        <v>15.74</v>
      </c>
      <c r="O2049" s="11"/>
    </row>
    <row r="2050" customFormat="false" ht="14.25" hidden="false" customHeight="true" outlineLevel="0" collapsed="false">
      <c r="C2050" s="11"/>
      <c r="D2050" s="11"/>
      <c r="E2050" s="11"/>
      <c r="F2050" s="11"/>
      <c r="G2050" s="11"/>
      <c r="H2050" s="11"/>
      <c r="I2050" s="11"/>
      <c r="J2050" s="11"/>
      <c r="K2050" s="11"/>
      <c r="L2050" s="11"/>
      <c r="M2050" s="11"/>
      <c r="N2050" s="44" t="n">
        <v>15.45</v>
      </c>
      <c r="O2050" s="11"/>
    </row>
    <row r="2051" customFormat="false" ht="14.25" hidden="false" customHeight="true" outlineLevel="0" collapsed="false">
      <c r="C2051" s="11"/>
      <c r="D2051" s="11"/>
      <c r="E2051" s="11"/>
      <c r="F2051" s="11"/>
      <c r="G2051" s="11"/>
      <c r="H2051" s="11"/>
      <c r="I2051" s="11"/>
      <c r="J2051" s="11"/>
      <c r="K2051" s="11"/>
      <c r="L2051" s="11"/>
      <c r="M2051" s="11"/>
      <c r="N2051" s="44" t="n">
        <v>15.25</v>
      </c>
      <c r="O2051" s="11"/>
    </row>
    <row r="2052" customFormat="false" ht="14.25" hidden="false" customHeight="true" outlineLevel="0" collapsed="false">
      <c r="C2052" s="11"/>
      <c r="D2052" s="11"/>
      <c r="E2052" s="11"/>
      <c r="F2052" s="11"/>
      <c r="G2052" s="11"/>
      <c r="H2052" s="11"/>
      <c r="I2052" s="11"/>
      <c r="J2052" s="11"/>
      <c r="K2052" s="11"/>
      <c r="L2052" s="11"/>
      <c r="M2052" s="11"/>
      <c r="N2052" s="44" t="n">
        <v>15.43</v>
      </c>
      <c r="O2052" s="11"/>
    </row>
    <row r="2053" customFormat="false" ht="14.25" hidden="false" customHeight="true" outlineLevel="0" collapsed="false">
      <c r="C2053" s="11"/>
      <c r="D2053" s="11"/>
      <c r="E2053" s="11"/>
      <c r="F2053" s="11"/>
      <c r="G2053" s="11"/>
      <c r="H2053" s="11"/>
      <c r="I2053" s="11"/>
      <c r="J2053" s="11"/>
      <c r="K2053" s="11"/>
      <c r="L2053" s="11"/>
      <c r="M2053" s="11"/>
      <c r="N2053" s="44" t="n">
        <v>15.54</v>
      </c>
      <c r="O2053" s="11"/>
    </row>
    <row r="2054" customFormat="false" ht="14.25" hidden="false" customHeight="true" outlineLevel="0" collapsed="false">
      <c r="C2054" s="11"/>
      <c r="D2054" s="11"/>
      <c r="E2054" s="11"/>
      <c r="F2054" s="11"/>
      <c r="G2054" s="11"/>
      <c r="H2054" s="11"/>
      <c r="I2054" s="11"/>
      <c r="J2054" s="11"/>
      <c r="K2054" s="11"/>
      <c r="L2054" s="11"/>
      <c r="M2054" s="11"/>
      <c r="N2054" s="44" t="n">
        <v>15.11</v>
      </c>
      <c r="O2054" s="11"/>
    </row>
    <row r="2055" customFormat="false" ht="14.25" hidden="false" customHeight="true" outlineLevel="0" collapsed="false">
      <c r="C2055" s="11"/>
      <c r="D2055" s="11"/>
      <c r="E2055" s="11"/>
      <c r="F2055" s="11"/>
      <c r="G2055" s="11"/>
      <c r="H2055" s="11"/>
      <c r="I2055" s="11"/>
      <c r="J2055" s="11"/>
      <c r="K2055" s="11"/>
      <c r="L2055" s="11"/>
      <c r="M2055" s="11"/>
      <c r="N2055" s="44" t="n">
        <v>14.87</v>
      </c>
      <c r="O2055" s="11"/>
    </row>
    <row r="2056" customFormat="false" ht="14.25" hidden="false" customHeight="true" outlineLevel="0" collapsed="false">
      <c r="C2056" s="11"/>
      <c r="D2056" s="11"/>
      <c r="E2056" s="11"/>
      <c r="F2056" s="11"/>
      <c r="G2056" s="11"/>
      <c r="H2056" s="11"/>
      <c r="I2056" s="11"/>
      <c r="J2056" s="11"/>
      <c r="K2056" s="11"/>
      <c r="L2056" s="11"/>
      <c r="M2056" s="11"/>
      <c r="N2056" s="44" t="n">
        <v>14.97</v>
      </c>
      <c r="O2056" s="11"/>
    </row>
    <row r="2057" customFormat="false" ht="14.25" hidden="false" customHeight="true" outlineLevel="0" collapsed="false">
      <c r="C2057" s="11"/>
      <c r="D2057" s="11"/>
      <c r="E2057" s="11"/>
      <c r="F2057" s="11"/>
      <c r="G2057" s="11"/>
      <c r="H2057" s="11"/>
      <c r="I2057" s="11"/>
      <c r="J2057" s="11"/>
      <c r="K2057" s="11"/>
      <c r="L2057" s="11"/>
      <c r="M2057" s="11"/>
      <c r="N2057" s="44" t="n">
        <v>14.86</v>
      </c>
      <c r="O2057" s="11"/>
    </row>
    <row r="2058" customFormat="false" ht="14.25" hidden="false" customHeight="true" outlineLevel="0" collapsed="false">
      <c r="C2058" s="11"/>
      <c r="D2058" s="11"/>
      <c r="E2058" s="11"/>
      <c r="F2058" s="11"/>
      <c r="G2058" s="11"/>
      <c r="H2058" s="11"/>
      <c r="I2058" s="11"/>
      <c r="J2058" s="11"/>
      <c r="K2058" s="11"/>
      <c r="L2058" s="11"/>
      <c r="M2058" s="11"/>
      <c r="N2058" s="44" t="n">
        <v>14.66</v>
      </c>
      <c r="O2058" s="11"/>
    </row>
    <row r="2059" customFormat="false" ht="14.25" hidden="false" customHeight="true" outlineLevel="0" collapsed="false">
      <c r="C2059" s="11"/>
      <c r="D2059" s="11"/>
      <c r="E2059" s="11"/>
      <c r="F2059" s="11"/>
      <c r="G2059" s="11"/>
      <c r="H2059" s="11"/>
      <c r="I2059" s="11"/>
      <c r="J2059" s="11"/>
      <c r="K2059" s="11"/>
      <c r="L2059" s="11"/>
      <c r="M2059" s="11"/>
      <c r="N2059" s="44" t="n">
        <v>14.48</v>
      </c>
      <c r="O2059" s="11"/>
    </row>
    <row r="2060" customFormat="false" ht="14.25" hidden="false" customHeight="true" outlineLevel="0" collapsed="false">
      <c r="C2060" s="11"/>
      <c r="D2060" s="11"/>
      <c r="E2060" s="11"/>
      <c r="F2060" s="11"/>
      <c r="G2060" s="11"/>
      <c r="H2060" s="11"/>
      <c r="I2060" s="11"/>
      <c r="J2060" s="11"/>
      <c r="K2060" s="11"/>
      <c r="L2060" s="11"/>
      <c r="M2060" s="11"/>
      <c r="N2060" s="44" t="n">
        <v>14.67</v>
      </c>
      <c r="O2060" s="11"/>
    </row>
    <row r="2061" customFormat="false" ht="14.25" hidden="false" customHeight="true" outlineLevel="0" collapsed="false">
      <c r="C2061" s="11"/>
      <c r="D2061" s="11"/>
      <c r="E2061" s="11"/>
      <c r="F2061" s="11"/>
      <c r="G2061" s="11"/>
      <c r="H2061" s="11"/>
      <c r="I2061" s="11"/>
      <c r="J2061" s="11"/>
      <c r="K2061" s="11"/>
      <c r="L2061" s="11"/>
      <c r="M2061" s="11"/>
      <c r="N2061" s="44" t="n">
        <v>14.43</v>
      </c>
      <c r="O2061" s="11"/>
    </row>
    <row r="2062" customFormat="false" ht="14.25" hidden="false" customHeight="true" outlineLevel="0" collapsed="false">
      <c r="C2062" s="11"/>
      <c r="D2062" s="11"/>
      <c r="E2062" s="11"/>
      <c r="F2062" s="11"/>
      <c r="G2062" s="11"/>
      <c r="H2062" s="11"/>
      <c r="I2062" s="11"/>
      <c r="J2062" s="11"/>
      <c r="K2062" s="11"/>
      <c r="L2062" s="11"/>
      <c r="M2062" s="11"/>
      <c r="N2062" s="44" t="n">
        <v>14.61</v>
      </c>
      <c r="O2062" s="11"/>
    </row>
    <row r="2063" customFormat="false" ht="14.25" hidden="false" customHeight="true" outlineLevel="0" collapsed="false">
      <c r="C2063" s="11"/>
      <c r="D2063" s="11"/>
      <c r="E2063" s="11"/>
      <c r="F2063" s="11"/>
      <c r="G2063" s="11"/>
      <c r="H2063" s="11"/>
      <c r="I2063" s="11"/>
      <c r="J2063" s="11"/>
      <c r="K2063" s="11"/>
      <c r="L2063" s="11"/>
      <c r="M2063" s="11"/>
      <c r="N2063" s="44" t="n">
        <v>14.84</v>
      </c>
      <c r="O2063" s="11"/>
    </row>
    <row r="2064" customFormat="false" ht="14.25" hidden="false" customHeight="true" outlineLevel="0" collapsed="false">
      <c r="C2064" s="11"/>
      <c r="D2064" s="11"/>
      <c r="E2064" s="11"/>
      <c r="F2064" s="11"/>
      <c r="G2064" s="11"/>
      <c r="H2064" s="11"/>
      <c r="I2064" s="11"/>
      <c r="J2064" s="11"/>
      <c r="K2064" s="11"/>
      <c r="L2064" s="11"/>
      <c r="M2064" s="11"/>
      <c r="N2064" s="44" t="n">
        <v>15.16</v>
      </c>
      <c r="O2064" s="11"/>
    </row>
    <row r="2065" customFormat="false" ht="14.25" hidden="false" customHeight="true" outlineLevel="0" collapsed="false">
      <c r="C2065" s="11"/>
      <c r="D2065" s="11"/>
      <c r="E2065" s="11"/>
      <c r="F2065" s="11"/>
      <c r="G2065" s="11"/>
      <c r="H2065" s="11"/>
      <c r="I2065" s="11"/>
      <c r="J2065" s="11"/>
      <c r="K2065" s="11"/>
      <c r="L2065" s="11"/>
      <c r="M2065" s="11"/>
      <c r="N2065" s="44" t="n">
        <v>15.46</v>
      </c>
      <c r="O2065" s="11"/>
    </row>
    <row r="2066" customFormat="false" ht="14.25" hidden="false" customHeight="true" outlineLevel="0" collapsed="false">
      <c r="C2066" s="11"/>
      <c r="D2066" s="11"/>
      <c r="E2066" s="11"/>
      <c r="F2066" s="11"/>
      <c r="G2066" s="11"/>
      <c r="H2066" s="11"/>
      <c r="I2066" s="11"/>
      <c r="J2066" s="11"/>
      <c r="K2066" s="11"/>
      <c r="L2066" s="11"/>
      <c r="M2066" s="11"/>
      <c r="N2066" s="44" t="n">
        <v>15.47</v>
      </c>
      <c r="O2066" s="11"/>
    </row>
    <row r="2067" customFormat="false" ht="14.25" hidden="false" customHeight="true" outlineLevel="0" collapsed="false">
      <c r="C2067" s="11"/>
      <c r="D2067" s="11"/>
      <c r="E2067" s="11"/>
      <c r="F2067" s="11"/>
      <c r="G2067" s="11"/>
      <c r="H2067" s="11"/>
      <c r="I2067" s="11"/>
      <c r="J2067" s="11"/>
      <c r="K2067" s="11"/>
      <c r="L2067" s="11"/>
      <c r="M2067" s="11"/>
      <c r="N2067" s="44" t="n">
        <v>15.33</v>
      </c>
      <c r="O2067" s="11"/>
    </row>
    <row r="2068" customFormat="false" ht="14.25" hidden="false" customHeight="true" outlineLevel="0" collapsed="false">
      <c r="C2068" s="11"/>
      <c r="D2068" s="11"/>
      <c r="E2068" s="11"/>
      <c r="F2068" s="11"/>
      <c r="G2068" s="11"/>
      <c r="H2068" s="11"/>
      <c r="I2068" s="11"/>
      <c r="J2068" s="11"/>
      <c r="K2068" s="11"/>
      <c r="L2068" s="11"/>
      <c r="M2068" s="11"/>
      <c r="N2068" s="44" t="n">
        <v>15.14</v>
      </c>
      <c r="O2068" s="11"/>
    </row>
    <row r="2069" customFormat="false" ht="14.25" hidden="false" customHeight="true" outlineLevel="0" collapsed="false">
      <c r="C2069" s="11"/>
      <c r="D2069" s="11"/>
      <c r="E2069" s="11"/>
      <c r="F2069" s="11"/>
      <c r="G2069" s="11"/>
      <c r="H2069" s="11"/>
      <c r="I2069" s="11"/>
      <c r="J2069" s="11"/>
      <c r="K2069" s="11"/>
      <c r="L2069" s="11"/>
      <c r="M2069" s="11"/>
      <c r="N2069" s="44" t="n">
        <v>15.08</v>
      </c>
      <c r="O2069" s="11"/>
    </row>
    <row r="2070" customFormat="false" ht="14.25" hidden="false" customHeight="true" outlineLevel="0" collapsed="false">
      <c r="C2070" s="11"/>
      <c r="D2070" s="11"/>
      <c r="E2070" s="11"/>
      <c r="F2070" s="11"/>
      <c r="G2070" s="11"/>
      <c r="H2070" s="11"/>
      <c r="I2070" s="11"/>
      <c r="J2070" s="11"/>
      <c r="K2070" s="11"/>
      <c r="L2070" s="11"/>
      <c r="M2070" s="11"/>
      <c r="N2070" s="44" t="n">
        <v>15.09</v>
      </c>
      <c r="O2070" s="11"/>
    </row>
    <row r="2071" customFormat="false" ht="14.25" hidden="false" customHeight="true" outlineLevel="0" collapsed="false">
      <c r="C2071" s="11"/>
      <c r="D2071" s="11"/>
      <c r="E2071" s="11"/>
      <c r="F2071" s="11"/>
      <c r="G2071" s="11"/>
      <c r="H2071" s="11"/>
      <c r="I2071" s="11"/>
      <c r="J2071" s="11"/>
      <c r="K2071" s="11"/>
      <c r="L2071" s="11"/>
      <c r="M2071" s="11"/>
      <c r="N2071" s="44" t="n">
        <v>15.24</v>
      </c>
      <c r="O2071" s="11"/>
    </row>
    <row r="2072" customFormat="false" ht="14.25" hidden="false" customHeight="true" outlineLevel="0" collapsed="false">
      <c r="C2072" s="11"/>
      <c r="D2072" s="11"/>
      <c r="E2072" s="11"/>
      <c r="F2072" s="11"/>
      <c r="G2072" s="11"/>
      <c r="H2072" s="11"/>
      <c r="I2072" s="11"/>
      <c r="J2072" s="11"/>
      <c r="K2072" s="11"/>
      <c r="L2072" s="11"/>
      <c r="M2072" s="11"/>
      <c r="N2072" s="44" t="n">
        <v>15.18</v>
      </c>
      <c r="O2072" s="11"/>
    </row>
    <row r="2073" customFormat="false" ht="14.25" hidden="false" customHeight="true" outlineLevel="0" collapsed="false">
      <c r="C2073" s="11"/>
      <c r="D2073" s="11"/>
      <c r="E2073" s="11"/>
      <c r="F2073" s="11"/>
      <c r="G2073" s="11"/>
      <c r="H2073" s="11"/>
      <c r="I2073" s="11"/>
      <c r="J2073" s="11"/>
      <c r="K2073" s="11"/>
      <c r="L2073" s="11"/>
      <c r="M2073" s="11"/>
      <c r="N2073" s="44" t="n">
        <v>15.71</v>
      </c>
      <c r="O2073" s="11"/>
    </row>
    <row r="2074" customFormat="false" ht="14.25" hidden="false" customHeight="true" outlineLevel="0" collapsed="false">
      <c r="C2074" s="11"/>
      <c r="D2074" s="11"/>
      <c r="E2074" s="11"/>
      <c r="F2074" s="11"/>
      <c r="G2074" s="11"/>
      <c r="H2074" s="11"/>
      <c r="I2074" s="11"/>
      <c r="J2074" s="11"/>
      <c r="K2074" s="11"/>
      <c r="L2074" s="11"/>
      <c r="M2074" s="11"/>
      <c r="N2074" s="44" t="n">
        <v>15.74</v>
      </c>
      <c r="O2074" s="11"/>
    </row>
    <row r="2075" customFormat="false" ht="14.25" hidden="false" customHeight="true" outlineLevel="0" collapsed="false">
      <c r="C2075" s="11"/>
      <c r="D2075" s="11"/>
      <c r="E2075" s="11"/>
      <c r="F2075" s="11"/>
      <c r="G2075" s="11"/>
      <c r="H2075" s="11"/>
      <c r="I2075" s="11"/>
      <c r="J2075" s="11"/>
      <c r="K2075" s="11"/>
      <c r="L2075" s="11"/>
      <c r="M2075" s="11"/>
      <c r="N2075" s="44" t="n">
        <v>15.56</v>
      </c>
      <c r="O2075" s="11"/>
    </row>
    <row r="2076" customFormat="false" ht="14.25" hidden="false" customHeight="true" outlineLevel="0" collapsed="false">
      <c r="C2076" s="11"/>
      <c r="D2076" s="11"/>
      <c r="E2076" s="11"/>
      <c r="F2076" s="11"/>
      <c r="G2076" s="11"/>
      <c r="H2076" s="11"/>
      <c r="I2076" s="11"/>
      <c r="J2076" s="11"/>
      <c r="K2076" s="11"/>
      <c r="L2076" s="11"/>
      <c r="M2076" s="11"/>
      <c r="N2076" s="44" t="n">
        <v>15.73</v>
      </c>
      <c r="O2076" s="11"/>
    </row>
    <row r="2077" customFormat="false" ht="14.25" hidden="false" customHeight="true" outlineLevel="0" collapsed="false">
      <c r="C2077" s="11"/>
      <c r="D2077" s="11"/>
      <c r="E2077" s="11"/>
      <c r="F2077" s="11"/>
      <c r="G2077" s="11"/>
      <c r="H2077" s="11"/>
      <c r="I2077" s="11"/>
      <c r="J2077" s="11"/>
      <c r="K2077" s="11"/>
      <c r="L2077" s="11"/>
      <c r="M2077" s="11"/>
      <c r="N2077" s="44" t="n">
        <v>15.78</v>
      </c>
      <c r="O2077" s="11"/>
    </row>
    <row r="2078" customFormat="false" ht="14.25" hidden="false" customHeight="true" outlineLevel="0" collapsed="false">
      <c r="C2078" s="11"/>
      <c r="D2078" s="11"/>
      <c r="E2078" s="11"/>
      <c r="F2078" s="11"/>
      <c r="G2078" s="11"/>
      <c r="H2078" s="11"/>
      <c r="I2078" s="11"/>
      <c r="J2078" s="11"/>
      <c r="K2078" s="11"/>
      <c r="L2078" s="11"/>
      <c r="M2078" s="11"/>
      <c r="N2078" s="44" t="n">
        <v>15.44</v>
      </c>
      <c r="O2078" s="11"/>
    </row>
    <row r="2079" customFormat="false" ht="14.25" hidden="false" customHeight="true" outlineLevel="0" collapsed="false">
      <c r="C2079" s="11"/>
      <c r="D2079" s="11"/>
      <c r="E2079" s="11"/>
      <c r="F2079" s="11"/>
      <c r="G2079" s="11"/>
      <c r="H2079" s="11"/>
      <c r="I2079" s="11"/>
      <c r="J2079" s="11"/>
      <c r="K2079" s="11"/>
      <c r="L2079" s="11"/>
      <c r="M2079" s="11"/>
      <c r="N2079" s="44" t="n">
        <v>15.51</v>
      </c>
      <c r="O2079" s="11"/>
    </row>
    <row r="2080" customFormat="false" ht="14.25" hidden="false" customHeight="true" outlineLevel="0" collapsed="false">
      <c r="C2080" s="11"/>
      <c r="D2080" s="11"/>
      <c r="E2080" s="11"/>
      <c r="F2080" s="11"/>
      <c r="G2080" s="11"/>
      <c r="H2080" s="11"/>
      <c r="I2080" s="11"/>
      <c r="J2080" s="11"/>
      <c r="K2080" s="11"/>
      <c r="L2080" s="11"/>
      <c r="M2080" s="11"/>
      <c r="N2080" s="44" t="n">
        <v>15.51</v>
      </c>
      <c r="O2080" s="11"/>
    </row>
    <row r="2081" customFormat="false" ht="14.25" hidden="false" customHeight="true" outlineLevel="0" collapsed="false">
      <c r="C2081" s="11"/>
      <c r="D2081" s="11"/>
      <c r="E2081" s="11"/>
      <c r="F2081" s="11"/>
      <c r="G2081" s="11"/>
      <c r="H2081" s="11"/>
      <c r="I2081" s="11"/>
      <c r="J2081" s="11"/>
      <c r="K2081" s="11"/>
      <c r="L2081" s="11"/>
      <c r="M2081" s="11"/>
      <c r="N2081" s="44" t="n">
        <v>15.68</v>
      </c>
      <c r="O2081" s="11"/>
    </row>
    <row r="2082" customFormat="false" ht="14.25" hidden="false" customHeight="true" outlineLevel="0" collapsed="false">
      <c r="C2082" s="11"/>
      <c r="D2082" s="11"/>
      <c r="E2082" s="11"/>
      <c r="F2082" s="11"/>
      <c r="G2082" s="11"/>
      <c r="H2082" s="11"/>
      <c r="I2082" s="11"/>
      <c r="J2082" s="11"/>
      <c r="K2082" s="11"/>
      <c r="L2082" s="11"/>
      <c r="M2082" s="11"/>
      <c r="N2082" s="44" t="n">
        <v>15.37</v>
      </c>
      <c r="O2082" s="11"/>
    </row>
    <row r="2083" customFormat="false" ht="14.25" hidden="false" customHeight="true" outlineLevel="0" collapsed="false">
      <c r="C2083" s="11"/>
      <c r="D2083" s="11"/>
      <c r="E2083" s="11"/>
      <c r="F2083" s="11"/>
      <c r="G2083" s="11"/>
      <c r="H2083" s="11"/>
      <c r="I2083" s="11"/>
      <c r="J2083" s="11"/>
      <c r="K2083" s="11"/>
      <c r="L2083" s="11"/>
      <c r="M2083" s="11"/>
      <c r="N2083" s="44" t="n">
        <v>15.22</v>
      </c>
      <c r="O2083" s="11"/>
    </row>
    <row r="2084" customFormat="false" ht="14.25" hidden="false" customHeight="true" outlineLevel="0" collapsed="false">
      <c r="C2084" s="11"/>
      <c r="D2084" s="11"/>
      <c r="E2084" s="11"/>
      <c r="F2084" s="11"/>
      <c r="G2084" s="11"/>
      <c r="H2084" s="11"/>
      <c r="I2084" s="11"/>
      <c r="J2084" s="11"/>
      <c r="K2084" s="11"/>
      <c r="L2084" s="11"/>
      <c r="M2084" s="11"/>
      <c r="N2084" s="44" t="n">
        <v>15.32</v>
      </c>
      <c r="O2084" s="11"/>
    </row>
    <row r="2085" customFormat="false" ht="14.25" hidden="false" customHeight="true" outlineLevel="0" collapsed="false">
      <c r="C2085" s="11"/>
      <c r="D2085" s="11"/>
      <c r="E2085" s="11"/>
      <c r="F2085" s="11"/>
      <c r="G2085" s="11"/>
      <c r="H2085" s="11"/>
      <c r="I2085" s="11"/>
      <c r="J2085" s="11"/>
      <c r="K2085" s="11"/>
      <c r="L2085" s="11"/>
      <c r="M2085" s="11"/>
      <c r="N2085" s="44" t="n">
        <v>15.45</v>
      </c>
      <c r="O2085" s="11"/>
    </row>
    <row r="2086" customFormat="false" ht="14.25" hidden="false" customHeight="true" outlineLevel="0" collapsed="false">
      <c r="C2086" s="11"/>
      <c r="D2086" s="11"/>
      <c r="E2086" s="11"/>
      <c r="F2086" s="11"/>
      <c r="G2086" s="11"/>
      <c r="H2086" s="11"/>
      <c r="I2086" s="11"/>
      <c r="J2086" s="11"/>
      <c r="K2086" s="11"/>
      <c r="L2086" s="11"/>
      <c r="M2086" s="11"/>
      <c r="N2086" s="44" t="n">
        <v>15.79</v>
      </c>
      <c r="O2086" s="11"/>
    </row>
    <row r="2087" customFormat="false" ht="14.25" hidden="false" customHeight="true" outlineLevel="0" collapsed="false">
      <c r="C2087" s="11"/>
      <c r="D2087" s="11"/>
      <c r="E2087" s="11"/>
      <c r="F2087" s="11"/>
      <c r="G2087" s="11"/>
      <c r="H2087" s="11"/>
      <c r="I2087" s="11"/>
      <c r="J2087" s="11"/>
      <c r="K2087" s="11"/>
      <c r="L2087" s="11"/>
      <c r="M2087" s="11"/>
      <c r="N2087" s="44" t="n">
        <v>16.06</v>
      </c>
      <c r="O2087" s="11"/>
    </row>
    <row r="2088" customFormat="false" ht="14.25" hidden="false" customHeight="true" outlineLevel="0" collapsed="false">
      <c r="C2088" s="11"/>
      <c r="D2088" s="11"/>
      <c r="E2088" s="11"/>
      <c r="F2088" s="11"/>
      <c r="G2088" s="11"/>
      <c r="H2088" s="11"/>
      <c r="I2088" s="11"/>
      <c r="J2088" s="11"/>
      <c r="K2088" s="11"/>
      <c r="L2088" s="11"/>
      <c r="M2088" s="11"/>
      <c r="N2088" s="44" t="n">
        <v>15.77</v>
      </c>
      <c r="O2088" s="11"/>
    </row>
    <row r="2089" customFormat="false" ht="14.25" hidden="false" customHeight="true" outlineLevel="0" collapsed="false">
      <c r="C2089" s="11"/>
      <c r="D2089" s="11"/>
      <c r="E2089" s="11"/>
      <c r="F2089" s="11"/>
      <c r="G2089" s="11"/>
      <c r="H2089" s="11"/>
      <c r="I2089" s="11"/>
      <c r="J2089" s="11"/>
      <c r="K2089" s="11"/>
      <c r="L2089" s="11"/>
      <c r="M2089" s="11"/>
      <c r="N2089" s="44" t="n">
        <v>15.79</v>
      </c>
      <c r="O2089" s="11"/>
    </row>
    <row r="2090" customFormat="false" ht="14.25" hidden="false" customHeight="true" outlineLevel="0" collapsed="false">
      <c r="C2090" s="11"/>
      <c r="D2090" s="11"/>
      <c r="E2090" s="11"/>
      <c r="F2090" s="11"/>
      <c r="G2090" s="11"/>
      <c r="H2090" s="11"/>
      <c r="I2090" s="11"/>
      <c r="J2090" s="11"/>
      <c r="K2090" s="11"/>
      <c r="L2090" s="11"/>
      <c r="M2090" s="11"/>
      <c r="N2090" s="44" t="n">
        <v>16</v>
      </c>
      <c r="O2090" s="11"/>
    </row>
    <row r="2091" customFormat="false" ht="14.25" hidden="false" customHeight="true" outlineLevel="0" collapsed="false">
      <c r="C2091" s="11"/>
      <c r="D2091" s="11"/>
      <c r="E2091" s="11"/>
      <c r="F2091" s="11"/>
      <c r="G2091" s="11"/>
      <c r="H2091" s="11"/>
      <c r="I2091" s="11"/>
      <c r="J2091" s="11"/>
      <c r="K2091" s="11"/>
      <c r="L2091" s="11"/>
      <c r="M2091" s="11"/>
      <c r="N2091" s="44" t="n">
        <v>16.09</v>
      </c>
      <c r="O2091" s="11"/>
    </row>
    <row r="2092" customFormat="false" ht="14.25" hidden="false" customHeight="true" outlineLevel="0" collapsed="false">
      <c r="C2092" s="11"/>
      <c r="D2092" s="11"/>
      <c r="E2092" s="11"/>
      <c r="F2092" s="11"/>
      <c r="G2092" s="11"/>
      <c r="H2092" s="11"/>
      <c r="I2092" s="11"/>
      <c r="J2092" s="11"/>
      <c r="K2092" s="11"/>
      <c r="L2092" s="11"/>
      <c r="M2092" s="11"/>
      <c r="N2092" s="44" t="n">
        <v>16.21</v>
      </c>
      <c r="O2092" s="11"/>
    </row>
    <row r="2093" customFormat="false" ht="14.25" hidden="false" customHeight="true" outlineLevel="0" collapsed="false">
      <c r="C2093" s="11"/>
      <c r="D2093" s="11"/>
      <c r="E2093" s="11"/>
      <c r="F2093" s="11"/>
      <c r="G2093" s="11"/>
      <c r="H2093" s="11"/>
      <c r="I2093" s="11"/>
      <c r="J2093" s="11"/>
      <c r="K2093" s="11"/>
      <c r="L2093" s="11"/>
      <c r="M2093" s="11"/>
      <c r="N2093" s="44" t="n">
        <v>16.23</v>
      </c>
      <c r="O2093" s="11"/>
    </row>
    <row r="2094" customFormat="false" ht="14.25" hidden="false" customHeight="true" outlineLevel="0" collapsed="false">
      <c r="C2094" s="11"/>
      <c r="D2094" s="11"/>
      <c r="E2094" s="11"/>
      <c r="F2094" s="11"/>
      <c r="G2094" s="11"/>
      <c r="H2094" s="11"/>
      <c r="I2094" s="11"/>
      <c r="J2094" s="11"/>
      <c r="K2094" s="11"/>
      <c r="L2094" s="11"/>
      <c r="M2094" s="11"/>
      <c r="N2094" s="44" t="n">
        <v>16.5</v>
      </c>
      <c r="O2094" s="11"/>
    </row>
    <row r="2095" customFormat="false" ht="14.25" hidden="false" customHeight="true" outlineLevel="0" collapsed="false">
      <c r="C2095" s="11"/>
      <c r="D2095" s="11"/>
      <c r="E2095" s="11"/>
      <c r="F2095" s="11"/>
      <c r="G2095" s="11"/>
      <c r="H2095" s="11"/>
      <c r="I2095" s="11"/>
      <c r="J2095" s="11"/>
      <c r="K2095" s="11"/>
      <c r="L2095" s="11"/>
      <c r="M2095" s="11"/>
      <c r="N2095" s="44" t="n">
        <v>17.01</v>
      </c>
      <c r="O2095" s="11"/>
    </row>
    <row r="2096" customFormat="false" ht="14.25" hidden="false" customHeight="true" outlineLevel="0" collapsed="false">
      <c r="C2096" s="11"/>
      <c r="D2096" s="11"/>
      <c r="E2096" s="11"/>
      <c r="F2096" s="11"/>
      <c r="G2096" s="11"/>
      <c r="H2096" s="11"/>
      <c r="I2096" s="11"/>
      <c r="J2096" s="11"/>
      <c r="K2096" s="11"/>
      <c r="L2096" s="11"/>
      <c r="M2096" s="11"/>
      <c r="N2096" s="44" t="n">
        <v>16.72</v>
      </c>
      <c r="O2096" s="11"/>
    </row>
    <row r="2097" customFormat="false" ht="14.25" hidden="false" customHeight="true" outlineLevel="0" collapsed="false">
      <c r="C2097" s="11"/>
      <c r="D2097" s="11"/>
      <c r="E2097" s="11"/>
      <c r="F2097" s="11"/>
      <c r="G2097" s="11"/>
      <c r="H2097" s="11"/>
      <c r="I2097" s="11"/>
      <c r="J2097" s="11"/>
      <c r="K2097" s="11"/>
      <c r="L2097" s="11"/>
      <c r="M2097" s="11"/>
      <c r="N2097" s="44" t="n">
        <v>16.68</v>
      </c>
      <c r="O2097" s="11"/>
    </row>
    <row r="2098" customFormat="false" ht="14.25" hidden="false" customHeight="true" outlineLevel="0" collapsed="false">
      <c r="C2098" s="11"/>
      <c r="D2098" s="11"/>
      <c r="E2098" s="11"/>
      <c r="F2098" s="11"/>
      <c r="G2098" s="11"/>
      <c r="H2098" s="11"/>
      <c r="I2098" s="11"/>
      <c r="J2098" s="11"/>
      <c r="K2098" s="11"/>
      <c r="L2098" s="11"/>
      <c r="M2098" s="11"/>
      <c r="N2098" s="44" t="n">
        <v>16.85</v>
      </c>
      <c r="O2098" s="11"/>
    </row>
    <row r="2099" customFormat="false" ht="14.25" hidden="false" customHeight="true" outlineLevel="0" collapsed="false">
      <c r="C2099" s="11"/>
      <c r="D2099" s="11"/>
      <c r="E2099" s="11"/>
      <c r="F2099" s="11"/>
      <c r="G2099" s="11"/>
      <c r="H2099" s="11"/>
      <c r="I2099" s="11"/>
      <c r="J2099" s="11"/>
      <c r="K2099" s="11"/>
      <c r="L2099" s="11"/>
      <c r="M2099" s="11"/>
      <c r="N2099" s="44" t="n">
        <v>16.65</v>
      </c>
      <c r="O2099" s="11"/>
    </row>
    <row r="2100" customFormat="false" ht="14.25" hidden="false" customHeight="true" outlineLevel="0" collapsed="false">
      <c r="C2100" s="11"/>
      <c r="D2100" s="11"/>
      <c r="E2100" s="11"/>
      <c r="F2100" s="11"/>
      <c r="G2100" s="11"/>
      <c r="H2100" s="11"/>
      <c r="I2100" s="11"/>
      <c r="J2100" s="11"/>
      <c r="K2100" s="11"/>
      <c r="L2100" s="11"/>
      <c r="M2100" s="11"/>
      <c r="N2100" s="44" t="n">
        <v>16.87</v>
      </c>
      <c r="O2100" s="11"/>
    </row>
    <row r="2101" customFormat="false" ht="14.25" hidden="false" customHeight="true" outlineLevel="0" collapsed="false">
      <c r="C2101" s="11"/>
      <c r="D2101" s="11"/>
      <c r="E2101" s="11"/>
      <c r="F2101" s="11"/>
      <c r="G2101" s="11"/>
      <c r="H2101" s="11"/>
      <c r="I2101" s="11"/>
      <c r="J2101" s="11"/>
      <c r="K2101" s="11"/>
      <c r="L2101" s="11"/>
      <c r="M2101" s="11"/>
      <c r="N2101" s="44" t="n">
        <v>17.03</v>
      </c>
      <c r="O2101" s="11"/>
    </row>
    <row r="2102" customFormat="false" ht="14.25" hidden="false" customHeight="true" outlineLevel="0" collapsed="false">
      <c r="C2102" s="11"/>
      <c r="D2102" s="11"/>
      <c r="E2102" s="11"/>
      <c r="F2102" s="11"/>
      <c r="G2102" s="11"/>
      <c r="H2102" s="11"/>
      <c r="I2102" s="11"/>
      <c r="J2102" s="11"/>
      <c r="K2102" s="11"/>
      <c r="L2102" s="11"/>
      <c r="M2102" s="11"/>
      <c r="N2102" s="44" t="n">
        <v>17.03</v>
      </c>
      <c r="O2102" s="11"/>
    </row>
    <row r="2103" customFormat="false" ht="14.25" hidden="false" customHeight="true" outlineLevel="0" collapsed="false">
      <c r="C2103" s="11"/>
      <c r="D2103" s="11"/>
      <c r="E2103" s="11"/>
      <c r="F2103" s="11"/>
      <c r="G2103" s="11"/>
      <c r="H2103" s="11"/>
      <c r="I2103" s="11"/>
      <c r="J2103" s="11"/>
      <c r="K2103" s="11"/>
      <c r="L2103" s="11"/>
      <c r="M2103" s="11"/>
      <c r="N2103" s="44" t="n">
        <v>17.18</v>
      </c>
      <c r="O2103" s="11"/>
    </row>
    <row r="2104" customFormat="false" ht="14.25" hidden="false" customHeight="true" outlineLevel="0" collapsed="false">
      <c r="C2104" s="11"/>
      <c r="D2104" s="11"/>
      <c r="E2104" s="11"/>
      <c r="F2104" s="11"/>
      <c r="G2104" s="11"/>
      <c r="H2104" s="11"/>
      <c r="I2104" s="11"/>
      <c r="J2104" s="11"/>
      <c r="K2104" s="11"/>
      <c r="L2104" s="11"/>
      <c r="M2104" s="11"/>
      <c r="N2104" s="44" t="n">
        <v>17.23</v>
      </c>
      <c r="O2104" s="11"/>
    </row>
    <row r="2105" customFormat="false" ht="14.25" hidden="false" customHeight="true" outlineLevel="0" collapsed="false">
      <c r="C2105" s="11"/>
      <c r="D2105" s="11"/>
      <c r="E2105" s="11"/>
      <c r="F2105" s="11"/>
      <c r="G2105" s="11"/>
      <c r="H2105" s="11"/>
      <c r="I2105" s="11"/>
      <c r="J2105" s="11"/>
      <c r="K2105" s="11"/>
      <c r="L2105" s="11"/>
      <c r="M2105" s="11"/>
      <c r="N2105" s="44" t="n">
        <v>17.2</v>
      </c>
      <c r="O2105" s="11"/>
    </row>
    <row r="2106" customFormat="false" ht="14.25" hidden="false" customHeight="true" outlineLevel="0" collapsed="false">
      <c r="C2106" s="11"/>
      <c r="D2106" s="11"/>
      <c r="E2106" s="11"/>
      <c r="F2106" s="11"/>
      <c r="G2106" s="11"/>
      <c r="H2106" s="11"/>
      <c r="I2106" s="11"/>
      <c r="J2106" s="11"/>
      <c r="K2106" s="11"/>
      <c r="L2106" s="11"/>
      <c r="M2106" s="11"/>
      <c r="N2106" s="44" t="n">
        <v>17.12</v>
      </c>
      <c r="O2106" s="11"/>
    </row>
    <row r="2107" customFormat="false" ht="14.25" hidden="false" customHeight="true" outlineLevel="0" collapsed="false">
      <c r="C2107" s="11"/>
      <c r="D2107" s="11"/>
      <c r="E2107" s="11"/>
      <c r="F2107" s="11"/>
      <c r="G2107" s="11"/>
      <c r="H2107" s="11"/>
      <c r="I2107" s="11"/>
      <c r="J2107" s="11"/>
      <c r="K2107" s="11"/>
      <c r="L2107" s="11"/>
      <c r="M2107" s="11"/>
      <c r="N2107" s="44" t="n">
        <v>17.11</v>
      </c>
      <c r="O2107" s="11"/>
    </row>
    <row r="2108" customFormat="false" ht="14.25" hidden="false" customHeight="true" outlineLevel="0" collapsed="false">
      <c r="C2108" s="11"/>
      <c r="D2108" s="11"/>
      <c r="E2108" s="11"/>
      <c r="F2108" s="11"/>
      <c r="G2108" s="11"/>
      <c r="H2108" s="11"/>
      <c r="I2108" s="11"/>
      <c r="J2108" s="11"/>
      <c r="K2108" s="11"/>
      <c r="L2108" s="11"/>
      <c r="M2108" s="11"/>
      <c r="N2108" s="44" t="n">
        <v>17.14</v>
      </c>
      <c r="O2108" s="11"/>
    </row>
    <row r="2109" customFormat="false" ht="14.25" hidden="false" customHeight="true" outlineLevel="0" collapsed="false">
      <c r="C2109" s="11"/>
      <c r="D2109" s="11"/>
      <c r="E2109" s="11"/>
      <c r="F2109" s="11"/>
      <c r="G2109" s="11"/>
      <c r="H2109" s="11"/>
      <c r="I2109" s="11"/>
      <c r="J2109" s="11"/>
      <c r="K2109" s="11"/>
      <c r="L2109" s="11"/>
      <c r="M2109" s="11"/>
      <c r="N2109" s="44" t="n">
        <v>16.8</v>
      </c>
      <c r="O2109" s="11"/>
    </row>
    <row r="2110" customFormat="false" ht="14.25" hidden="false" customHeight="true" outlineLevel="0" collapsed="false">
      <c r="C2110" s="11"/>
      <c r="D2110" s="11"/>
      <c r="E2110" s="11"/>
      <c r="F2110" s="11"/>
      <c r="G2110" s="11"/>
      <c r="H2110" s="11"/>
      <c r="I2110" s="11"/>
      <c r="J2110" s="11"/>
      <c r="K2110" s="11"/>
      <c r="L2110" s="11"/>
      <c r="M2110" s="11"/>
      <c r="N2110" s="44" t="n">
        <v>16.83</v>
      </c>
      <c r="O2110" s="11"/>
    </row>
    <row r="2111" customFormat="false" ht="14.25" hidden="false" customHeight="true" outlineLevel="0" collapsed="false">
      <c r="C2111" s="11"/>
      <c r="D2111" s="11"/>
      <c r="E2111" s="11"/>
      <c r="F2111" s="11"/>
      <c r="G2111" s="11"/>
      <c r="H2111" s="11"/>
      <c r="I2111" s="11"/>
      <c r="J2111" s="11"/>
      <c r="K2111" s="11"/>
      <c r="L2111" s="11"/>
      <c r="M2111" s="11"/>
      <c r="N2111" s="44" t="n">
        <v>16.85</v>
      </c>
      <c r="O2111" s="11"/>
    </row>
    <row r="2112" customFormat="false" ht="14.25" hidden="false" customHeight="true" outlineLevel="0" collapsed="false">
      <c r="C2112" s="11"/>
      <c r="D2112" s="11"/>
      <c r="E2112" s="11"/>
      <c r="F2112" s="11"/>
      <c r="G2112" s="11"/>
      <c r="H2112" s="11"/>
      <c r="I2112" s="11"/>
      <c r="J2112" s="11"/>
      <c r="K2112" s="11"/>
      <c r="L2112" s="11"/>
      <c r="M2112" s="11"/>
      <c r="N2112" s="44" t="n">
        <v>17.12</v>
      </c>
      <c r="O2112" s="11"/>
    </row>
    <row r="2113" customFormat="false" ht="14.25" hidden="false" customHeight="true" outlineLevel="0" collapsed="false">
      <c r="C2113" s="11"/>
      <c r="D2113" s="11"/>
      <c r="E2113" s="11"/>
      <c r="F2113" s="11"/>
      <c r="G2113" s="11"/>
      <c r="H2113" s="11"/>
      <c r="I2113" s="11"/>
      <c r="J2113" s="11"/>
      <c r="K2113" s="11"/>
      <c r="L2113" s="11"/>
      <c r="M2113" s="11"/>
      <c r="N2113" s="44" t="n">
        <v>16.81</v>
      </c>
      <c r="O2113" s="11"/>
    </row>
    <row r="2114" customFormat="false" ht="14.25" hidden="false" customHeight="true" outlineLevel="0" collapsed="false">
      <c r="C2114" s="11"/>
      <c r="D2114" s="11"/>
      <c r="E2114" s="11"/>
      <c r="F2114" s="11"/>
      <c r="G2114" s="11"/>
      <c r="H2114" s="11"/>
      <c r="I2114" s="11"/>
      <c r="J2114" s="11"/>
      <c r="K2114" s="11"/>
      <c r="L2114" s="11"/>
      <c r="M2114" s="11"/>
      <c r="N2114" s="44" t="n">
        <v>16.77</v>
      </c>
      <c r="O2114" s="11"/>
    </row>
    <row r="2115" customFormat="false" ht="14.25" hidden="false" customHeight="true" outlineLevel="0" collapsed="false">
      <c r="C2115" s="11"/>
      <c r="D2115" s="11"/>
      <c r="E2115" s="11"/>
      <c r="F2115" s="11"/>
      <c r="G2115" s="11"/>
      <c r="H2115" s="11"/>
      <c r="I2115" s="11"/>
      <c r="J2115" s="11"/>
      <c r="K2115" s="11"/>
      <c r="L2115" s="11"/>
      <c r="M2115" s="11"/>
      <c r="N2115" s="44" t="n">
        <v>16.63</v>
      </c>
      <c r="O2115" s="11"/>
    </row>
    <row r="2116" customFormat="false" ht="14.25" hidden="false" customHeight="true" outlineLevel="0" collapsed="false">
      <c r="C2116" s="11"/>
      <c r="D2116" s="11"/>
      <c r="E2116" s="11"/>
      <c r="F2116" s="11"/>
      <c r="G2116" s="11"/>
      <c r="H2116" s="11"/>
      <c r="I2116" s="11"/>
      <c r="J2116" s="11"/>
      <c r="K2116" s="11"/>
      <c r="L2116" s="11"/>
      <c r="M2116" s="11"/>
      <c r="N2116" s="44" t="n">
        <v>16.62</v>
      </c>
      <c r="O2116" s="11"/>
    </row>
    <row r="2117" customFormat="false" ht="14.25" hidden="false" customHeight="true" outlineLevel="0" collapsed="false">
      <c r="C2117" s="11"/>
      <c r="D2117" s="11"/>
      <c r="E2117" s="11"/>
      <c r="F2117" s="11"/>
      <c r="G2117" s="11"/>
      <c r="H2117" s="11"/>
      <c r="I2117" s="11"/>
      <c r="J2117" s="11"/>
      <c r="K2117" s="11"/>
      <c r="L2117" s="11"/>
      <c r="M2117" s="11"/>
      <c r="N2117" s="44" t="n">
        <v>16.61</v>
      </c>
      <c r="O2117" s="11"/>
    </row>
    <row r="2118" customFormat="false" ht="14.25" hidden="false" customHeight="true" outlineLevel="0" collapsed="false">
      <c r="C2118" s="11"/>
      <c r="D2118" s="11"/>
      <c r="E2118" s="11"/>
      <c r="F2118" s="11"/>
      <c r="G2118" s="11"/>
      <c r="H2118" s="11"/>
      <c r="I2118" s="11"/>
      <c r="J2118" s="11"/>
      <c r="K2118" s="11"/>
      <c r="L2118" s="11"/>
      <c r="M2118" s="11"/>
      <c r="N2118" s="44" t="n">
        <v>16.71</v>
      </c>
      <c r="O2118" s="11"/>
    </row>
    <row r="2119" customFormat="false" ht="14.25" hidden="false" customHeight="true" outlineLevel="0" collapsed="false">
      <c r="C2119" s="11"/>
      <c r="D2119" s="11"/>
      <c r="E2119" s="11"/>
      <c r="F2119" s="11"/>
      <c r="G2119" s="11"/>
      <c r="H2119" s="11"/>
      <c r="I2119" s="11"/>
      <c r="J2119" s="11"/>
      <c r="K2119" s="11"/>
      <c r="L2119" s="11"/>
      <c r="M2119" s="11"/>
      <c r="N2119" s="44" t="n">
        <v>16.51</v>
      </c>
      <c r="O2119" s="11"/>
    </row>
    <row r="2120" customFormat="false" ht="14.25" hidden="false" customHeight="true" outlineLevel="0" collapsed="false">
      <c r="C2120" s="11"/>
      <c r="D2120" s="11"/>
      <c r="E2120" s="11"/>
      <c r="F2120" s="11"/>
      <c r="G2120" s="11"/>
      <c r="H2120" s="11"/>
      <c r="I2120" s="11"/>
      <c r="J2120" s="11"/>
      <c r="K2120" s="11"/>
      <c r="L2120" s="11"/>
      <c r="M2120" s="11"/>
      <c r="N2120" s="44" t="n">
        <v>16.57</v>
      </c>
      <c r="O2120" s="11"/>
    </row>
    <row r="2121" customFormat="false" ht="14.25" hidden="false" customHeight="true" outlineLevel="0" collapsed="false">
      <c r="C2121" s="11"/>
      <c r="D2121" s="11"/>
      <c r="E2121" s="11"/>
      <c r="F2121" s="11"/>
      <c r="G2121" s="11"/>
      <c r="H2121" s="11"/>
      <c r="I2121" s="11"/>
      <c r="J2121" s="11"/>
      <c r="K2121" s="11"/>
      <c r="L2121" s="11"/>
      <c r="M2121" s="11"/>
      <c r="N2121" s="44" t="n">
        <v>16.64</v>
      </c>
      <c r="O2121" s="11"/>
    </row>
    <row r="2122" customFormat="false" ht="14.25" hidden="false" customHeight="true" outlineLevel="0" collapsed="false">
      <c r="C2122" s="11"/>
      <c r="D2122" s="11"/>
      <c r="E2122" s="11"/>
      <c r="F2122" s="11"/>
      <c r="G2122" s="11"/>
      <c r="H2122" s="11"/>
      <c r="I2122" s="11"/>
      <c r="J2122" s="11"/>
      <c r="K2122" s="11"/>
      <c r="L2122" s="11"/>
      <c r="M2122" s="11"/>
      <c r="N2122" s="44" t="n">
        <v>16.82</v>
      </c>
      <c r="O2122" s="11"/>
    </row>
    <row r="2123" customFormat="false" ht="14.25" hidden="false" customHeight="true" outlineLevel="0" collapsed="false">
      <c r="C2123" s="11"/>
      <c r="D2123" s="11"/>
      <c r="E2123" s="11"/>
      <c r="F2123" s="11"/>
      <c r="G2123" s="11"/>
      <c r="H2123" s="11"/>
      <c r="I2123" s="11"/>
      <c r="J2123" s="11"/>
      <c r="K2123" s="11"/>
      <c r="L2123" s="11"/>
      <c r="M2123" s="11"/>
      <c r="N2123" s="44" t="n">
        <v>16.77</v>
      </c>
      <c r="O2123" s="11"/>
    </row>
    <row r="2124" customFormat="false" ht="14.25" hidden="false" customHeight="true" outlineLevel="0" collapsed="false">
      <c r="C2124" s="11"/>
      <c r="D2124" s="11"/>
      <c r="E2124" s="11"/>
      <c r="F2124" s="11"/>
      <c r="G2124" s="11"/>
      <c r="H2124" s="11"/>
      <c r="I2124" s="11"/>
      <c r="J2124" s="11"/>
      <c r="K2124" s="11"/>
      <c r="L2124" s="11"/>
      <c r="M2124" s="11"/>
      <c r="N2124" s="44" t="n">
        <v>16.7</v>
      </c>
      <c r="O2124" s="11"/>
    </row>
    <row r="2125" customFormat="false" ht="14.25" hidden="false" customHeight="true" outlineLevel="0" collapsed="false">
      <c r="C2125" s="11"/>
      <c r="D2125" s="11"/>
      <c r="E2125" s="11"/>
      <c r="F2125" s="11"/>
      <c r="G2125" s="11"/>
      <c r="H2125" s="11"/>
      <c r="I2125" s="11"/>
      <c r="J2125" s="11"/>
      <c r="K2125" s="11"/>
      <c r="L2125" s="11"/>
      <c r="M2125" s="11"/>
      <c r="N2125" s="44" t="n">
        <v>16.88</v>
      </c>
      <c r="O2125" s="11"/>
    </row>
    <row r="2126" customFormat="false" ht="14.25" hidden="false" customHeight="true" outlineLevel="0" collapsed="false">
      <c r="C2126" s="11"/>
      <c r="D2126" s="11"/>
      <c r="E2126" s="11"/>
      <c r="F2126" s="11"/>
      <c r="G2126" s="11"/>
      <c r="H2126" s="11"/>
      <c r="I2126" s="11"/>
      <c r="J2126" s="11"/>
      <c r="K2126" s="11"/>
      <c r="L2126" s="11"/>
      <c r="M2126" s="11"/>
      <c r="N2126" s="44" t="n">
        <v>16.91</v>
      </c>
      <c r="O2126" s="11"/>
    </row>
    <row r="2127" customFormat="false" ht="14.25" hidden="false" customHeight="true" outlineLevel="0" collapsed="false">
      <c r="C2127" s="11"/>
      <c r="D2127" s="11"/>
      <c r="E2127" s="11"/>
      <c r="F2127" s="11"/>
      <c r="G2127" s="11"/>
      <c r="H2127" s="11"/>
      <c r="I2127" s="11"/>
      <c r="J2127" s="11"/>
      <c r="K2127" s="11"/>
      <c r="L2127" s="11"/>
      <c r="M2127" s="11"/>
      <c r="N2127" s="44" t="n">
        <v>17.05</v>
      </c>
      <c r="O2127" s="11"/>
    </row>
    <row r="2128" customFormat="false" ht="14.25" hidden="false" customHeight="true" outlineLevel="0" collapsed="false">
      <c r="C2128" s="11"/>
      <c r="D2128" s="11"/>
      <c r="E2128" s="11"/>
      <c r="F2128" s="11"/>
      <c r="G2128" s="11"/>
      <c r="H2128" s="11"/>
      <c r="I2128" s="11"/>
      <c r="J2128" s="11"/>
      <c r="K2128" s="11"/>
      <c r="L2128" s="11"/>
      <c r="M2128" s="11"/>
      <c r="N2128" s="44" t="n">
        <v>16.97</v>
      </c>
      <c r="O2128" s="11"/>
    </row>
    <row r="2129" customFormat="false" ht="14.25" hidden="false" customHeight="true" outlineLevel="0" collapsed="false">
      <c r="C2129" s="11"/>
      <c r="D2129" s="11"/>
      <c r="E2129" s="11"/>
      <c r="F2129" s="11"/>
      <c r="G2129" s="11"/>
      <c r="H2129" s="11"/>
      <c r="I2129" s="11"/>
      <c r="J2129" s="11"/>
      <c r="K2129" s="11"/>
      <c r="L2129" s="11"/>
      <c r="M2129" s="11"/>
      <c r="N2129" s="44" t="n">
        <v>16.36</v>
      </c>
      <c r="O2129" s="11"/>
    </row>
    <row r="2130" customFormat="false" ht="14.25" hidden="false" customHeight="true" outlineLevel="0" collapsed="false">
      <c r="C2130" s="11"/>
      <c r="D2130" s="11"/>
      <c r="E2130" s="11"/>
      <c r="F2130" s="11"/>
      <c r="G2130" s="11"/>
      <c r="H2130" s="11"/>
      <c r="I2130" s="11"/>
      <c r="J2130" s="11"/>
      <c r="K2130" s="11"/>
      <c r="L2130" s="11"/>
      <c r="M2130" s="11"/>
      <c r="N2130" s="44" t="n">
        <v>16.43</v>
      </c>
      <c r="O2130" s="11"/>
    </row>
    <row r="2131" customFormat="false" ht="14.25" hidden="false" customHeight="true" outlineLevel="0" collapsed="false">
      <c r="C2131" s="11"/>
      <c r="D2131" s="11"/>
      <c r="E2131" s="11"/>
      <c r="F2131" s="11"/>
      <c r="G2131" s="11"/>
      <c r="H2131" s="11"/>
      <c r="I2131" s="11"/>
      <c r="J2131" s="11"/>
      <c r="K2131" s="11"/>
      <c r="L2131" s="11"/>
      <c r="M2131" s="11"/>
      <c r="N2131" s="44" t="n">
        <v>16.27</v>
      </c>
      <c r="O2131" s="11"/>
    </row>
    <row r="2132" customFormat="false" ht="14.25" hidden="false" customHeight="true" outlineLevel="0" collapsed="false">
      <c r="C2132" s="11"/>
      <c r="D2132" s="11"/>
      <c r="E2132" s="11"/>
      <c r="F2132" s="11"/>
      <c r="G2132" s="11"/>
      <c r="H2132" s="11"/>
      <c r="I2132" s="11"/>
      <c r="J2132" s="11"/>
      <c r="K2132" s="11"/>
      <c r="L2132" s="11"/>
      <c r="M2132" s="11"/>
      <c r="N2132" s="44" t="n">
        <v>16.42</v>
      </c>
      <c r="O2132" s="11"/>
    </row>
    <row r="2133" customFormat="false" ht="14.25" hidden="false" customHeight="true" outlineLevel="0" collapsed="false">
      <c r="C2133" s="11"/>
      <c r="D2133" s="11"/>
      <c r="E2133" s="11"/>
      <c r="F2133" s="11"/>
      <c r="G2133" s="11"/>
      <c r="H2133" s="11"/>
      <c r="I2133" s="11"/>
      <c r="J2133" s="11"/>
      <c r="K2133" s="11"/>
      <c r="L2133" s="11"/>
      <c r="M2133" s="11"/>
      <c r="N2133" s="44" t="n">
        <v>16.62</v>
      </c>
      <c r="O2133" s="11"/>
    </row>
    <row r="2134" customFormat="false" ht="14.25" hidden="false" customHeight="true" outlineLevel="0" collapsed="false">
      <c r="C2134" s="11"/>
      <c r="D2134" s="11"/>
      <c r="E2134" s="11"/>
      <c r="F2134" s="11"/>
      <c r="G2134" s="11"/>
      <c r="H2134" s="11"/>
      <c r="I2134" s="11"/>
      <c r="J2134" s="11"/>
      <c r="K2134" s="11"/>
      <c r="L2134" s="11"/>
      <c r="M2134" s="11"/>
      <c r="N2134" s="44" t="n">
        <v>16.59</v>
      </c>
      <c r="O2134" s="11"/>
    </row>
    <row r="2135" customFormat="false" ht="14.25" hidden="false" customHeight="true" outlineLevel="0" collapsed="false">
      <c r="C2135" s="11"/>
      <c r="D2135" s="11"/>
      <c r="E2135" s="11"/>
      <c r="F2135" s="11"/>
      <c r="G2135" s="11"/>
      <c r="H2135" s="11"/>
      <c r="I2135" s="11"/>
      <c r="J2135" s="11"/>
      <c r="K2135" s="11"/>
      <c r="L2135" s="11"/>
      <c r="M2135" s="11"/>
      <c r="N2135" s="44" t="n">
        <v>16.76</v>
      </c>
      <c r="O2135" s="11"/>
    </row>
    <row r="2136" customFormat="false" ht="14.25" hidden="false" customHeight="true" outlineLevel="0" collapsed="false">
      <c r="C2136" s="11"/>
      <c r="D2136" s="11"/>
      <c r="E2136" s="11"/>
      <c r="F2136" s="11"/>
      <c r="G2136" s="11"/>
      <c r="H2136" s="11"/>
      <c r="I2136" s="11"/>
      <c r="J2136" s="11"/>
      <c r="K2136" s="11"/>
      <c r="L2136" s="11"/>
      <c r="M2136" s="11"/>
      <c r="N2136" s="44" t="n">
        <v>16.96</v>
      </c>
      <c r="O2136" s="11"/>
    </row>
    <row r="2137" customFormat="false" ht="14.25" hidden="false" customHeight="true" outlineLevel="0" collapsed="false">
      <c r="C2137" s="11"/>
      <c r="D2137" s="11"/>
      <c r="E2137" s="11"/>
      <c r="F2137" s="11"/>
      <c r="G2137" s="11"/>
      <c r="H2137" s="11"/>
      <c r="I2137" s="11"/>
      <c r="J2137" s="11"/>
      <c r="K2137" s="11"/>
      <c r="L2137" s="11"/>
      <c r="M2137" s="11"/>
      <c r="N2137" s="44" t="n">
        <v>17.25</v>
      </c>
      <c r="O2137" s="11"/>
    </row>
    <row r="2138" customFormat="false" ht="14.25" hidden="false" customHeight="true" outlineLevel="0" collapsed="false">
      <c r="C2138" s="11"/>
      <c r="D2138" s="11"/>
      <c r="E2138" s="11"/>
      <c r="F2138" s="11"/>
      <c r="G2138" s="11"/>
      <c r="H2138" s="11"/>
      <c r="I2138" s="11"/>
      <c r="J2138" s="11"/>
      <c r="K2138" s="11"/>
      <c r="L2138" s="11"/>
      <c r="M2138" s="11"/>
      <c r="N2138" s="44" t="n">
        <v>16.69</v>
      </c>
      <c r="O2138" s="11"/>
    </row>
    <row r="2139" customFormat="false" ht="14.25" hidden="false" customHeight="true" outlineLevel="0" collapsed="false">
      <c r="C2139" s="11"/>
      <c r="D2139" s="11"/>
      <c r="E2139" s="11"/>
      <c r="F2139" s="11"/>
      <c r="G2139" s="11"/>
      <c r="H2139" s="11"/>
      <c r="I2139" s="11"/>
      <c r="J2139" s="11"/>
      <c r="K2139" s="11"/>
      <c r="L2139" s="11"/>
      <c r="M2139" s="11"/>
      <c r="N2139" s="44" t="n">
        <v>16.73</v>
      </c>
      <c r="O2139" s="11"/>
    </row>
    <row r="2140" customFormat="false" ht="14.25" hidden="false" customHeight="true" outlineLevel="0" collapsed="false">
      <c r="C2140" s="11"/>
      <c r="D2140" s="11"/>
      <c r="E2140" s="11"/>
      <c r="F2140" s="11"/>
      <c r="G2140" s="11"/>
      <c r="H2140" s="11"/>
      <c r="I2140" s="11"/>
      <c r="J2140" s="11"/>
      <c r="K2140" s="11"/>
      <c r="L2140" s="11"/>
      <c r="M2140" s="11"/>
      <c r="N2140" s="44" t="n">
        <v>17.24</v>
      </c>
      <c r="O2140" s="11"/>
    </row>
    <row r="2141" customFormat="false" ht="14.25" hidden="false" customHeight="true" outlineLevel="0" collapsed="false">
      <c r="C2141" s="11"/>
      <c r="D2141" s="11"/>
      <c r="E2141" s="11"/>
      <c r="F2141" s="11"/>
      <c r="G2141" s="11"/>
      <c r="H2141" s="11"/>
      <c r="I2141" s="11"/>
      <c r="J2141" s="11"/>
      <c r="K2141" s="11"/>
      <c r="L2141" s="11"/>
      <c r="M2141" s="11"/>
      <c r="N2141" s="44" t="n">
        <v>16.88</v>
      </c>
      <c r="O2141" s="11"/>
    </row>
    <row r="2142" customFormat="false" ht="14.25" hidden="false" customHeight="true" outlineLevel="0" collapsed="false">
      <c r="C2142" s="11"/>
      <c r="D2142" s="11"/>
      <c r="E2142" s="11"/>
      <c r="F2142" s="11"/>
      <c r="G2142" s="11"/>
      <c r="H2142" s="11"/>
      <c r="I2142" s="11"/>
      <c r="J2142" s="11"/>
      <c r="K2142" s="11"/>
      <c r="L2142" s="11"/>
      <c r="M2142" s="11"/>
      <c r="N2142" s="44" t="n">
        <v>16.87</v>
      </c>
      <c r="O2142" s="11"/>
    </row>
    <row r="2143" customFormat="false" ht="14.25" hidden="false" customHeight="true" outlineLevel="0" collapsed="false">
      <c r="C2143" s="11"/>
      <c r="D2143" s="11"/>
      <c r="E2143" s="11"/>
      <c r="F2143" s="11"/>
      <c r="G2143" s="11"/>
      <c r="H2143" s="11"/>
      <c r="I2143" s="11"/>
      <c r="J2143" s="11"/>
      <c r="K2143" s="11"/>
      <c r="L2143" s="11"/>
      <c r="M2143" s="11"/>
      <c r="N2143" s="44" t="n">
        <v>16.71</v>
      </c>
      <c r="O2143" s="11"/>
    </row>
    <row r="2144" customFormat="false" ht="14.25" hidden="false" customHeight="true" outlineLevel="0" collapsed="false">
      <c r="C2144" s="11"/>
      <c r="D2144" s="11"/>
      <c r="E2144" s="11"/>
      <c r="F2144" s="11"/>
      <c r="G2144" s="11"/>
      <c r="H2144" s="11"/>
      <c r="I2144" s="11"/>
      <c r="J2144" s="11"/>
      <c r="K2144" s="11"/>
      <c r="L2144" s="11"/>
      <c r="M2144" s="11"/>
      <c r="N2144" s="44" t="n">
        <v>16.95</v>
      </c>
      <c r="O2144" s="11"/>
    </row>
    <row r="2145" customFormat="false" ht="14.25" hidden="false" customHeight="true" outlineLevel="0" collapsed="false">
      <c r="C2145" s="11"/>
      <c r="D2145" s="11"/>
      <c r="E2145" s="11"/>
      <c r="F2145" s="11"/>
      <c r="G2145" s="11"/>
      <c r="H2145" s="11"/>
      <c r="I2145" s="11"/>
      <c r="J2145" s="11"/>
      <c r="K2145" s="11"/>
      <c r="L2145" s="11"/>
      <c r="M2145" s="11"/>
      <c r="N2145" s="44" t="n">
        <v>16.87</v>
      </c>
      <c r="O2145" s="11"/>
    </row>
    <row r="2146" customFormat="false" ht="14.25" hidden="false" customHeight="true" outlineLevel="0" collapsed="false">
      <c r="C2146" s="11"/>
      <c r="D2146" s="11"/>
      <c r="E2146" s="11"/>
      <c r="F2146" s="11"/>
      <c r="G2146" s="11"/>
      <c r="H2146" s="11"/>
      <c r="I2146" s="11"/>
      <c r="J2146" s="11"/>
      <c r="K2146" s="11"/>
      <c r="L2146" s="11"/>
      <c r="M2146" s="11"/>
      <c r="N2146" s="44" t="n">
        <v>16.86</v>
      </c>
      <c r="O2146" s="11"/>
    </row>
    <row r="2147" customFormat="false" ht="14.25" hidden="false" customHeight="true" outlineLevel="0" collapsed="false">
      <c r="C2147" s="11"/>
      <c r="D2147" s="11"/>
      <c r="E2147" s="11"/>
      <c r="F2147" s="11"/>
      <c r="G2147" s="11"/>
      <c r="H2147" s="11"/>
      <c r="I2147" s="11"/>
      <c r="J2147" s="11"/>
      <c r="K2147" s="11"/>
      <c r="L2147" s="11"/>
      <c r="M2147" s="11"/>
      <c r="N2147" s="44" t="n">
        <v>16.67</v>
      </c>
      <c r="O2147" s="11"/>
    </row>
    <row r="2148" customFormat="false" ht="14.25" hidden="false" customHeight="true" outlineLevel="0" collapsed="false">
      <c r="C2148" s="11"/>
      <c r="D2148" s="11"/>
      <c r="E2148" s="11"/>
      <c r="F2148" s="11"/>
      <c r="G2148" s="11"/>
      <c r="H2148" s="11"/>
      <c r="I2148" s="11"/>
      <c r="J2148" s="11"/>
      <c r="K2148" s="11"/>
      <c r="L2148" s="11"/>
      <c r="M2148" s="11"/>
      <c r="N2148" s="44" t="n">
        <v>16.63</v>
      </c>
      <c r="O2148" s="11"/>
    </row>
    <row r="2149" customFormat="false" ht="14.25" hidden="false" customHeight="true" outlineLevel="0" collapsed="false">
      <c r="C2149" s="11"/>
      <c r="D2149" s="11"/>
      <c r="E2149" s="11"/>
      <c r="F2149" s="11"/>
      <c r="G2149" s="11"/>
      <c r="H2149" s="11"/>
      <c r="I2149" s="11"/>
      <c r="J2149" s="11"/>
      <c r="K2149" s="11"/>
      <c r="L2149" s="11"/>
      <c r="M2149" s="11"/>
      <c r="N2149" s="44" t="n">
        <v>16.66</v>
      </c>
      <c r="O2149" s="11"/>
    </row>
    <row r="2150" customFormat="false" ht="14.25" hidden="false" customHeight="true" outlineLevel="0" collapsed="false">
      <c r="C2150" s="11"/>
      <c r="D2150" s="11"/>
      <c r="E2150" s="11"/>
      <c r="F2150" s="11"/>
      <c r="G2150" s="11"/>
      <c r="H2150" s="11"/>
      <c r="I2150" s="11"/>
      <c r="J2150" s="11"/>
      <c r="K2150" s="11"/>
      <c r="L2150" s="11"/>
      <c r="M2150" s="11"/>
      <c r="N2150" s="44" t="n">
        <v>16.88</v>
      </c>
      <c r="O2150" s="11"/>
    </row>
    <row r="2151" customFormat="false" ht="14.25" hidden="false" customHeight="true" outlineLevel="0" collapsed="false">
      <c r="C2151" s="11"/>
      <c r="D2151" s="11"/>
      <c r="E2151" s="11"/>
      <c r="F2151" s="11"/>
      <c r="G2151" s="11"/>
      <c r="H2151" s="11"/>
      <c r="I2151" s="11"/>
      <c r="J2151" s="11"/>
      <c r="K2151" s="11"/>
      <c r="L2151" s="11"/>
      <c r="M2151" s="11"/>
      <c r="N2151" s="44" t="n">
        <v>17.05</v>
      </c>
      <c r="O2151" s="11"/>
    </row>
    <row r="2152" customFormat="false" ht="14.25" hidden="false" customHeight="true" outlineLevel="0" collapsed="false">
      <c r="C2152" s="11"/>
      <c r="D2152" s="11"/>
      <c r="E2152" s="11"/>
      <c r="F2152" s="11"/>
      <c r="G2152" s="11"/>
      <c r="H2152" s="11"/>
      <c r="I2152" s="11"/>
      <c r="J2152" s="11"/>
      <c r="K2152" s="11"/>
      <c r="L2152" s="11"/>
      <c r="M2152" s="11"/>
      <c r="N2152" s="44" t="n">
        <v>17.11</v>
      </c>
      <c r="O2152" s="11"/>
    </row>
    <row r="2153" customFormat="false" ht="14.25" hidden="false" customHeight="true" outlineLevel="0" collapsed="false">
      <c r="C2153" s="11"/>
      <c r="D2153" s="11"/>
      <c r="E2153" s="11"/>
      <c r="F2153" s="11"/>
      <c r="G2153" s="11"/>
      <c r="H2153" s="11"/>
      <c r="I2153" s="11"/>
      <c r="J2153" s="11"/>
      <c r="K2153" s="11"/>
      <c r="L2153" s="11"/>
      <c r="M2153" s="11"/>
      <c r="N2153" s="44" t="n">
        <v>17.28</v>
      </c>
      <c r="O2153" s="11"/>
    </row>
    <row r="2154" customFormat="false" ht="14.25" hidden="false" customHeight="true" outlineLevel="0" collapsed="false">
      <c r="C2154" s="11"/>
      <c r="D2154" s="11"/>
      <c r="E2154" s="11"/>
      <c r="F2154" s="11"/>
      <c r="G2154" s="11"/>
      <c r="H2154" s="11"/>
      <c r="I2154" s="11"/>
      <c r="J2154" s="11"/>
      <c r="K2154" s="11"/>
      <c r="L2154" s="11"/>
      <c r="M2154" s="11"/>
      <c r="N2154" s="44" t="n">
        <v>17.46</v>
      </c>
      <c r="O2154" s="11"/>
    </row>
    <row r="2155" customFormat="false" ht="14.25" hidden="false" customHeight="true" outlineLevel="0" collapsed="false">
      <c r="C2155" s="11"/>
      <c r="D2155" s="11"/>
      <c r="E2155" s="11"/>
      <c r="F2155" s="11"/>
      <c r="G2155" s="11"/>
      <c r="H2155" s="11"/>
      <c r="I2155" s="11"/>
      <c r="J2155" s="11"/>
      <c r="K2155" s="11"/>
      <c r="L2155" s="11"/>
      <c r="M2155" s="11"/>
      <c r="N2155" s="44" t="n">
        <v>17.69</v>
      </c>
      <c r="O2155" s="11"/>
    </row>
    <row r="2156" customFormat="false" ht="14.25" hidden="false" customHeight="true" outlineLevel="0" collapsed="false">
      <c r="C2156" s="11"/>
      <c r="D2156" s="11"/>
      <c r="E2156" s="11"/>
      <c r="F2156" s="11"/>
      <c r="G2156" s="11"/>
      <c r="H2156" s="11"/>
      <c r="I2156" s="11"/>
      <c r="J2156" s="11"/>
      <c r="K2156" s="11"/>
      <c r="L2156" s="11"/>
      <c r="M2156" s="11"/>
      <c r="N2156" s="44" t="n">
        <v>17.71</v>
      </c>
      <c r="O2156" s="11"/>
    </row>
    <row r="2157" customFormat="false" ht="14.25" hidden="false" customHeight="true" outlineLevel="0" collapsed="false">
      <c r="C2157" s="11"/>
      <c r="D2157" s="11"/>
      <c r="E2157" s="11"/>
      <c r="F2157" s="11"/>
      <c r="G2157" s="11"/>
      <c r="H2157" s="11"/>
      <c r="I2157" s="11"/>
      <c r="J2157" s="11"/>
      <c r="K2157" s="11"/>
      <c r="L2157" s="11"/>
      <c r="M2157" s="11"/>
      <c r="N2157" s="44" t="n">
        <v>17.68</v>
      </c>
      <c r="O2157" s="11"/>
    </row>
    <row r="2158" customFormat="false" ht="14.25" hidden="false" customHeight="true" outlineLevel="0" collapsed="false">
      <c r="C2158" s="11"/>
      <c r="D2158" s="11"/>
      <c r="E2158" s="11"/>
      <c r="F2158" s="11"/>
      <c r="G2158" s="11"/>
      <c r="H2158" s="11"/>
      <c r="I2158" s="11"/>
      <c r="J2158" s="11"/>
      <c r="K2158" s="11"/>
      <c r="L2158" s="11"/>
      <c r="M2158" s="11"/>
      <c r="N2158" s="44" t="n">
        <v>17.6</v>
      </c>
      <c r="O2158" s="11"/>
    </row>
    <row r="2159" customFormat="false" ht="14.25" hidden="false" customHeight="true" outlineLevel="0" collapsed="false">
      <c r="C2159" s="11"/>
      <c r="D2159" s="11"/>
      <c r="E2159" s="11"/>
      <c r="F2159" s="11"/>
      <c r="G2159" s="11"/>
      <c r="H2159" s="11"/>
      <c r="I2159" s="11"/>
      <c r="J2159" s="11"/>
      <c r="K2159" s="11"/>
      <c r="L2159" s="11"/>
      <c r="M2159" s="11"/>
      <c r="N2159" s="44" t="n">
        <v>17.7</v>
      </c>
      <c r="O2159" s="11"/>
    </row>
    <row r="2160" customFormat="false" ht="14.25" hidden="false" customHeight="true" outlineLevel="0" collapsed="false">
      <c r="C2160" s="11"/>
      <c r="D2160" s="11"/>
      <c r="E2160" s="11"/>
      <c r="F2160" s="11"/>
      <c r="G2160" s="11"/>
      <c r="H2160" s="11"/>
      <c r="I2160" s="11"/>
      <c r="J2160" s="11"/>
      <c r="K2160" s="11"/>
      <c r="L2160" s="11"/>
      <c r="M2160" s="11"/>
      <c r="N2160" s="44" t="n">
        <v>17.5</v>
      </c>
      <c r="O2160" s="11"/>
    </row>
    <row r="2161" customFormat="false" ht="14.25" hidden="false" customHeight="true" outlineLevel="0" collapsed="false">
      <c r="C2161" s="11"/>
      <c r="D2161" s="11"/>
      <c r="E2161" s="11"/>
      <c r="F2161" s="11"/>
      <c r="G2161" s="11"/>
      <c r="H2161" s="11"/>
      <c r="I2161" s="11"/>
      <c r="J2161" s="11"/>
      <c r="K2161" s="11"/>
      <c r="L2161" s="11"/>
      <c r="M2161" s="11"/>
      <c r="N2161" s="44" t="n">
        <v>17.52</v>
      </c>
      <c r="O2161" s="11"/>
    </row>
    <row r="2162" customFormat="false" ht="14.25" hidden="false" customHeight="true" outlineLevel="0" collapsed="false">
      <c r="C2162" s="11"/>
      <c r="D2162" s="11"/>
      <c r="E2162" s="11"/>
      <c r="F2162" s="11"/>
      <c r="G2162" s="11"/>
      <c r="H2162" s="11"/>
      <c r="I2162" s="11"/>
      <c r="J2162" s="11"/>
      <c r="K2162" s="11"/>
      <c r="L2162" s="11"/>
      <c r="M2162" s="11"/>
      <c r="N2162" s="44" t="n">
        <v>17.31</v>
      </c>
      <c r="O2162" s="11"/>
    </row>
    <row r="2163" customFormat="false" ht="14.25" hidden="false" customHeight="true" outlineLevel="0" collapsed="false">
      <c r="C2163" s="11"/>
      <c r="D2163" s="11"/>
      <c r="E2163" s="11"/>
      <c r="F2163" s="11"/>
      <c r="G2163" s="11"/>
      <c r="H2163" s="11"/>
      <c r="I2163" s="11"/>
      <c r="J2163" s="11"/>
      <c r="K2163" s="11"/>
      <c r="L2163" s="11"/>
      <c r="M2163" s="11"/>
      <c r="N2163" s="44" t="n">
        <v>17.33</v>
      </c>
      <c r="O2163" s="11"/>
    </row>
    <row r="2164" customFormat="false" ht="14.25" hidden="false" customHeight="true" outlineLevel="0" collapsed="false">
      <c r="C2164" s="11"/>
      <c r="D2164" s="11"/>
      <c r="E2164" s="11"/>
      <c r="F2164" s="11"/>
      <c r="G2164" s="11"/>
      <c r="H2164" s="11"/>
      <c r="I2164" s="11"/>
      <c r="J2164" s="11"/>
      <c r="K2164" s="11"/>
      <c r="L2164" s="11"/>
      <c r="M2164" s="11"/>
      <c r="N2164" s="44" t="n">
        <v>17.49</v>
      </c>
      <c r="O2164" s="11"/>
    </row>
    <row r="2165" customFormat="false" ht="14.25" hidden="false" customHeight="true" outlineLevel="0" collapsed="false">
      <c r="C2165" s="11"/>
      <c r="D2165" s="11"/>
      <c r="E2165" s="11"/>
      <c r="F2165" s="11"/>
      <c r="G2165" s="11"/>
      <c r="H2165" s="11"/>
      <c r="I2165" s="11"/>
      <c r="J2165" s="11"/>
      <c r="K2165" s="11"/>
      <c r="L2165" s="11"/>
      <c r="M2165" s="11"/>
      <c r="N2165" s="44" t="n">
        <v>17.42</v>
      </c>
      <c r="O2165" s="11"/>
    </row>
    <row r="2166" customFormat="false" ht="14.25" hidden="false" customHeight="true" outlineLevel="0" collapsed="false">
      <c r="C2166" s="11"/>
      <c r="D2166" s="11"/>
      <c r="E2166" s="11"/>
      <c r="F2166" s="11"/>
      <c r="G2166" s="11"/>
      <c r="H2166" s="11"/>
      <c r="I2166" s="11"/>
      <c r="J2166" s="11"/>
      <c r="K2166" s="11"/>
      <c r="L2166" s="11"/>
      <c r="M2166" s="11"/>
      <c r="N2166" s="44" t="n">
        <v>17.2</v>
      </c>
      <c r="O2166" s="11"/>
    </row>
    <row r="2167" customFormat="false" ht="14.25" hidden="false" customHeight="true" outlineLevel="0" collapsed="false">
      <c r="C2167" s="11"/>
      <c r="D2167" s="11"/>
      <c r="E2167" s="11"/>
      <c r="F2167" s="11"/>
      <c r="G2167" s="11"/>
      <c r="H2167" s="11"/>
      <c r="I2167" s="11"/>
      <c r="J2167" s="11"/>
      <c r="K2167" s="11"/>
      <c r="L2167" s="11"/>
      <c r="M2167" s="11"/>
      <c r="N2167" s="44" t="n">
        <v>17.36</v>
      </c>
      <c r="O2167" s="11"/>
    </row>
    <row r="2168" customFormat="false" ht="14.25" hidden="false" customHeight="true" outlineLevel="0" collapsed="false">
      <c r="C2168" s="11"/>
      <c r="D2168" s="11"/>
      <c r="E2168" s="11"/>
      <c r="F2168" s="11"/>
      <c r="G2168" s="11"/>
      <c r="H2168" s="11"/>
      <c r="I2168" s="11"/>
      <c r="J2168" s="11"/>
      <c r="K2168" s="11"/>
      <c r="L2168" s="11"/>
      <c r="M2168" s="11"/>
      <c r="N2168" s="44" t="n">
        <v>17.5</v>
      </c>
      <c r="O2168" s="11"/>
    </row>
    <row r="2169" customFormat="false" ht="14.25" hidden="false" customHeight="true" outlineLevel="0" collapsed="false">
      <c r="C2169" s="11"/>
      <c r="D2169" s="11"/>
      <c r="E2169" s="11"/>
      <c r="F2169" s="11"/>
      <c r="G2169" s="11"/>
      <c r="H2169" s="11"/>
      <c r="I2169" s="11"/>
      <c r="J2169" s="11"/>
      <c r="K2169" s="11"/>
      <c r="L2169" s="11"/>
      <c r="M2169" s="11"/>
      <c r="N2169" s="44" t="n">
        <v>17.84</v>
      </c>
      <c r="O2169" s="11"/>
    </row>
    <row r="2170" customFormat="false" ht="14.25" hidden="false" customHeight="true" outlineLevel="0" collapsed="false">
      <c r="C2170" s="11"/>
      <c r="D2170" s="11"/>
      <c r="E2170" s="11"/>
      <c r="F2170" s="11"/>
      <c r="G2170" s="11"/>
      <c r="H2170" s="11"/>
      <c r="I2170" s="11"/>
      <c r="J2170" s="11"/>
      <c r="K2170" s="11"/>
      <c r="L2170" s="11"/>
      <c r="M2170" s="11"/>
      <c r="N2170" s="44" t="n">
        <v>17.85</v>
      </c>
      <c r="O2170" s="11"/>
    </row>
    <row r="2171" customFormat="false" ht="14.25" hidden="false" customHeight="true" outlineLevel="0" collapsed="false">
      <c r="C2171" s="11"/>
      <c r="D2171" s="11"/>
      <c r="E2171" s="11"/>
      <c r="F2171" s="11"/>
      <c r="G2171" s="11"/>
      <c r="H2171" s="11"/>
      <c r="I2171" s="11"/>
      <c r="J2171" s="11"/>
      <c r="K2171" s="11"/>
      <c r="L2171" s="11"/>
      <c r="M2171" s="11"/>
      <c r="N2171" s="44" t="n">
        <v>17.85</v>
      </c>
      <c r="O2171" s="11"/>
    </row>
    <row r="2172" customFormat="false" ht="14.25" hidden="false" customHeight="true" outlineLevel="0" collapsed="false">
      <c r="C2172" s="11"/>
      <c r="D2172" s="11"/>
      <c r="E2172" s="11"/>
      <c r="F2172" s="11"/>
      <c r="G2172" s="11"/>
      <c r="H2172" s="11"/>
      <c r="I2172" s="11"/>
      <c r="J2172" s="11"/>
      <c r="K2172" s="11"/>
      <c r="L2172" s="11"/>
      <c r="M2172" s="11"/>
      <c r="N2172" s="44" t="n">
        <v>17.47</v>
      </c>
      <c r="O2172" s="11"/>
    </row>
    <row r="2173" customFormat="false" ht="14.25" hidden="false" customHeight="true" outlineLevel="0" collapsed="false">
      <c r="C2173" s="11"/>
      <c r="D2173" s="11"/>
      <c r="E2173" s="11"/>
      <c r="F2173" s="11"/>
      <c r="G2173" s="11"/>
      <c r="H2173" s="11"/>
      <c r="I2173" s="11"/>
      <c r="J2173" s="11"/>
      <c r="K2173" s="11"/>
      <c r="L2173" s="11"/>
      <c r="M2173" s="11"/>
      <c r="N2173" s="44" t="n">
        <v>17.35</v>
      </c>
      <c r="O2173" s="11"/>
    </row>
    <row r="2174" customFormat="false" ht="14.25" hidden="false" customHeight="true" outlineLevel="0" collapsed="false">
      <c r="C2174" s="11"/>
      <c r="D2174" s="11"/>
      <c r="E2174" s="11"/>
      <c r="F2174" s="11"/>
      <c r="G2174" s="11"/>
      <c r="H2174" s="11"/>
      <c r="I2174" s="11"/>
      <c r="J2174" s="11"/>
      <c r="K2174" s="11"/>
      <c r="L2174" s="11"/>
      <c r="M2174" s="11"/>
      <c r="N2174" s="44" t="n">
        <v>17.62</v>
      </c>
      <c r="O2174" s="11"/>
    </row>
    <row r="2175" customFormat="false" ht="14.25" hidden="false" customHeight="true" outlineLevel="0" collapsed="false">
      <c r="C2175" s="11"/>
      <c r="D2175" s="11"/>
      <c r="E2175" s="11"/>
      <c r="F2175" s="11"/>
      <c r="G2175" s="11"/>
      <c r="H2175" s="11"/>
      <c r="I2175" s="11"/>
      <c r="J2175" s="11"/>
      <c r="K2175" s="11"/>
      <c r="L2175" s="11"/>
      <c r="M2175" s="11"/>
      <c r="N2175" s="44" t="n">
        <v>17.5</v>
      </c>
      <c r="O2175" s="11"/>
    </row>
    <row r="2176" customFormat="false" ht="14.25" hidden="false" customHeight="true" outlineLevel="0" collapsed="false">
      <c r="C2176" s="11"/>
      <c r="D2176" s="11"/>
      <c r="E2176" s="11"/>
      <c r="F2176" s="11"/>
      <c r="G2176" s="11"/>
      <c r="H2176" s="11"/>
      <c r="I2176" s="11"/>
      <c r="J2176" s="11"/>
      <c r="K2176" s="11"/>
      <c r="L2176" s="11"/>
      <c r="M2176" s="11"/>
      <c r="N2176" s="44" t="n">
        <v>17.62</v>
      </c>
      <c r="O2176" s="11"/>
    </row>
    <row r="2177" customFormat="false" ht="14.25" hidden="false" customHeight="true" outlineLevel="0" collapsed="false">
      <c r="C2177" s="11"/>
      <c r="D2177" s="11"/>
      <c r="E2177" s="11"/>
      <c r="F2177" s="11"/>
      <c r="G2177" s="11"/>
      <c r="H2177" s="11"/>
      <c r="I2177" s="11"/>
      <c r="J2177" s="11"/>
      <c r="K2177" s="11"/>
      <c r="L2177" s="11"/>
      <c r="M2177" s="11"/>
      <c r="N2177" s="44" t="n">
        <v>17.66</v>
      </c>
      <c r="O2177" s="11"/>
    </row>
    <row r="2178" customFormat="false" ht="14.25" hidden="false" customHeight="true" outlineLevel="0" collapsed="false">
      <c r="C2178" s="11"/>
      <c r="D2178" s="11"/>
      <c r="E2178" s="11"/>
      <c r="F2178" s="11"/>
      <c r="G2178" s="11"/>
      <c r="H2178" s="11"/>
      <c r="I2178" s="11"/>
      <c r="J2178" s="11"/>
      <c r="K2178" s="11"/>
      <c r="L2178" s="11"/>
      <c r="M2178" s="11"/>
      <c r="N2178" s="44" t="n">
        <v>17.76</v>
      </c>
      <c r="O2178" s="11"/>
    </row>
    <row r="2179" customFormat="false" ht="14.25" hidden="false" customHeight="true" outlineLevel="0" collapsed="false">
      <c r="C2179" s="11"/>
      <c r="D2179" s="11"/>
      <c r="E2179" s="11"/>
      <c r="F2179" s="11"/>
      <c r="G2179" s="11"/>
      <c r="H2179" s="11"/>
      <c r="I2179" s="11"/>
      <c r="J2179" s="11"/>
      <c r="K2179" s="11"/>
      <c r="L2179" s="11"/>
      <c r="M2179" s="11"/>
      <c r="N2179" s="44" t="n">
        <v>17.33</v>
      </c>
      <c r="O2179" s="11"/>
    </row>
    <row r="2180" customFormat="false" ht="14.25" hidden="false" customHeight="true" outlineLevel="0" collapsed="false">
      <c r="C2180" s="11"/>
      <c r="D2180" s="11"/>
      <c r="E2180" s="11"/>
      <c r="F2180" s="11"/>
      <c r="G2180" s="11"/>
      <c r="H2180" s="11"/>
      <c r="I2180" s="11"/>
      <c r="J2180" s="11"/>
      <c r="K2180" s="11"/>
      <c r="L2180" s="11"/>
      <c r="M2180" s="11"/>
      <c r="N2180" s="44" t="n">
        <v>17.42</v>
      </c>
      <c r="O2180" s="11"/>
    </row>
    <row r="2181" customFormat="false" ht="14.25" hidden="false" customHeight="true" outlineLevel="0" collapsed="false">
      <c r="C2181" s="11"/>
      <c r="D2181" s="11"/>
      <c r="E2181" s="11"/>
      <c r="F2181" s="11"/>
      <c r="G2181" s="11"/>
      <c r="H2181" s="11"/>
      <c r="I2181" s="11"/>
      <c r="J2181" s="11"/>
      <c r="K2181" s="11"/>
      <c r="L2181" s="11"/>
      <c r="M2181" s="11"/>
      <c r="N2181" s="44" t="n">
        <v>17.21</v>
      </c>
      <c r="O2181" s="11"/>
    </row>
    <row r="2182" customFormat="false" ht="14.25" hidden="false" customHeight="true" outlineLevel="0" collapsed="false">
      <c r="C2182" s="11"/>
      <c r="D2182" s="11"/>
      <c r="E2182" s="11"/>
      <c r="F2182" s="11"/>
      <c r="G2182" s="11"/>
      <c r="H2182" s="11"/>
      <c r="I2182" s="11"/>
      <c r="J2182" s="11"/>
      <c r="K2182" s="11"/>
      <c r="L2182" s="11"/>
      <c r="M2182" s="11"/>
      <c r="N2182" s="44" t="n">
        <v>17.19</v>
      </c>
      <c r="O2182" s="11"/>
    </row>
    <row r="2183" customFormat="false" ht="14.25" hidden="false" customHeight="true" outlineLevel="0" collapsed="false">
      <c r="C2183" s="11"/>
      <c r="D2183" s="11"/>
      <c r="E2183" s="11"/>
      <c r="F2183" s="11"/>
      <c r="G2183" s="11"/>
      <c r="H2183" s="11"/>
      <c r="I2183" s="11"/>
      <c r="J2183" s="11"/>
      <c r="K2183" s="11"/>
      <c r="L2183" s="11"/>
      <c r="M2183" s="11"/>
      <c r="N2183" s="44" t="n">
        <v>17.09</v>
      </c>
      <c r="O2183" s="11"/>
    </row>
    <row r="2184" customFormat="false" ht="14.25" hidden="false" customHeight="true" outlineLevel="0" collapsed="false">
      <c r="C2184" s="11"/>
      <c r="D2184" s="11"/>
      <c r="E2184" s="11"/>
      <c r="F2184" s="11"/>
      <c r="G2184" s="11"/>
      <c r="H2184" s="11"/>
      <c r="I2184" s="11"/>
      <c r="J2184" s="11"/>
      <c r="K2184" s="11"/>
      <c r="L2184" s="11"/>
      <c r="M2184" s="11"/>
      <c r="N2184" s="44" t="n">
        <v>16.84</v>
      </c>
      <c r="O2184" s="11"/>
    </row>
    <row r="2185" customFormat="false" ht="14.25" hidden="false" customHeight="true" outlineLevel="0" collapsed="false">
      <c r="C2185" s="11"/>
      <c r="D2185" s="11"/>
      <c r="E2185" s="11"/>
      <c r="F2185" s="11"/>
      <c r="G2185" s="11"/>
      <c r="H2185" s="11"/>
      <c r="I2185" s="11"/>
      <c r="J2185" s="11"/>
      <c r="K2185" s="11"/>
      <c r="L2185" s="11"/>
      <c r="M2185" s="11"/>
      <c r="N2185" s="44" t="n">
        <v>16.99</v>
      </c>
      <c r="O2185" s="11"/>
    </row>
    <row r="2186" customFormat="false" ht="14.25" hidden="false" customHeight="true" outlineLevel="0" collapsed="false">
      <c r="C2186" s="11"/>
      <c r="D2186" s="11"/>
      <c r="E2186" s="11"/>
      <c r="F2186" s="11"/>
      <c r="G2186" s="11"/>
      <c r="H2186" s="11"/>
      <c r="I2186" s="11"/>
      <c r="J2186" s="11"/>
      <c r="K2186" s="11"/>
      <c r="L2186" s="11"/>
      <c r="M2186" s="11"/>
      <c r="N2186" s="44" t="n">
        <v>17.24</v>
      </c>
      <c r="O2186" s="11"/>
    </row>
    <row r="2187" customFormat="false" ht="14.25" hidden="false" customHeight="true" outlineLevel="0" collapsed="false">
      <c r="C2187" s="11"/>
      <c r="D2187" s="11"/>
      <c r="E2187" s="11"/>
      <c r="F2187" s="11"/>
      <c r="G2187" s="11"/>
      <c r="H2187" s="11"/>
      <c r="I2187" s="11"/>
      <c r="J2187" s="11"/>
      <c r="K2187" s="11"/>
      <c r="L2187" s="11"/>
      <c r="M2187" s="11"/>
      <c r="N2187" s="44" t="n">
        <v>17.24</v>
      </c>
      <c r="O2187" s="11"/>
    </row>
    <row r="2188" customFormat="false" ht="14.25" hidden="false" customHeight="true" outlineLevel="0" collapsed="false">
      <c r="C2188" s="11"/>
      <c r="D2188" s="11"/>
      <c r="E2188" s="11"/>
      <c r="F2188" s="11"/>
      <c r="G2188" s="11"/>
      <c r="H2188" s="11"/>
      <c r="I2188" s="11"/>
      <c r="J2188" s="11"/>
      <c r="K2188" s="11"/>
      <c r="L2188" s="11"/>
      <c r="M2188" s="11"/>
      <c r="N2188" s="44" t="n">
        <v>16.3</v>
      </c>
      <c r="O2188" s="11"/>
    </row>
    <row r="2189" customFormat="false" ht="14.25" hidden="false" customHeight="true" outlineLevel="0" collapsed="false">
      <c r="C2189" s="11"/>
      <c r="D2189" s="11"/>
      <c r="E2189" s="11"/>
      <c r="F2189" s="11"/>
      <c r="G2189" s="11"/>
      <c r="H2189" s="11"/>
      <c r="I2189" s="11"/>
      <c r="J2189" s="11"/>
      <c r="K2189" s="11"/>
      <c r="L2189" s="11"/>
      <c r="M2189" s="11"/>
      <c r="N2189" s="44" t="n">
        <v>16.26</v>
      </c>
      <c r="O2189" s="11"/>
    </row>
    <row r="2190" customFormat="false" ht="14.25" hidden="false" customHeight="true" outlineLevel="0" collapsed="false">
      <c r="C2190" s="11"/>
      <c r="D2190" s="11"/>
      <c r="E2190" s="11"/>
      <c r="F2190" s="11"/>
      <c r="G2190" s="11"/>
      <c r="H2190" s="11"/>
      <c r="I2190" s="11"/>
      <c r="J2190" s="11"/>
      <c r="K2190" s="11"/>
      <c r="L2190" s="11"/>
      <c r="M2190" s="11"/>
      <c r="N2190" s="44" t="n">
        <v>16.54</v>
      </c>
      <c r="O2190" s="11"/>
    </row>
    <row r="2191" customFormat="false" ht="14.25" hidden="false" customHeight="true" outlineLevel="0" collapsed="false">
      <c r="C2191" s="11"/>
      <c r="D2191" s="11"/>
      <c r="E2191" s="11"/>
      <c r="F2191" s="11"/>
      <c r="G2191" s="11"/>
      <c r="H2191" s="11"/>
      <c r="I2191" s="11"/>
      <c r="J2191" s="11"/>
      <c r="K2191" s="11"/>
      <c r="L2191" s="11"/>
      <c r="M2191" s="11"/>
      <c r="N2191" s="44" t="n">
        <v>16.47</v>
      </c>
      <c r="O2191" s="11"/>
    </row>
    <row r="2192" customFormat="false" ht="14.25" hidden="false" customHeight="true" outlineLevel="0" collapsed="false">
      <c r="C2192" s="11"/>
      <c r="D2192" s="11"/>
      <c r="E2192" s="11"/>
      <c r="F2192" s="11"/>
      <c r="G2192" s="11"/>
      <c r="H2192" s="11"/>
      <c r="I2192" s="11"/>
      <c r="J2192" s="11"/>
      <c r="K2192" s="11"/>
      <c r="L2192" s="11"/>
      <c r="M2192" s="11"/>
      <c r="N2192" s="44" t="n">
        <v>16.26</v>
      </c>
      <c r="O2192" s="11"/>
    </row>
    <row r="2193" customFormat="false" ht="14.25" hidden="false" customHeight="true" outlineLevel="0" collapsed="false">
      <c r="C2193" s="11"/>
      <c r="D2193" s="11"/>
      <c r="E2193" s="11"/>
      <c r="F2193" s="11"/>
      <c r="G2193" s="11"/>
      <c r="H2193" s="11"/>
      <c r="I2193" s="11"/>
      <c r="J2193" s="11"/>
      <c r="K2193" s="11"/>
      <c r="L2193" s="11"/>
      <c r="M2193" s="11"/>
      <c r="N2193" s="44" t="n">
        <v>15.8</v>
      </c>
      <c r="O2193" s="11"/>
    </row>
    <row r="2194" customFormat="false" ht="14.25" hidden="false" customHeight="true" outlineLevel="0" collapsed="false">
      <c r="C2194" s="11"/>
      <c r="D2194" s="11"/>
      <c r="E2194" s="11"/>
      <c r="F2194" s="11"/>
      <c r="G2194" s="11"/>
      <c r="H2194" s="11"/>
      <c r="I2194" s="11"/>
      <c r="J2194" s="11"/>
      <c r="K2194" s="11"/>
      <c r="L2194" s="11"/>
      <c r="M2194" s="11"/>
      <c r="N2194" s="44" t="n">
        <v>16.07</v>
      </c>
      <c r="O2194" s="11"/>
    </row>
    <row r="2195" customFormat="false" ht="14.25" hidden="false" customHeight="true" outlineLevel="0" collapsed="false">
      <c r="C2195" s="11"/>
      <c r="D2195" s="11"/>
      <c r="E2195" s="11"/>
      <c r="F2195" s="11"/>
      <c r="G2195" s="11"/>
      <c r="H2195" s="11"/>
      <c r="I2195" s="11"/>
      <c r="J2195" s="11"/>
      <c r="K2195" s="11"/>
      <c r="L2195" s="11"/>
      <c r="M2195" s="11"/>
      <c r="N2195" s="44" t="n">
        <v>16.31</v>
      </c>
      <c r="O2195" s="11"/>
    </row>
    <row r="2196" customFormat="false" ht="14.25" hidden="false" customHeight="true" outlineLevel="0" collapsed="false">
      <c r="C2196" s="11"/>
      <c r="D2196" s="11"/>
      <c r="E2196" s="11"/>
      <c r="F2196" s="11"/>
      <c r="G2196" s="11"/>
      <c r="H2196" s="11"/>
      <c r="I2196" s="11"/>
      <c r="J2196" s="11"/>
      <c r="K2196" s="11"/>
      <c r="L2196" s="11"/>
      <c r="M2196" s="11"/>
      <c r="N2196" s="44" t="n">
        <v>16.52</v>
      </c>
      <c r="O2196" s="11"/>
    </row>
    <row r="2197" customFormat="false" ht="14.25" hidden="false" customHeight="true" outlineLevel="0" collapsed="false">
      <c r="C2197" s="11"/>
      <c r="D2197" s="11"/>
      <c r="E2197" s="11"/>
      <c r="F2197" s="11"/>
      <c r="G2197" s="11"/>
      <c r="H2197" s="11"/>
      <c r="I2197" s="11"/>
      <c r="J2197" s="11"/>
      <c r="K2197" s="11"/>
      <c r="L2197" s="11"/>
      <c r="M2197" s="11"/>
      <c r="N2197" s="44" t="n">
        <v>16.69</v>
      </c>
      <c r="O2197" s="11"/>
    </row>
    <row r="2198" customFormat="false" ht="14.25" hidden="false" customHeight="true" outlineLevel="0" collapsed="false">
      <c r="C2198" s="11"/>
      <c r="D2198" s="11"/>
      <c r="E2198" s="11"/>
      <c r="F2198" s="11"/>
      <c r="G2198" s="11"/>
      <c r="H2198" s="11"/>
      <c r="I2198" s="11"/>
      <c r="J2198" s="11"/>
      <c r="K2198" s="11"/>
      <c r="L2198" s="11"/>
      <c r="M2198" s="11"/>
      <c r="N2198" s="44" t="n">
        <v>16.87</v>
      </c>
      <c r="O2198" s="11"/>
    </row>
    <row r="2199" customFormat="false" ht="14.25" hidden="false" customHeight="true" outlineLevel="0" collapsed="false">
      <c r="C2199" s="11"/>
      <c r="D2199" s="11"/>
      <c r="E2199" s="11"/>
      <c r="F2199" s="11"/>
      <c r="G2199" s="11"/>
      <c r="H2199" s="11"/>
      <c r="I2199" s="11"/>
      <c r="J2199" s="11"/>
      <c r="K2199" s="11"/>
      <c r="L2199" s="11"/>
      <c r="M2199" s="11"/>
      <c r="N2199" s="44" t="n">
        <v>16.96</v>
      </c>
      <c r="O2199" s="11"/>
    </row>
    <row r="2200" customFormat="false" ht="14.25" hidden="false" customHeight="true" outlineLevel="0" collapsed="false">
      <c r="C2200" s="11"/>
      <c r="D2200" s="11"/>
      <c r="E2200" s="11"/>
      <c r="F2200" s="11"/>
      <c r="G2200" s="11"/>
      <c r="H2200" s="11"/>
      <c r="I2200" s="11"/>
      <c r="J2200" s="11"/>
      <c r="K2200" s="11"/>
      <c r="L2200" s="11"/>
      <c r="M2200" s="11"/>
      <c r="N2200" s="44" t="n">
        <v>17.04</v>
      </c>
      <c r="O2200" s="11"/>
    </row>
    <row r="2201" customFormat="false" ht="14.25" hidden="false" customHeight="true" outlineLevel="0" collapsed="false">
      <c r="C2201" s="11"/>
      <c r="D2201" s="11"/>
      <c r="E2201" s="11"/>
      <c r="F2201" s="11"/>
      <c r="G2201" s="11"/>
      <c r="H2201" s="11"/>
      <c r="I2201" s="11"/>
      <c r="J2201" s="11"/>
      <c r="K2201" s="11"/>
      <c r="L2201" s="11"/>
      <c r="M2201" s="11"/>
      <c r="N2201" s="44" t="n">
        <v>17.11</v>
      </c>
      <c r="O2201" s="11"/>
    </row>
    <row r="2202" customFormat="false" ht="14.25" hidden="false" customHeight="true" outlineLevel="0" collapsed="false">
      <c r="C2202" s="11"/>
      <c r="D2202" s="11"/>
      <c r="E2202" s="11"/>
      <c r="F2202" s="11"/>
      <c r="G2202" s="11"/>
      <c r="H2202" s="11"/>
      <c r="I2202" s="11"/>
      <c r="J2202" s="11"/>
      <c r="K2202" s="11"/>
      <c r="L2202" s="11"/>
      <c r="M2202" s="11"/>
      <c r="N2202" s="44" t="n">
        <v>17.43</v>
      </c>
      <c r="O2202" s="11"/>
    </row>
    <row r="2203" customFormat="false" ht="14.25" hidden="false" customHeight="true" outlineLevel="0" collapsed="false">
      <c r="C2203" s="11"/>
      <c r="D2203" s="11"/>
      <c r="E2203" s="11"/>
      <c r="F2203" s="11"/>
      <c r="G2203" s="11"/>
      <c r="H2203" s="11"/>
      <c r="I2203" s="11"/>
      <c r="J2203" s="11"/>
      <c r="K2203" s="11"/>
      <c r="L2203" s="11"/>
      <c r="M2203" s="11"/>
      <c r="N2203" s="44" t="n">
        <v>17.58</v>
      </c>
      <c r="O2203" s="11"/>
    </row>
    <row r="2204" customFormat="false" ht="14.25" hidden="false" customHeight="true" outlineLevel="0" collapsed="false">
      <c r="C2204" s="11"/>
      <c r="D2204" s="11"/>
      <c r="E2204" s="11"/>
      <c r="F2204" s="11"/>
      <c r="G2204" s="11"/>
      <c r="H2204" s="11"/>
      <c r="I2204" s="11"/>
      <c r="J2204" s="11"/>
      <c r="K2204" s="11"/>
      <c r="L2204" s="11"/>
      <c r="M2204" s="11"/>
      <c r="N2204" s="44" t="n">
        <v>17.48</v>
      </c>
      <c r="O2204" s="11"/>
    </row>
    <row r="2205" customFormat="false" ht="14.25" hidden="false" customHeight="true" outlineLevel="0" collapsed="false">
      <c r="C2205" s="11"/>
      <c r="D2205" s="11"/>
      <c r="E2205" s="11"/>
      <c r="F2205" s="11"/>
      <c r="G2205" s="11"/>
      <c r="H2205" s="11"/>
      <c r="I2205" s="11"/>
      <c r="J2205" s="11"/>
      <c r="K2205" s="11"/>
      <c r="L2205" s="11"/>
      <c r="M2205" s="11"/>
      <c r="N2205" s="44" t="n">
        <v>17.57</v>
      </c>
      <c r="O2205" s="11"/>
    </row>
    <row r="2206" customFormat="false" ht="14.25" hidden="false" customHeight="true" outlineLevel="0" collapsed="false">
      <c r="C2206" s="11"/>
      <c r="D2206" s="11"/>
      <c r="E2206" s="11"/>
      <c r="F2206" s="11"/>
      <c r="G2206" s="11"/>
      <c r="H2206" s="11"/>
      <c r="I2206" s="11"/>
      <c r="J2206" s="11"/>
      <c r="K2206" s="11"/>
      <c r="L2206" s="11"/>
      <c r="M2206" s="11"/>
      <c r="N2206" s="44" t="n">
        <v>17.68</v>
      </c>
      <c r="O2206" s="11"/>
    </row>
    <row r="2207" customFormat="false" ht="14.25" hidden="false" customHeight="true" outlineLevel="0" collapsed="false">
      <c r="C2207" s="11"/>
      <c r="D2207" s="11"/>
      <c r="E2207" s="11"/>
      <c r="F2207" s="11"/>
      <c r="G2207" s="11"/>
      <c r="H2207" s="11"/>
      <c r="I2207" s="11"/>
      <c r="J2207" s="11"/>
      <c r="K2207" s="11"/>
      <c r="L2207" s="11"/>
      <c r="M2207" s="11"/>
      <c r="N2207" s="44" t="n">
        <v>17.91</v>
      </c>
      <c r="O2207" s="11"/>
    </row>
    <row r="2208" customFormat="false" ht="14.25" hidden="false" customHeight="true" outlineLevel="0" collapsed="false">
      <c r="C2208" s="11"/>
      <c r="D2208" s="11"/>
      <c r="E2208" s="11"/>
      <c r="F2208" s="11"/>
      <c r="G2208" s="11"/>
      <c r="H2208" s="11"/>
      <c r="I2208" s="11"/>
      <c r="J2208" s="11"/>
      <c r="K2208" s="11"/>
      <c r="L2208" s="11"/>
      <c r="M2208" s="11"/>
      <c r="N2208" s="44" t="n">
        <v>18.14</v>
      </c>
      <c r="O2208" s="11"/>
    </row>
    <row r="2209" customFormat="false" ht="14.25" hidden="false" customHeight="true" outlineLevel="0" collapsed="false">
      <c r="C2209" s="11"/>
      <c r="D2209" s="11"/>
      <c r="E2209" s="11"/>
      <c r="F2209" s="11"/>
      <c r="G2209" s="11"/>
      <c r="H2209" s="11"/>
      <c r="I2209" s="11"/>
      <c r="J2209" s="11"/>
      <c r="K2209" s="11"/>
      <c r="L2209" s="11"/>
      <c r="M2209" s="11"/>
      <c r="N2209" s="44" t="n">
        <v>17.79</v>
      </c>
      <c r="O2209" s="11"/>
    </row>
    <row r="2210" customFormat="false" ht="14.25" hidden="false" customHeight="true" outlineLevel="0" collapsed="false">
      <c r="C2210" s="11"/>
      <c r="D2210" s="11"/>
      <c r="E2210" s="11"/>
      <c r="F2210" s="11"/>
      <c r="G2210" s="11"/>
      <c r="H2210" s="11"/>
      <c r="I2210" s="11"/>
      <c r="J2210" s="11"/>
      <c r="K2210" s="11"/>
      <c r="L2210" s="11"/>
      <c r="M2210" s="11"/>
      <c r="N2210" s="44" t="n">
        <v>17.38</v>
      </c>
      <c r="O2210" s="11"/>
    </row>
    <row r="2211" customFormat="false" ht="14.25" hidden="false" customHeight="true" outlineLevel="0" collapsed="false">
      <c r="C2211" s="11"/>
      <c r="D2211" s="11"/>
      <c r="E2211" s="11"/>
      <c r="F2211" s="11"/>
      <c r="G2211" s="11"/>
      <c r="H2211" s="11"/>
      <c r="I2211" s="11"/>
      <c r="J2211" s="11"/>
      <c r="K2211" s="11"/>
      <c r="L2211" s="11"/>
      <c r="M2211" s="11"/>
      <c r="N2211" s="44" t="n">
        <v>17.58</v>
      </c>
      <c r="O2211" s="11"/>
    </row>
    <row r="2212" customFormat="false" ht="14.25" hidden="false" customHeight="true" outlineLevel="0" collapsed="false">
      <c r="C2212" s="11"/>
      <c r="D2212" s="11"/>
      <c r="E2212" s="11"/>
      <c r="F2212" s="11"/>
      <c r="G2212" s="11"/>
      <c r="H2212" s="11"/>
      <c r="I2212" s="11"/>
      <c r="J2212" s="11"/>
      <c r="K2212" s="11"/>
      <c r="L2212" s="11"/>
      <c r="M2212" s="11"/>
      <c r="N2212" s="44" t="n">
        <v>17.57</v>
      </c>
      <c r="O2212" s="11"/>
    </row>
    <row r="2213" customFormat="false" ht="14.25" hidden="false" customHeight="true" outlineLevel="0" collapsed="false">
      <c r="C2213" s="11"/>
      <c r="D2213" s="11"/>
      <c r="E2213" s="11"/>
      <c r="F2213" s="11"/>
      <c r="G2213" s="11"/>
      <c r="H2213" s="11"/>
      <c r="I2213" s="11"/>
      <c r="J2213" s="11"/>
      <c r="K2213" s="11"/>
      <c r="L2213" s="11"/>
      <c r="M2213" s="11"/>
      <c r="N2213" s="44" t="n">
        <v>17.38</v>
      </c>
      <c r="O2213" s="11"/>
    </row>
    <row r="2214" customFormat="false" ht="14.25" hidden="false" customHeight="true" outlineLevel="0" collapsed="false">
      <c r="C2214" s="11"/>
      <c r="D2214" s="11"/>
      <c r="E2214" s="11"/>
      <c r="F2214" s="11"/>
      <c r="G2214" s="11"/>
      <c r="H2214" s="11"/>
      <c r="I2214" s="11"/>
      <c r="J2214" s="11"/>
      <c r="K2214" s="11"/>
      <c r="L2214" s="11"/>
      <c r="M2214" s="11"/>
      <c r="N2214" s="44" t="n">
        <v>17.12</v>
      </c>
      <c r="O2214" s="11"/>
    </row>
    <row r="2215" customFormat="false" ht="14.25" hidden="false" customHeight="true" outlineLevel="0" collapsed="false">
      <c r="C2215" s="11"/>
      <c r="D2215" s="11"/>
      <c r="E2215" s="11"/>
      <c r="F2215" s="11"/>
      <c r="G2215" s="11"/>
      <c r="H2215" s="11"/>
      <c r="I2215" s="11"/>
      <c r="J2215" s="11"/>
      <c r="K2215" s="11"/>
      <c r="L2215" s="11"/>
      <c r="M2215" s="11"/>
      <c r="N2215" s="44" t="n">
        <v>17.39</v>
      </c>
      <c r="O2215" s="11"/>
    </row>
    <row r="2216" customFormat="false" ht="14.25" hidden="false" customHeight="true" outlineLevel="0" collapsed="false">
      <c r="C2216" s="11"/>
      <c r="D2216" s="11"/>
      <c r="E2216" s="11"/>
      <c r="F2216" s="11"/>
      <c r="G2216" s="11"/>
      <c r="H2216" s="11"/>
      <c r="I2216" s="11"/>
      <c r="J2216" s="11"/>
      <c r="K2216" s="11"/>
      <c r="L2216" s="11"/>
      <c r="M2216" s="11"/>
      <c r="N2216" s="44" t="n">
        <v>17.74</v>
      </c>
      <c r="O2216" s="11"/>
    </row>
    <row r="2217" customFormat="false" ht="14.25" hidden="false" customHeight="true" outlineLevel="0" collapsed="false">
      <c r="C2217" s="11"/>
      <c r="D2217" s="11"/>
      <c r="E2217" s="11"/>
      <c r="F2217" s="11"/>
      <c r="G2217" s="11"/>
      <c r="H2217" s="11"/>
      <c r="I2217" s="11"/>
      <c r="J2217" s="11"/>
      <c r="K2217" s="11"/>
      <c r="L2217" s="11"/>
      <c r="M2217" s="11"/>
      <c r="N2217" s="44" t="n">
        <v>17.29</v>
      </c>
      <c r="O2217" s="11"/>
    </row>
    <row r="2218" customFormat="false" ht="14.25" hidden="false" customHeight="true" outlineLevel="0" collapsed="false">
      <c r="C2218" s="11"/>
      <c r="D2218" s="11"/>
      <c r="E2218" s="11"/>
      <c r="F2218" s="11"/>
      <c r="G2218" s="11"/>
      <c r="H2218" s="11"/>
      <c r="I2218" s="11"/>
      <c r="J2218" s="11"/>
      <c r="K2218" s="11"/>
      <c r="L2218" s="11"/>
      <c r="M2218" s="11"/>
      <c r="N2218" s="44" t="n">
        <v>17.04</v>
      </c>
      <c r="O2218" s="11"/>
    </row>
    <row r="2219" customFormat="false" ht="14.25" hidden="false" customHeight="true" outlineLevel="0" collapsed="false">
      <c r="C2219" s="11"/>
      <c r="D2219" s="11"/>
      <c r="E2219" s="11"/>
      <c r="F2219" s="11"/>
      <c r="G2219" s="11"/>
      <c r="H2219" s="11"/>
      <c r="I2219" s="11"/>
      <c r="J2219" s="11"/>
      <c r="K2219" s="11"/>
      <c r="L2219" s="11"/>
      <c r="M2219" s="11"/>
      <c r="N2219" s="44" t="n">
        <v>17.14</v>
      </c>
      <c r="O2219" s="11"/>
    </row>
    <row r="2220" customFormat="false" ht="14.25" hidden="false" customHeight="true" outlineLevel="0" collapsed="false">
      <c r="C2220" s="11"/>
      <c r="D2220" s="11"/>
      <c r="E2220" s="11"/>
      <c r="F2220" s="11"/>
      <c r="G2220" s="11"/>
      <c r="H2220" s="11"/>
      <c r="I2220" s="11"/>
      <c r="J2220" s="11"/>
      <c r="K2220" s="11"/>
      <c r="L2220" s="11"/>
      <c r="M2220" s="11"/>
      <c r="N2220" s="44" t="n">
        <v>16.92</v>
      </c>
      <c r="O2220" s="11"/>
    </row>
    <row r="2221" customFormat="false" ht="14.25" hidden="false" customHeight="true" outlineLevel="0" collapsed="false">
      <c r="C2221" s="11"/>
      <c r="D2221" s="11"/>
      <c r="E2221" s="11"/>
      <c r="F2221" s="11"/>
      <c r="G2221" s="11"/>
      <c r="H2221" s="11"/>
      <c r="I2221" s="11"/>
      <c r="J2221" s="11"/>
      <c r="K2221" s="11"/>
      <c r="L2221" s="11"/>
      <c r="M2221" s="11"/>
      <c r="N2221" s="44" t="n">
        <v>16.77</v>
      </c>
      <c r="O2221" s="11"/>
    </row>
    <row r="2222" customFormat="false" ht="14.25" hidden="false" customHeight="true" outlineLevel="0" collapsed="false">
      <c r="C2222" s="11"/>
      <c r="D2222" s="11"/>
      <c r="E2222" s="11"/>
      <c r="F2222" s="11"/>
      <c r="G2222" s="11"/>
      <c r="H2222" s="11"/>
      <c r="I2222" s="11"/>
      <c r="J2222" s="11"/>
      <c r="K2222" s="11"/>
      <c r="L2222" s="11"/>
      <c r="M2222" s="11"/>
      <c r="N2222" s="44" t="n">
        <v>16.74</v>
      </c>
      <c r="O2222" s="11"/>
    </row>
    <row r="2223" customFormat="false" ht="14.25" hidden="false" customHeight="true" outlineLevel="0" collapsed="false">
      <c r="C2223" s="11"/>
      <c r="D2223" s="11"/>
      <c r="E2223" s="11"/>
      <c r="F2223" s="11"/>
      <c r="G2223" s="11"/>
      <c r="H2223" s="11"/>
      <c r="I2223" s="11"/>
      <c r="J2223" s="11"/>
      <c r="K2223" s="11"/>
      <c r="L2223" s="11"/>
      <c r="M2223" s="11"/>
      <c r="N2223" s="44" t="n">
        <v>16.54</v>
      </c>
      <c r="O2223" s="11"/>
    </row>
    <row r="2224" customFormat="false" ht="14.25" hidden="false" customHeight="true" outlineLevel="0" collapsed="false">
      <c r="C2224" s="11"/>
      <c r="D2224" s="11"/>
      <c r="E2224" s="11"/>
      <c r="F2224" s="11"/>
      <c r="G2224" s="11"/>
      <c r="H2224" s="11"/>
      <c r="I2224" s="11"/>
      <c r="J2224" s="11"/>
      <c r="K2224" s="11"/>
      <c r="L2224" s="11"/>
      <c r="M2224" s="11"/>
      <c r="N2224" s="44" t="n">
        <v>17.02</v>
      </c>
      <c r="O2224" s="11"/>
    </row>
    <row r="2225" customFormat="false" ht="14.25" hidden="false" customHeight="true" outlineLevel="0" collapsed="false">
      <c r="C2225" s="11"/>
      <c r="D2225" s="11"/>
      <c r="E2225" s="11"/>
      <c r="F2225" s="11"/>
      <c r="G2225" s="11"/>
      <c r="H2225" s="11"/>
      <c r="I2225" s="11"/>
      <c r="J2225" s="11"/>
      <c r="K2225" s="11"/>
      <c r="L2225" s="11"/>
      <c r="M2225" s="11"/>
      <c r="N2225" s="44" t="n">
        <v>16.78</v>
      </c>
      <c r="O2225" s="11"/>
    </row>
    <row r="2226" customFormat="false" ht="14.25" hidden="false" customHeight="true" outlineLevel="0" collapsed="false">
      <c r="C2226" s="11"/>
      <c r="D2226" s="11"/>
      <c r="E2226" s="11"/>
      <c r="F2226" s="11"/>
      <c r="G2226" s="11"/>
      <c r="H2226" s="11"/>
      <c r="I2226" s="11"/>
      <c r="J2226" s="11"/>
      <c r="K2226" s="11"/>
      <c r="L2226" s="11"/>
      <c r="M2226" s="11"/>
      <c r="N2226" s="44" t="n">
        <v>16.56</v>
      </c>
      <c r="O2226" s="11"/>
    </row>
    <row r="2227" customFormat="false" ht="14.25" hidden="false" customHeight="true" outlineLevel="0" collapsed="false">
      <c r="C2227" s="11"/>
      <c r="D2227" s="11"/>
      <c r="E2227" s="11"/>
      <c r="F2227" s="11"/>
      <c r="G2227" s="11"/>
      <c r="H2227" s="11"/>
      <c r="I2227" s="11"/>
      <c r="J2227" s="11"/>
      <c r="K2227" s="11"/>
      <c r="L2227" s="11"/>
      <c r="M2227" s="11"/>
      <c r="N2227" s="44" t="n">
        <v>16.89</v>
      </c>
      <c r="O2227" s="11"/>
    </row>
    <row r="2228" customFormat="false" ht="14.25" hidden="false" customHeight="true" outlineLevel="0" collapsed="false">
      <c r="C2228" s="11"/>
      <c r="D2228" s="11"/>
      <c r="E2228" s="11"/>
      <c r="F2228" s="11"/>
      <c r="G2228" s="11"/>
      <c r="H2228" s="11"/>
      <c r="I2228" s="11"/>
      <c r="J2228" s="11"/>
      <c r="K2228" s="11"/>
      <c r="L2228" s="11"/>
      <c r="M2228" s="11"/>
      <c r="N2228" s="44" t="n">
        <v>17.03</v>
      </c>
      <c r="O2228" s="11"/>
    </row>
    <row r="2229" customFormat="false" ht="14.25" hidden="false" customHeight="true" outlineLevel="0" collapsed="false">
      <c r="C2229" s="11"/>
      <c r="D2229" s="11"/>
      <c r="E2229" s="11"/>
      <c r="F2229" s="11"/>
      <c r="G2229" s="11"/>
      <c r="H2229" s="11"/>
      <c r="I2229" s="11"/>
      <c r="J2229" s="11"/>
      <c r="K2229" s="11"/>
      <c r="L2229" s="11"/>
      <c r="M2229" s="11"/>
      <c r="N2229" s="44" t="n">
        <v>17.02</v>
      </c>
      <c r="O2229" s="11"/>
    </row>
    <row r="2230" customFormat="false" ht="14.25" hidden="false" customHeight="true" outlineLevel="0" collapsed="false">
      <c r="C2230" s="11"/>
      <c r="D2230" s="11"/>
      <c r="E2230" s="11"/>
      <c r="F2230" s="11"/>
      <c r="G2230" s="11"/>
      <c r="H2230" s="11"/>
      <c r="I2230" s="11"/>
      <c r="J2230" s="11"/>
      <c r="K2230" s="11"/>
      <c r="L2230" s="11"/>
      <c r="M2230" s="11"/>
      <c r="N2230" s="44" t="n">
        <v>16.86</v>
      </c>
      <c r="O2230" s="11"/>
    </row>
    <row r="2231" customFormat="false" ht="14.25" hidden="false" customHeight="true" outlineLevel="0" collapsed="false">
      <c r="C2231" s="11"/>
      <c r="D2231" s="11"/>
      <c r="E2231" s="11"/>
      <c r="F2231" s="11"/>
      <c r="G2231" s="11"/>
      <c r="H2231" s="11"/>
      <c r="I2231" s="11"/>
      <c r="J2231" s="11"/>
      <c r="K2231" s="11"/>
      <c r="L2231" s="11"/>
      <c r="M2231" s="11"/>
      <c r="N2231" s="44" t="n">
        <v>16.88</v>
      </c>
      <c r="O2231" s="11"/>
    </row>
    <row r="2232" customFormat="false" ht="14.25" hidden="false" customHeight="true" outlineLevel="0" collapsed="false">
      <c r="C2232" s="11"/>
      <c r="D2232" s="11"/>
      <c r="E2232" s="11"/>
      <c r="F2232" s="11"/>
      <c r="G2232" s="11"/>
      <c r="H2232" s="11"/>
      <c r="I2232" s="11"/>
      <c r="J2232" s="11"/>
      <c r="K2232" s="11"/>
      <c r="L2232" s="11"/>
      <c r="M2232" s="11"/>
      <c r="N2232" s="44" t="n">
        <v>16.83</v>
      </c>
      <c r="O2232" s="11"/>
    </row>
    <row r="2233" customFormat="false" ht="14.25" hidden="false" customHeight="true" outlineLevel="0" collapsed="false">
      <c r="C2233" s="11"/>
      <c r="D2233" s="11"/>
      <c r="E2233" s="11"/>
      <c r="F2233" s="11"/>
      <c r="G2233" s="11"/>
      <c r="H2233" s="11"/>
      <c r="I2233" s="11"/>
      <c r="J2233" s="11"/>
      <c r="K2233" s="11"/>
      <c r="L2233" s="11"/>
      <c r="M2233" s="11"/>
      <c r="N2233" s="44" t="n">
        <v>16.63</v>
      </c>
      <c r="O2233" s="11"/>
    </row>
    <row r="2234" customFormat="false" ht="14.25" hidden="false" customHeight="true" outlineLevel="0" collapsed="false">
      <c r="C2234" s="11"/>
      <c r="D2234" s="11"/>
      <c r="E2234" s="11"/>
      <c r="F2234" s="11"/>
      <c r="G2234" s="11"/>
      <c r="H2234" s="11"/>
      <c r="I2234" s="11"/>
      <c r="J2234" s="11"/>
      <c r="K2234" s="11"/>
      <c r="L2234" s="11"/>
      <c r="M2234" s="11"/>
      <c r="N2234" s="44" t="n">
        <v>16.66</v>
      </c>
      <c r="O2234" s="11"/>
    </row>
    <row r="2235" customFormat="false" ht="14.25" hidden="false" customHeight="true" outlineLevel="0" collapsed="false">
      <c r="C2235" s="11"/>
      <c r="D2235" s="11"/>
      <c r="E2235" s="11"/>
      <c r="F2235" s="11"/>
      <c r="G2235" s="11"/>
      <c r="H2235" s="11"/>
      <c r="I2235" s="11"/>
      <c r="J2235" s="11"/>
      <c r="K2235" s="11"/>
      <c r="L2235" s="11"/>
      <c r="M2235" s="11"/>
      <c r="N2235" s="44" t="n">
        <v>16.79</v>
      </c>
      <c r="O2235" s="11"/>
    </row>
    <row r="2236" customFormat="false" ht="14.25" hidden="false" customHeight="true" outlineLevel="0" collapsed="false">
      <c r="C2236" s="11"/>
      <c r="D2236" s="11"/>
      <c r="E2236" s="11"/>
      <c r="F2236" s="11"/>
      <c r="G2236" s="11"/>
      <c r="H2236" s="11"/>
      <c r="I2236" s="11"/>
      <c r="J2236" s="11"/>
      <c r="K2236" s="11"/>
      <c r="L2236" s="11"/>
      <c r="M2236" s="11"/>
      <c r="N2236" s="44" t="n">
        <v>16.87</v>
      </c>
      <c r="O2236" s="11"/>
    </row>
    <row r="2237" customFormat="false" ht="14.25" hidden="false" customHeight="true" outlineLevel="0" collapsed="false">
      <c r="C2237" s="11"/>
      <c r="D2237" s="11"/>
      <c r="E2237" s="11"/>
      <c r="F2237" s="11"/>
      <c r="G2237" s="11"/>
      <c r="H2237" s="11"/>
      <c r="I2237" s="11"/>
      <c r="J2237" s="11"/>
      <c r="K2237" s="11"/>
      <c r="L2237" s="11"/>
      <c r="M2237" s="11"/>
      <c r="N2237" s="44" t="n">
        <v>16.65</v>
      </c>
      <c r="O2237" s="11"/>
    </row>
    <row r="2238" customFormat="false" ht="14.25" hidden="false" customHeight="true" outlineLevel="0" collapsed="false">
      <c r="C2238" s="11"/>
      <c r="D2238" s="11"/>
      <c r="E2238" s="11"/>
      <c r="F2238" s="11"/>
      <c r="G2238" s="11"/>
      <c r="H2238" s="11"/>
      <c r="I2238" s="11"/>
      <c r="J2238" s="11"/>
      <c r="K2238" s="11"/>
      <c r="L2238" s="11"/>
      <c r="M2238" s="11"/>
      <c r="N2238" s="44" t="n">
        <v>16.91</v>
      </c>
      <c r="O2238" s="11"/>
    </row>
    <row r="2239" customFormat="false" ht="14.25" hidden="false" customHeight="true" outlineLevel="0" collapsed="false">
      <c r="C2239" s="11"/>
      <c r="D2239" s="11"/>
      <c r="E2239" s="11"/>
      <c r="F2239" s="11"/>
      <c r="G2239" s="11"/>
      <c r="H2239" s="11"/>
      <c r="I2239" s="11"/>
      <c r="J2239" s="11"/>
      <c r="K2239" s="11"/>
      <c r="L2239" s="11"/>
      <c r="M2239" s="11"/>
      <c r="N2239" s="44" t="n">
        <v>16.9</v>
      </c>
      <c r="O2239" s="11"/>
    </row>
    <row r="2240" customFormat="false" ht="14.25" hidden="false" customHeight="true" outlineLevel="0" collapsed="false">
      <c r="C2240" s="11"/>
      <c r="D2240" s="11"/>
      <c r="E2240" s="11"/>
      <c r="F2240" s="11"/>
      <c r="G2240" s="11"/>
      <c r="H2240" s="11"/>
      <c r="I2240" s="11"/>
      <c r="J2240" s="11"/>
      <c r="K2240" s="11"/>
      <c r="L2240" s="11"/>
      <c r="M2240" s="11"/>
      <c r="N2240" s="44" t="n">
        <v>16.89</v>
      </c>
      <c r="O2240" s="11"/>
    </row>
    <row r="2241" customFormat="false" ht="14.25" hidden="false" customHeight="true" outlineLevel="0" collapsed="false">
      <c r="C2241" s="11"/>
      <c r="D2241" s="11"/>
      <c r="E2241" s="11"/>
      <c r="F2241" s="11"/>
      <c r="G2241" s="11"/>
      <c r="H2241" s="11"/>
      <c r="I2241" s="11"/>
      <c r="J2241" s="11"/>
      <c r="K2241" s="11"/>
      <c r="L2241" s="11"/>
      <c r="M2241" s="11"/>
      <c r="N2241" s="44" t="n">
        <v>16.92</v>
      </c>
      <c r="O2241" s="11"/>
    </row>
    <row r="2242" customFormat="false" ht="14.25" hidden="false" customHeight="true" outlineLevel="0" collapsed="false">
      <c r="C2242" s="11"/>
      <c r="D2242" s="11"/>
      <c r="E2242" s="11"/>
      <c r="F2242" s="11"/>
      <c r="G2242" s="11"/>
      <c r="H2242" s="11"/>
      <c r="I2242" s="11"/>
      <c r="J2242" s="11"/>
      <c r="K2242" s="11"/>
      <c r="L2242" s="11"/>
      <c r="M2242" s="11"/>
      <c r="N2242" s="44" t="n">
        <v>17.2</v>
      </c>
      <c r="O2242" s="11"/>
    </row>
    <row r="2243" customFormat="false" ht="14.25" hidden="false" customHeight="true" outlineLevel="0" collapsed="false">
      <c r="C2243" s="11"/>
      <c r="D2243" s="11"/>
      <c r="E2243" s="11"/>
      <c r="F2243" s="11"/>
      <c r="G2243" s="11"/>
      <c r="H2243" s="11"/>
      <c r="I2243" s="11"/>
      <c r="J2243" s="11"/>
      <c r="K2243" s="11"/>
      <c r="L2243" s="11"/>
      <c r="M2243" s="11"/>
      <c r="N2243" s="44" t="n">
        <v>17.17</v>
      </c>
      <c r="O2243" s="11"/>
    </row>
    <row r="2244" customFormat="false" ht="14.25" hidden="false" customHeight="true" outlineLevel="0" collapsed="false">
      <c r="C2244" s="11"/>
      <c r="D2244" s="11"/>
      <c r="E2244" s="11"/>
      <c r="F2244" s="11"/>
      <c r="G2244" s="11"/>
      <c r="H2244" s="11"/>
      <c r="I2244" s="11"/>
      <c r="J2244" s="11"/>
      <c r="K2244" s="11"/>
      <c r="L2244" s="11"/>
      <c r="M2244" s="11"/>
      <c r="N2244" s="44" t="n">
        <v>17.28</v>
      </c>
      <c r="O2244" s="11"/>
    </row>
    <row r="2245" customFormat="false" ht="14.25" hidden="false" customHeight="true" outlineLevel="0" collapsed="false">
      <c r="C2245" s="11"/>
      <c r="D2245" s="11"/>
      <c r="E2245" s="11"/>
      <c r="F2245" s="11"/>
      <c r="G2245" s="11"/>
      <c r="H2245" s="11"/>
      <c r="I2245" s="11"/>
      <c r="J2245" s="11"/>
      <c r="K2245" s="11"/>
      <c r="L2245" s="11"/>
      <c r="M2245" s="11"/>
      <c r="N2245" s="44" t="n">
        <v>18.06</v>
      </c>
      <c r="O2245" s="11"/>
    </row>
    <row r="2246" customFormat="false" ht="14.25" hidden="false" customHeight="true" outlineLevel="0" collapsed="false">
      <c r="C2246" s="11"/>
      <c r="D2246" s="11"/>
      <c r="E2246" s="11"/>
      <c r="F2246" s="11"/>
      <c r="G2246" s="11"/>
      <c r="H2246" s="11"/>
      <c r="I2246" s="11"/>
      <c r="J2246" s="11"/>
      <c r="K2246" s="11"/>
      <c r="L2246" s="11"/>
      <c r="M2246" s="11"/>
      <c r="N2246" s="44" t="n">
        <v>18.25</v>
      </c>
      <c r="O2246" s="11"/>
    </row>
    <row r="2247" customFormat="false" ht="14.25" hidden="false" customHeight="true" outlineLevel="0" collapsed="false">
      <c r="C2247" s="11"/>
      <c r="D2247" s="11"/>
      <c r="E2247" s="11"/>
      <c r="F2247" s="11"/>
      <c r="G2247" s="11"/>
      <c r="H2247" s="11"/>
      <c r="I2247" s="11"/>
      <c r="J2247" s="11"/>
      <c r="K2247" s="11"/>
      <c r="L2247" s="11"/>
      <c r="M2247" s="11"/>
      <c r="N2247" s="44" t="n">
        <v>18.53</v>
      </c>
      <c r="O2247" s="11"/>
    </row>
    <row r="2248" customFormat="false" ht="14.25" hidden="false" customHeight="true" outlineLevel="0" collapsed="false">
      <c r="C2248" s="11"/>
      <c r="D2248" s="11"/>
      <c r="E2248" s="11"/>
      <c r="F2248" s="11"/>
      <c r="G2248" s="11"/>
      <c r="H2248" s="11"/>
      <c r="I2248" s="11"/>
      <c r="J2248" s="11"/>
      <c r="K2248" s="11"/>
      <c r="L2248" s="11"/>
      <c r="M2248" s="11"/>
      <c r="N2248" s="44" t="n">
        <v>19.03</v>
      </c>
      <c r="O2248" s="11"/>
    </row>
    <row r="2249" customFormat="false" ht="14.25" hidden="false" customHeight="true" outlineLevel="0" collapsed="false">
      <c r="C2249" s="11"/>
      <c r="D2249" s="11"/>
      <c r="E2249" s="11"/>
      <c r="F2249" s="11"/>
      <c r="G2249" s="11"/>
      <c r="H2249" s="11"/>
      <c r="I2249" s="11"/>
      <c r="J2249" s="11"/>
      <c r="K2249" s="11"/>
      <c r="L2249" s="11"/>
      <c r="M2249" s="11"/>
      <c r="N2249" s="44" t="n">
        <v>18.76</v>
      </c>
      <c r="O2249" s="11"/>
    </row>
    <row r="2250" customFormat="false" ht="14.25" hidden="false" customHeight="true" outlineLevel="0" collapsed="false">
      <c r="C2250" s="11"/>
      <c r="D2250" s="11"/>
      <c r="E2250" s="11"/>
      <c r="F2250" s="11"/>
      <c r="G2250" s="11"/>
      <c r="H2250" s="11"/>
      <c r="I2250" s="11"/>
      <c r="J2250" s="11"/>
      <c r="K2250" s="11"/>
      <c r="L2250" s="11"/>
      <c r="M2250" s="11"/>
      <c r="N2250" s="44" t="n">
        <v>18.3</v>
      </c>
      <c r="O2250" s="11"/>
    </row>
    <row r="2251" customFormat="false" ht="14.25" hidden="false" customHeight="true" outlineLevel="0" collapsed="false">
      <c r="C2251" s="11"/>
      <c r="D2251" s="11"/>
      <c r="E2251" s="11"/>
      <c r="F2251" s="11"/>
      <c r="G2251" s="11"/>
      <c r="H2251" s="11"/>
      <c r="I2251" s="11"/>
      <c r="J2251" s="11"/>
      <c r="K2251" s="11"/>
      <c r="L2251" s="11"/>
      <c r="M2251" s="11"/>
      <c r="N2251" s="44" t="n">
        <v>18.13</v>
      </c>
      <c r="O2251" s="11"/>
    </row>
    <row r="2252" customFormat="false" ht="14.25" hidden="false" customHeight="true" outlineLevel="0" collapsed="false">
      <c r="C2252" s="11"/>
      <c r="D2252" s="11"/>
      <c r="E2252" s="11"/>
      <c r="F2252" s="11"/>
      <c r="G2252" s="11"/>
      <c r="H2252" s="11"/>
      <c r="I2252" s="11"/>
      <c r="J2252" s="11"/>
      <c r="K2252" s="11"/>
      <c r="L2252" s="11"/>
      <c r="M2252" s="11"/>
      <c r="N2252" s="44" t="n">
        <v>18.39</v>
      </c>
      <c r="O2252" s="11"/>
    </row>
    <row r="2253" customFormat="false" ht="14.25" hidden="false" customHeight="true" outlineLevel="0" collapsed="false">
      <c r="C2253" s="11"/>
      <c r="D2253" s="11"/>
      <c r="E2253" s="11"/>
      <c r="F2253" s="11"/>
      <c r="G2253" s="11"/>
      <c r="H2253" s="11"/>
      <c r="I2253" s="11"/>
      <c r="J2253" s="11"/>
      <c r="K2253" s="11"/>
      <c r="L2253" s="11"/>
      <c r="M2253" s="11"/>
      <c r="N2253" s="44" t="n">
        <v>17.11</v>
      </c>
      <c r="O2253" s="11"/>
    </row>
    <row r="2254" customFormat="false" ht="14.25" hidden="false" customHeight="true" outlineLevel="0" collapsed="false">
      <c r="C2254" s="11"/>
      <c r="D2254" s="11"/>
      <c r="E2254" s="11"/>
      <c r="F2254" s="11"/>
      <c r="G2254" s="11"/>
      <c r="H2254" s="11"/>
      <c r="I2254" s="11"/>
      <c r="J2254" s="11"/>
      <c r="K2254" s="11"/>
      <c r="L2254" s="11"/>
      <c r="M2254" s="11"/>
      <c r="N2254" s="44" t="n">
        <v>17.17</v>
      </c>
      <c r="O2254" s="11"/>
    </row>
    <row r="2255" customFormat="false" ht="14.25" hidden="false" customHeight="true" outlineLevel="0" collapsed="false">
      <c r="C2255" s="11"/>
      <c r="D2255" s="11"/>
      <c r="E2255" s="11"/>
      <c r="F2255" s="11"/>
      <c r="G2255" s="11"/>
      <c r="H2255" s="11"/>
      <c r="I2255" s="11"/>
      <c r="J2255" s="11"/>
      <c r="K2255" s="11"/>
      <c r="L2255" s="11"/>
      <c r="M2255" s="11"/>
      <c r="N2255" s="44" t="n">
        <v>17.32</v>
      </c>
      <c r="O2255" s="11"/>
    </row>
    <row r="2256" customFormat="false" ht="14.25" hidden="false" customHeight="true" outlineLevel="0" collapsed="false">
      <c r="C2256" s="11"/>
      <c r="D2256" s="11"/>
      <c r="E2256" s="11"/>
      <c r="F2256" s="11"/>
      <c r="G2256" s="11"/>
      <c r="H2256" s="11"/>
      <c r="I2256" s="11"/>
      <c r="J2256" s="11"/>
      <c r="K2256" s="11"/>
      <c r="L2256" s="11"/>
      <c r="M2256" s="11"/>
      <c r="N2256" s="44" t="n">
        <v>17.82</v>
      </c>
      <c r="O2256" s="11"/>
    </row>
    <row r="2257" customFormat="false" ht="14.25" hidden="false" customHeight="true" outlineLevel="0" collapsed="false">
      <c r="C2257" s="11"/>
      <c r="D2257" s="11"/>
      <c r="E2257" s="11"/>
      <c r="F2257" s="11"/>
      <c r="G2257" s="11"/>
      <c r="H2257" s="11"/>
      <c r="I2257" s="11"/>
      <c r="J2257" s="11"/>
      <c r="K2257" s="11"/>
      <c r="L2257" s="11"/>
      <c r="M2257" s="11"/>
      <c r="N2257" s="44" t="n">
        <v>17.43</v>
      </c>
      <c r="O2257" s="11"/>
    </row>
    <row r="2258" customFormat="false" ht="14.25" hidden="false" customHeight="true" outlineLevel="0" collapsed="false">
      <c r="C2258" s="11"/>
      <c r="D2258" s="11"/>
      <c r="E2258" s="11"/>
      <c r="F2258" s="11"/>
      <c r="G2258" s="11"/>
      <c r="H2258" s="11"/>
      <c r="I2258" s="11"/>
      <c r="J2258" s="11"/>
      <c r="K2258" s="11"/>
      <c r="L2258" s="11"/>
      <c r="M2258" s="11"/>
      <c r="N2258" s="44" t="n">
        <v>17.63</v>
      </c>
      <c r="O2258" s="11"/>
    </row>
    <row r="2259" customFormat="false" ht="14.25" hidden="false" customHeight="true" outlineLevel="0" collapsed="false">
      <c r="C2259" s="11"/>
      <c r="D2259" s="11"/>
      <c r="E2259" s="11"/>
      <c r="F2259" s="11"/>
      <c r="G2259" s="11"/>
      <c r="H2259" s="11"/>
      <c r="I2259" s="11"/>
      <c r="J2259" s="11"/>
      <c r="K2259" s="11"/>
      <c r="L2259" s="11"/>
      <c r="M2259" s="11"/>
      <c r="N2259" s="44" t="n">
        <v>17.75</v>
      </c>
      <c r="O2259" s="11"/>
    </row>
    <row r="2260" customFormat="false" ht="14.25" hidden="false" customHeight="true" outlineLevel="0" collapsed="false">
      <c r="C2260" s="11"/>
      <c r="D2260" s="11"/>
      <c r="E2260" s="11"/>
      <c r="F2260" s="11"/>
      <c r="G2260" s="11"/>
      <c r="H2260" s="11"/>
      <c r="I2260" s="11"/>
      <c r="J2260" s="11"/>
      <c r="K2260" s="11"/>
      <c r="L2260" s="11"/>
      <c r="M2260" s="11"/>
      <c r="N2260" s="44" t="n">
        <v>17.55</v>
      </c>
      <c r="O2260" s="11"/>
    </row>
    <row r="2261" customFormat="false" ht="14.25" hidden="false" customHeight="true" outlineLevel="0" collapsed="false">
      <c r="C2261" s="11"/>
      <c r="D2261" s="11"/>
      <c r="E2261" s="11"/>
      <c r="F2261" s="11"/>
      <c r="G2261" s="11"/>
      <c r="H2261" s="11"/>
      <c r="I2261" s="11"/>
      <c r="J2261" s="11"/>
      <c r="K2261" s="11"/>
      <c r="L2261" s="11"/>
      <c r="M2261" s="11"/>
      <c r="N2261" s="44" t="n">
        <v>17.17</v>
      </c>
      <c r="O2261" s="11"/>
    </row>
    <row r="2262" customFormat="false" ht="14.25" hidden="false" customHeight="true" outlineLevel="0" collapsed="false">
      <c r="C2262" s="11"/>
      <c r="D2262" s="11"/>
      <c r="E2262" s="11"/>
      <c r="F2262" s="11"/>
      <c r="G2262" s="11"/>
      <c r="H2262" s="11"/>
      <c r="I2262" s="11"/>
      <c r="J2262" s="11"/>
      <c r="K2262" s="11"/>
      <c r="L2262" s="11"/>
      <c r="M2262" s="11"/>
      <c r="N2262" s="44" t="n">
        <v>16.89</v>
      </c>
      <c r="O2262" s="11"/>
    </row>
    <row r="2263" customFormat="false" ht="14.25" hidden="false" customHeight="true" outlineLevel="0" collapsed="false">
      <c r="C2263" s="11"/>
      <c r="D2263" s="11"/>
      <c r="E2263" s="11"/>
      <c r="F2263" s="11"/>
      <c r="G2263" s="11"/>
      <c r="H2263" s="11"/>
      <c r="I2263" s="11"/>
      <c r="J2263" s="11"/>
      <c r="K2263" s="11"/>
      <c r="L2263" s="11"/>
      <c r="M2263" s="11"/>
      <c r="N2263" s="44" t="n">
        <v>17.03</v>
      </c>
      <c r="O2263" s="11"/>
    </row>
    <row r="2264" customFormat="false" ht="14.25" hidden="false" customHeight="true" outlineLevel="0" collapsed="false">
      <c r="C2264" s="11"/>
      <c r="D2264" s="11"/>
      <c r="E2264" s="11"/>
      <c r="F2264" s="11"/>
      <c r="G2264" s="11"/>
      <c r="H2264" s="11"/>
      <c r="I2264" s="11"/>
      <c r="J2264" s="11"/>
      <c r="K2264" s="11"/>
      <c r="L2264" s="11"/>
      <c r="M2264" s="11"/>
      <c r="N2264" s="44" t="n">
        <v>16.91</v>
      </c>
      <c r="O2264" s="11"/>
    </row>
    <row r="2265" customFormat="false" ht="14.25" hidden="false" customHeight="true" outlineLevel="0" collapsed="false">
      <c r="C2265" s="11"/>
      <c r="D2265" s="11"/>
      <c r="E2265" s="11"/>
      <c r="F2265" s="11"/>
      <c r="G2265" s="11"/>
      <c r="H2265" s="11"/>
      <c r="I2265" s="11"/>
      <c r="J2265" s="11"/>
      <c r="K2265" s="11"/>
      <c r="L2265" s="11"/>
      <c r="M2265" s="11"/>
      <c r="N2265" s="44" t="n">
        <v>17.37</v>
      </c>
      <c r="O2265" s="11"/>
    </row>
    <row r="2266" customFormat="false" ht="14.25" hidden="false" customHeight="true" outlineLevel="0" collapsed="false">
      <c r="C2266" s="11"/>
      <c r="D2266" s="11"/>
      <c r="E2266" s="11"/>
      <c r="F2266" s="11"/>
      <c r="G2266" s="11"/>
      <c r="H2266" s="11"/>
      <c r="I2266" s="11"/>
      <c r="J2266" s="11"/>
      <c r="K2266" s="11"/>
      <c r="L2266" s="11"/>
      <c r="M2266" s="11"/>
      <c r="N2266" s="44" t="n">
        <v>17.52</v>
      </c>
      <c r="O2266" s="11"/>
    </row>
    <row r="2267" customFormat="false" ht="14.25" hidden="false" customHeight="true" outlineLevel="0" collapsed="false">
      <c r="C2267" s="11"/>
      <c r="D2267" s="11"/>
      <c r="E2267" s="11"/>
      <c r="F2267" s="11"/>
      <c r="G2267" s="11"/>
      <c r="H2267" s="11"/>
      <c r="I2267" s="11"/>
      <c r="J2267" s="11"/>
      <c r="K2267" s="11"/>
      <c r="L2267" s="11"/>
      <c r="M2267" s="11"/>
      <c r="N2267" s="44" t="n">
        <v>17.3</v>
      </c>
      <c r="O2267" s="11"/>
    </row>
    <row r="2268" customFormat="false" ht="14.25" hidden="false" customHeight="true" outlineLevel="0" collapsed="false">
      <c r="C2268" s="11"/>
      <c r="D2268" s="11"/>
      <c r="E2268" s="11"/>
      <c r="F2268" s="11"/>
      <c r="G2268" s="11"/>
      <c r="H2268" s="11"/>
      <c r="I2268" s="11"/>
      <c r="J2268" s="11"/>
      <c r="K2268" s="11"/>
      <c r="L2268" s="11"/>
      <c r="M2268" s="11"/>
      <c r="N2268" s="44" t="n">
        <v>17.43</v>
      </c>
      <c r="O2268" s="11"/>
    </row>
    <row r="2269" customFormat="false" ht="14.25" hidden="false" customHeight="true" outlineLevel="0" collapsed="false">
      <c r="C2269" s="11"/>
      <c r="D2269" s="11"/>
      <c r="E2269" s="11"/>
      <c r="F2269" s="11"/>
      <c r="G2269" s="11"/>
      <c r="H2269" s="11"/>
      <c r="I2269" s="11"/>
      <c r="J2269" s="11"/>
      <c r="K2269" s="11"/>
      <c r="L2269" s="11"/>
      <c r="M2269" s="11"/>
      <c r="N2269" s="44" t="n">
        <v>17.44</v>
      </c>
      <c r="O2269" s="11"/>
    </row>
    <row r="2270" customFormat="false" ht="14.25" hidden="false" customHeight="true" outlineLevel="0" collapsed="false">
      <c r="C2270" s="11"/>
      <c r="D2270" s="11"/>
      <c r="E2270" s="11"/>
      <c r="F2270" s="11"/>
      <c r="G2270" s="11"/>
      <c r="H2270" s="11"/>
      <c r="I2270" s="11"/>
      <c r="J2270" s="11"/>
      <c r="K2270" s="11"/>
      <c r="L2270" s="11"/>
      <c r="M2270" s="11"/>
      <c r="N2270" s="44" t="n">
        <v>17.52</v>
      </c>
      <c r="O2270" s="11"/>
    </row>
    <row r="2271" customFormat="false" ht="14.25" hidden="false" customHeight="true" outlineLevel="0" collapsed="false">
      <c r="C2271" s="11"/>
      <c r="D2271" s="11"/>
      <c r="E2271" s="11"/>
      <c r="F2271" s="11"/>
      <c r="G2271" s="11"/>
      <c r="H2271" s="11"/>
      <c r="I2271" s="11"/>
      <c r="J2271" s="11"/>
      <c r="K2271" s="11"/>
      <c r="L2271" s="11"/>
      <c r="M2271" s="11"/>
      <c r="N2271" s="44" t="n">
        <v>17.57</v>
      </c>
      <c r="O2271" s="11"/>
    </row>
    <row r="2272" customFormat="false" ht="14.25" hidden="false" customHeight="true" outlineLevel="0" collapsed="false">
      <c r="C2272" s="11"/>
      <c r="D2272" s="11"/>
      <c r="E2272" s="11"/>
      <c r="F2272" s="11"/>
      <c r="G2272" s="11"/>
      <c r="H2272" s="11"/>
      <c r="I2272" s="11"/>
      <c r="J2272" s="11"/>
      <c r="K2272" s="11"/>
      <c r="L2272" s="11"/>
      <c r="M2272" s="11"/>
      <c r="N2272" s="44" t="n">
        <v>17.83</v>
      </c>
      <c r="O2272" s="11"/>
    </row>
    <row r="2273" customFormat="false" ht="14.25" hidden="false" customHeight="true" outlineLevel="0" collapsed="false">
      <c r="C2273" s="11"/>
      <c r="D2273" s="11"/>
      <c r="E2273" s="11"/>
      <c r="F2273" s="11"/>
      <c r="G2273" s="11"/>
      <c r="H2273" s="11"/>
      <c r="I2273" s="11"/>
      <c r="J2273" s="11"/>
      <c r="K2273" s="11"/>
      <c r="L2273" s="11"/>
      <c r="M2273" s="11"/>
      <c r="N2273" s="44" t="n">
        <v>17.61</v>
      </c>
      <c r="O2273" s="11"/>
    </row>
    <row r="2274" customFormat="false" ht="14.25" hidden="false" customHeight="true" outlineLevel="0" collapsed="false">
      <c r="C2274" s="11"/>
      <c r="D2274" s="11"/>
      <c r="E2274" s="11"/>
      <c r="F2274" s="11"/>
      <c r="G2274" s="11"/>
      <c r="H2274" s="11"/>
      <c r="I2274" s="11"/>
      <c r="J2274" s="11"/>
      <c r="K2274" s="11"/>
      <c r="L2274" s="11"/>
      <c r="M2274" s="11"/>
      <c r="N2274" s="44" t="n">
        <v>17.76</v>
      </c>
      <c r="O2274" s="11"/>
    </row>
    <row r="2275" customFormat="false" ht="14.25" hidden="false" customHeight="true" outlineLevel="0" collapsed="false">
      <c r="C2275" s="11"/>
      <c r="D2275" s="11"/>
      <c r="E2275" s="11"/>
      <c r="F2275" s="11"/>
      <c r="G2275" s="11"/>
      <c r="H2275" s="11"/>
      <c r="I2275" s="11"/>
      <c r="J2275" s="11"/>
      <c r="K2275" s="11"/>
      <c r="L2275" s="11"/>
      <c r="M2275" s="11"/>
      <c r="N2275" s="44" t="n">
        <v>17.66</v>
      </c>
      <c r="O2275" s="11"/>
    </row>
    <row r="2276" customFormat="false" ht="14.25" hidden="false" customHeight="true" outlineLevel="0" collapsed="false">
      <c r="C2276" s="11"/>
      <c r="D2276" s="11"/>
      <c r="E2276" s="11"/>
      <c r="F2276" s="11"/>
      <c r="G2276" s="11"/>
      <c r="H2276" s="11"/>
      <c r="I2276" s="11"/>
      <c r="J2276" s="11"/>
      <c r="K2276" s="11"/>
      <c r="L2276" s="11"/>
      <c r="M2276" s="11"/>
      <c r="N2276" s="44" t="n">
        <v>17.85</v>
      </c>
      <c r="O2276" s="11"/>
    </row>
    <row r="2277" customFormat="false" ht="14.25" hidden="false" customHeight="true" outlineLevel="0" collapsed="false">
      <c r="C2277" s="11"/>
      <c r="D2277" s="11"/>
      <c r="E2277" s="11"/>
      <c r="F2277" s="11"/>
      <c r="G2277" s="11"/>
      <c r="H2277" s="11"/>
      <c r="I2277" s="11"/>
      <c r="J2277" s="11"/>
      <c r="K2277" s="11"/>
      <c r="L2277" s="11"/>
      <c r="M2277" s="11"/>
      <c r="N2277" s="44" t="n">
        <v>17.81</v>
      </c>
      <c r="O2277" s="11"/>
    </row>
    <row r="2278" customFormat="false" ht="14.25" hidden="false" customHeight="true" outlineLevel="0" collapsed="false">
      <c r="C2278" s="11"/>
      <c r="D2278" s="11"/>
      <c r="E2278" s="11"/>
      <c r="F2278" s="11"/>
      <c r="G2278" s="11"/>
      <c r="H2278" s="11"/>
      <c r="I2278" s="11"/>
      <c r="J2278" s="11"/>
      <c r="K2278" s="11"/>
      <c r="L2278" s="11"/>
      <c r="M2278" s="11"/>
      <c r="N2278" s="44" t="n">
        <v>17.72</v>
      </c>
      <c r="O2278" s="11"/>
    </row>
    <row r="2279" customFormat="false" ht="14.25" hidden="false" customHeight="true" outlineLevel="0" collapsed="false">
      <c r="C2279" s="11"/>
      <c r="D2279" s="11"/>
      <c r="E2279" s="11"/>
      <c r="F2279" s="11"/>
      <c r="G2279" s="11"/>
      <c r="H2279" s="11"/>
      <c r="I2279" s="11"/>
      <c r="J2279" s="11"/>
      <c r="K2279" s="11"/>
      <c r="L2279" s="11"/>
      <c r="M2279" s="11"/>
      <c r="N2279" s="44" t="n">
        <v>17.74</v>
      </c>
      <c r="O2279" s="11"/>
    </row>
    <row r="2280" customFormat="false" ht="14.25" hidden="false" customHeight="true" outlineLevel="0" collapsed="false">
      <c r="C2280" s="11"/>
      <c r="D2280" s="11"/>
      <c r="E2280" s="11"/>
      <c r="F2280" s="11"/>
      <c r="G2280" s="11"/>
      <c r="H2280" s="11"/>
      <c r="I2280" s="11"/>
      <c r="J2280" s="11"/>
      <c r="K2280" s="11"/>
      <c r="L2280" s="11"/>
      <c r="M2280" s="11"/>
      <c r="N2280" s="44" t="n">
        <v>17.76</v>
      </c>
      <c r="O2280" s="11"/>
    </row>
    <row r="2281" customFormat="false" ht="14.25" hidden="false" customHeight="true" outlineLevel="0" collapsed="false">
      <c r="C2281" s="11"/>
      <c r="D2281" s="11"/>
      <c r="E2281" s="11"/>
      <c r="F2281" s="11"/>
      <c r="G2281" s="11"/>
      <c r="H2281" s="11"/>
      <c r="I2281" s="11"/>
      <c r="J2281" s="11"/>
      <c r="K2281" s="11"/>
      <c r="L2281" s="11"/>
      <c r="M2281" s="11"/>
      <c r="N2281" s="44" t="n">
        <v>17.9</v>
      </c>
      <c r="O2281" s="11"/>
    </row>
    <row r="2282" customFormat="false" ht="14.25" hidden="false" customHeight="true" outlineLevel="0" collapsed="false">
      <c r="C2282" s="11"/>
      <c r="D2282" s="11"/>
      <c r="E2282" s="11"/>
      <c r="F2282" s="11"/>
      <c r="G2282" s="11"/>
      <c r="H2282" s="11"/>
      <c r="I2282" s="11"/>
      <c r="J2282" s="11"/>
      <c r="K2282" s="11"/>
      <c r="L2282" s="11"/>
      <c r="M2282" s="11"/>
      <c r="N2282" s="44" t="n">
        <v>17.88</v>
      </c>
      <c r="O2282" s="11"/>
    </row>
    <row r="2283" customFormat="false" ht="14.25" hidden="false" customHeight="true" outlineLevel="0" collapsed="false">
      <c r="C2283" s="11"/>
      <c r="D2283" s="11"/>
      <c r="E2283" s="11"/>
      <c r="F2283" s="11"/>
      <c r="G2283" s="11"/>
      <c r="H2283" s="11"/>
      <c r="I2283" s="11"/>
      <c r="J2283" s="11"/>
      <c r="K2283" s="11"/>
      <c r="L2283" s="11"/>
      <c r="M2283" s="11"/>
      <c r="N2283" s="44" t="n">
        <v>17.13</v>
      </c>
      <c r="O2283" s="11"/>
    </row>
    <row r="2284" customFormat="false" ht="14.25" hidden="false" customHeight="true" outlineLevel="0" collapsed="false">
      <c r="C2284" s="11"/>
      <c r="D2284" s="11"/>
      <c r="E2284" s="11"/>
      <c r="F2284" s="11"/>
      <c r="G2284" s="11"/>
      <c r="H2284" s="11"/>
      <c r="I2284" s="11"/>
      <c r="J2284" s="11"/>
      <c r="K2284" s="11"/>
      <c r="L2284" s="11"/>
      <c r="M2284" s="11"/>
      <c r="N2284" s="44" t="n">
        <v>16.99</v>
      </c>
      <c r="O2284" s="11"/>
    </row>
    <row r="2285" customFormat="false" ht="14.25" hidden="false" customHeight="true" outlineLevel="0" collapsed="false">
      <c r="C2285" s="11"/>
      <c r="D2285" s="11"/>
      <c r="E2285" s="11"/>
      <c r="F2285" s="11"/>
      <c r="G2285" s="11"/>
      <c r="H2285" s="11"/>
      <c r="I2285" s="11"/>
      <c r="J2285" s="11"/>
      <c r="K2285" s="11"/>
      <c r="L2285" s="11"/>
      <c r="M2285" s="11"/>
      <c r="N2285" s="44" t="n">
        <v>16.96</v>
      </c>
      <c r="O2285" s="11"/>
    </row>
    <row r="2286" customFormat="false" ht="14.25" hidden="false" customHeight="true" outlineLevel="0" collapsed="false">
      <c r="C2286" s="11"/>
      <c r="D2286" s="11"/>
      <c r="E2286" s="11"/>
      <c r="F2286" s="11"/>
      <c r="G2286" s="11"/>
      <c r="H2286" s="11"/>
      <c r="I2286" s="11"/>
      <c r="J2286" s="11"/>
      <c r="K2286" s="11"/>
      <c r="L2286" s="11"/>
      <c r="M2286" s="11"/>
      <c r="N2286" s="44" t="n">
        <v>16.77</v>
      </c>
      <c r="O2286" s="11"/>
    </row>
    <row r="2287" customFormat="false" ht="14.25" hidden="false" customHeight="true" outlineLevel="0" collapsed="false">
      <c r="C2287" s="11"/>
      <c r="D2287" s="11"/>
      <c r="E2287" s="11"/>
      <c r="F2287" s="11"/>
      <c r="G2287" s="11"/>
      <c r="H2287" s="11"/>
      <c r="I2287" s="11"/>
      <c r="J2287" s="11"/>
      <c r="K2287" s="11"/>
      <c r="L2287" s="11"/>
      <c r="M2287" s="11"/>
      <c r="N2287" s="44" t="n">
        <v>16.74</v>
      </c>
      <c r="O2287" s="11"/>
    </row>
    <row r="2288" customFormat="false" ht="14.25" hidden="false" customHeight="true" outlineLevel="0" collapsed="false">
      <c r="C2288" s="11"/>
      <c r="D2288" s="11"/>
      <c r="E2288" s="11"/>
      <c r="F2288" s="11"/>
      <c r="G2288" s="11"/>
      <c r="H2288" s="11"/>
      <c r="I2288" s="11"/>
      <c r="J2288" s="11"/>
      <c r="K2288" s="11"/>
      <c r="L2288" s="11"/>
      <c r="M2288" s="11"/>
      <c r="N2288" s="44" t="n">
        <v>16.72</v>
      </c>
      <c r="O2288" s="11"/>
    </row>
    <row r="2289" customFormat="false" ht="14.25" hidden="false" customHeight="true" outlineLevel="0" collapsed="false">
      <c r="C2289" s="11"/>
      <c r="D2289" s="11"/>
      <c r="E2289" s="11"/>
      <c r="F2289" s="11"/>
      <c r="G2289" s="11"/>
      <c r="H2289" s="11"/>
      <c r="I2289" s="11"/>
      <c r="J2289" s="11"/>
      <c r="K2289" s="11"/>
      <c r="L2289" s="11"/>
      <c r="M2289" s="11"/>
      <c r="N2289" s="44" t="n">
        <v>16.84</v>
      </c>
      <c r="O2289" s="11"/>
    </row>
    <row r="2290" customFormat="false" ht="14.25" hidden="false" customHeight="true" outlineLevel="0" collapsed="false">
      <c r="C2290" s="11"/>
      <c r="D2290" s="11"/>
      <c r="E2290" s="11"/>
      <c r="F2290" s="11"/>
      <c r="G2290" s="11"/>
      <c r="H2290" s="11"/>
      <c r="I2290" s="11"/>
      <c r="J2290" s="11"/>
      <c r="K2290" s="11"/>
      <c r="L2290" s="11"/>
      <c r="M2290" s="11"/>
      <c r="N2290" s="44" t="n">
        <v>17.25</v>
      </c>
      <c r="O2290" s="11"/>
    </row>
    <row r="2291" customFormat="false" ht="14.25" hidden="false" customHeight="true" outlineLevel="0" collapsed="false">
      <c r="C2291" s="11"/>
      <c r="D2291" s="11"/>
      <c r="E2291" s="11"/>
      <c r="F2291" s="11"/>
      <c r="G2291" s="11"/>
      <c r="H2291" s="11"/>
      <c r="I2291" s="11"/>
      <c r="J2291" s="11"/>
      <c r="K2291" s="11"/>
      <c r="L2291" s="11"/>
      <c r="M2291" s="11"/>
      <c r="N2291" s="44" t="n">
        <v>17.54</v>
      </c>
      <c r="O2291" s="11"/>
    </row>
    <row r="2292" customFormat="false" ht="14.25" hidden="false" customHeight="true" outlineLevel="0" collapsed="false">
      <c r="C2292" s="11"/>
      <c r="D2292" s="11"/>
      <c r="E2292" s="11"/>
      <c r="F2292" s="11"/>
      <c r="G2292" s="11"/>
      <c r="H2292" s="11"/>
      <c r="I2292" s="11"/>
      <c r="J2292" s="11"/>
      <c r="K2292" s="11"/>
      <c r="L2292" s="11"/>
      <c r="M2292" s="11"/>
      <c r="N2292" s="44" t="n">
        <v>17.62</v>
      </c>
      <c r="O2292" s="11"/>
    </row>
    <row r="2293" customFormat="false" ht="14.25" hidden="false" customHeight="true" outlineLevel="0" collapsed="false">
      <c r="C2293" s="11"/>
      <c r="D2293" s="11"/>
      <c r="E2293" s="11"/>
      <c r="F2293" s="11"/>
      <c r="G2293" s="11"/>
      <c r="H2293" s="11"/>
      <c r="I2293" s="11"/>
      <c r="J2293" s="11"/>
      <c r="K2293" s="11"/>
      <c r="L2293" s="11"/>
      <c r="M2293" s="11"/>
      <c r="N2293" s="44" t="n">
        <v>17.38</v>
      </c>
      <c r="O2293" s="11"/>
    </row>
    <row r="2294" customFormat="false" ht="14.25" hidden="false" customHeight="true" outlineLevel="0" collapsed="false">
      <c r="C2294" s="11"/>
      <c r="D2294" s="11"/>
      <c r="E2294" s="11"/>
      <c r="F2294" s="11"/>
      <c r="G2294" s="11"/>
      <c r="H2294" s="11"/>
      <c r="I2294" s="11"/>
      <c r="J2294" s="11"/>
      <c r="K2294" s="11"/>
      <c r="L2294" s="11"/>
      <c r="M2294" s="11"/>
      <c r="N2294" s="44" t="n">
        <v>17.36</v>
      </c>
      <c r="O2294" s="11"/>
    </row>
    <row r="2295" customFormat="false" ht="14.25" hidden="false" customHeight="true" outlineLevel="0" collapsed="false">
      <c r="C2295" s="11"/>
      <c r="D2295" s="11"/>
      <c r="E2295" s="11"/>
      <c r="F2295" s="11"/>
      <c r="G2295" s="11"/>
      <c r="H2295" s="11"/>
      <c r="I2295" s="11"/>
      <c r="J2295" s="11"/>
      <c r="K2295" s="11"/>
      <c r="L2295" s="11"/>
      <c r="M2295" s="11"/>
      <c r="N2295" s="44" t="n">
        <v>17.56</v>
      </c>
      <c r="O2295" s="11"/>
    </row>
    <row r="2296" customFormat="false" ht="14.25" hidden="false" customHeight="true" outlineLevel="0" collapsed="false">
      <c r="C2296" s="11"/>
      <c r="D2296" s="11"/>
      <c r="E2296" s="11"/>
      <c r="F2296" s="11"/>
      <c r="G2296" s="11"/>
      <c r="H2296" s="11"/>
      <c r="I2296" s="11"/>
      <c r="J2296" s="11"/>
      <c r="K2296" s="11"/>
      <c r="L2296" s="11"/>
      <c r="M2296" s="11"/>
      <c r="N2296" s="44" t="n">
        <v>17.43</v>
      </c>
      <c r="O2296" s="11"/>
    </row>
    <row r="2297" customFormat="false" ht="14.25" hidden="false" customHeight="true" outlineLevel="0" collapsed="false">
      <c r="C2297" s="11"/>
      <c r="D2297" s="11"/>
      <c r="E2297" s="11"/>
      <c r="F2297" s="11"/>
      <c r="G2297" s="11"/>
      <c r="H2297" s="11"/>
      <c r="I2297" s="11"/>
      <c r="J2297" s="11"/>
      <c r="K2297" s="11"/>
      <c r="L2297" s="11"/>
      <c r="M2297" s="11"/>
      <c r="N2297" s="44" t="n">
        <v>17.42</v>
      </c>
      <c r="O2297" s="11"/>
    </row>
    <row r="2298" customFormat="false" ht="14.25" hidden="false" customHeight="true" outlineLevel="0" collapsed="false">
      <c r="C2298" s="11"/>
      <c r="D2298" s="11"/>
      <c r="E2298" s="11"/>
      <c r="F2298" s="11"/>
      <c r="G2298" s="11"/>
      <c r="H2298" s="11"/>
      <c r="I2298" s="11"/>
      <c r="J2298" s="11"/>
      <c r="K2298" s="11"/>
      <c r="L2298" s="11"/>
      <c r="M2298" s="11"/>
      <c r="N2298" s="44" t="n">
        <v>17.39</v>
      </c>
      <c r="O2298" s="11"/>
    </row>
    <row r="2299" customFormat="false" ht="14.25" hidden="false" customHeight="true" outlineLevel="0" collapsed="false">
      <c r="C2299" s="11"/>
      <c r="D2299" s="11"/>
      <c r="E2299" s="11"/>
      <c r="F2299" s="11"/>
      <c r="G2299" s="11"/>
      <c r="H2299" s="11"/>
      <c r="I2299" s="11"/>
      <c r="J2299" s="11"/>
      <c r="K2299" s="11"/>
      <c r="L2299" s="11"/>
      <c r="M2299" s="11"/>
      <c r="N2299" s="44" t="n">
        <v>17.16</v>
      </c>
      <c r="O2299" s="11"/>
    </row>
    <row r="2300" customFormat="false" ht="14.25" hidden="false" customHeight="true" outlineLevel="0" collapsed="false">
      <c r="C2300" s="11"/>
      <c r="D2300" s="11"/>
      <c r="E2300" s="11"/>
      <c r="F2300" s="11"/>
      <c r="G2300" s="11"/>
      <c r="H2300" s="11"/>
      <c r="I2300" s="11"/>
      <c r="J2300" s="11"/>
      <c r="K2300" s="11"/>
      <c r="L2300" s="11"/>
      <c r="M2300" s="11"/>
      <c r="N2300" s="44" t="n">
        <v>16.89</v>
      </c>
      <c r="O2300" s="11"/>
    </row>
    <row r="2301" customFormat="false" ht="14.25" hidden="false" customHeight="true" outlineLevel="0" collapsed="false">
      <c r="C2301" s="11"/>
      <c r="D2301" s="11"/>
      <c r="E2301" s="11"/>
      <c r="F2301" s="11"/>
      <c r="G2301" s="11"/>
      <c r="H2301" s="11"/>
      <c r="I2301" s="11"/>
      <c r="J2301" s="11"/>
      <c r="K2301" s="11"/>
      <c r="L2301" s="11"/>
      <c r="M2301" s="11"/>
      <c r="N2301" s="44" t="n">
        <v>16.8</v>
      </c>
      <c r="O2301" s="11"/>
    </row>
    <row r="2302" customFormat="false" ht="14.25" hidden="false" customHeight="true" outlineLevel="0" collapsed="false">
      <c r="C2302" s="11"/>
      <c r="D2302" s="11"/>
      <c r="E2302" s="11"/>
      <c r="F2302" s="11"/>
      <c r="G2302" s="11"/>
      <c r="H2302" s="11"/>
      <c r="I2302" s="11"/>
      <c r="J2302" s="11"/>
      <c r="K2302" s="11"/>
      <c r="L2302" s="11"/>
      <c r="M2302" s="11"/>
      <c r="N2302" s="44" t="n">
        <v>16.68</v>
      </c>
      <c r="O2302" s="11"/>
    </row>
    <row r="2303" customFormat="false" ht="14.25" hidden="false" customHeight="true" outlineLevel="0" collapsed="false">
      <c r="C2303" s="11"/>
      <c r="D2303" s="11"/>
      <c r="E2303" s="11"/>
      <c r="F2303" s="11"/>
      <c r="G2303" s="11"/>
      <c r="H2303" s="11"/>
      <c r="I2303" s="11"/>
      <c r="J2303" s="11"/>
      <c r="K2303" s="11"/>
      <c r="L2303" s="11"/>
      <c r="M2303" s="11"/>
      <c r="N2303" s="44" t="n">
        <v>16.47</v>
      </c>
      <c r="O2303" s="11"/>
    </row>
    <row r="2304" customFormat="false" ht="14.25" hidden="false" customHeight="true" outlineLevel="0" collapsed="false">
      <c r="C2304" s="11"/>
      <c r="D2304" s="11"/>
      <c r="E2304" s="11"/>
      <c r="F2304" s="11"/>
      <c r="G2304" s="11"/>
      <c r="H2304" s="11"/>
      <c r="I2304" s="11"/>
      <c r="J2304" s="11"/>
      <c r="K2304" s="11"/>
      <c r="L2304" s="11"/>
      <c r="M2304" s="11"/>
      <c r="N2304" s="44" t="n">
        <v>16.34</v>
      </c>
      <c r="O2304" s="11"/>
    </row>
    <row r="2305" customFormat="false" ht="14.25" hidden="false" customHeight="true" outlineLevel="0" collapsed="false">
      <c r="C2305" s="11"/>
      <c r="D2305" s="11"/>
      <c r="E2305" s="11"/>
      <c r="F2305" s="11"/>
      <c r="G2305" s="11"/>
      <c r="H2305" s="11"/>
      <c r="I2305" s="11"/>
      <c r="J2305" s="11"/>
      <c r="K2305" s="11"/>
      <c r="L2305" s="11"/>
      <c r="M2305" s="11"/>
      <c r="N2305" s="44" t="n">
        <v>16.17</v>
      </c>
      <c r="O2305" s="11"/>
    </row>
    <row r="2306" customFormat="false" ht="14.25" hidden="false" customHeight="true" outlineLevel="0" collapsed="false">
      <c r="C2306" s="11"/>
      <c r="D2306" s="11"/>
      <c r="E2306" s="11"/>
      <c r="F2306" s="11"/>
      <c r="G2306" s="11"/>
      <c r="H2306" s="11"/>
      <c r="I2306" s="11"/>
      <c r="J2306" s="11"/>
      <c r="K2306" s="11"/>
      <c r="L2306" s="11"/>
      <c r="M2306" s="11"/>
      <c r="N2306" s="44" t="n">
        <v>16.31</v>
      </c>
      <c r="O2306" s="11"/>
    </row>
    <row r="2307" customFormat="false" ht="14.25" hidden="false" customHeight="true" outlineLevel="0" collapsed="false">
      <c r="C2307" s="11"/>
      <c r="D2307" s="11"/>
      <c r="E2307" s="11"/>
      <c r="F2307" s="11"/>
      <c r="G2307" s="11"/>
      <c r="H2307" s="11"/>
      <c r="I2307" s="11"/>
      <c r="J2307" s="11"/>
      <c r="K2307" s="11"/>
      <c r="L2307" s="11"/>
      <c r="M2307" s="11"/>
      <c r="N2307" s="44" t="n">
        <v>16.75</v>
      </c>
      <c r="O2307" s="11"/>
    </row>
    <row r="2308" customFormat="false" ht="14.25" hidden="false" customHeight="true" outlineLevel="0" collapsed="false">
      <c r="C2308" s="11"/>
      <c r="D2308" s="11"/>
      <c r="E2308" s="11"/>
      <c r="F2308" s="11"/>
      <c r="G2308" s="11"/>
      <c r="H2308" s="11"/>
      <c r="I2308" s="11"/>
      <c r="J2308" s="11"/>
      <c r="K2308" s="11"/>
      <c r="L2308" s="11"/>
      <c r="M2308" s="11"/>
      <c r="N2308" s="44" t="n">
        <v>16.8</v>
      </c>
      <c r="O2308" s="11"/>
    </row>
    <row r="2309" customFormat="false" ht="14.25" hidden="false" customHeight="true" outlineLevel="0" collapsed="false">
      <c r="C2309" s="11"/>
      <c r="D2309" s="11"/>
      <c r="E2309" s="11"/>
      <c r="F2309" s="11"/>
      <c r="G2309" s="11"/>
      <c r="H2309" s="11"/>
      <c r="I2309" s="11"/>
      <c r="J2309" s="11"/>
      <c r="K2309" s="11"/>
      <c r="L2309" s="11"/>
      <c r="M2309" s="11"/>
      <c r="N2309" s="44" t="n">
        <v>16.81</v>
      </c>
      <c r="O2309" s="11"/>
    </row>
    <row r="2310" customFormat="false" ht="14.25" hidden="false" customHeight="true" outlineLevel="0" collapsed="false">
      <c r="C2310" s="11"/>
      <c r="D2310" s="11"/>
      <c r="E2310" s="11"/>
      <c r="F2310" s="11"/>
      <c r="G2310" s="11"/>
      <c r="H2310" s="11"/>
      <c r="I2310" s="11"/>
      <c r="J2310" s="11"/>
      <c r="K2310" s="11"/>
      <c r="L2310" s="11"/>
      <c r="M2310" s="11"/>
      <c r="N2310" s="44" t="n">
        <v>16.7</v>
      </c>
      <c r="O2310" s="11"/>
    </row>
    <row r="2311" customFormat="false" ht="14.25" hidden="false" customHeight="true" outlineLevel="0" collapsed="false">
      <c r="C2311" s="11"/>
      <c r="D2311" s="11"/>
      <c r="E2311" s="11"/>
      <c r="F2311" s="11"/>
      <c r="G2311" s="11"/>
      <c r="H2311" s="11"/>
      <c r="I2311" s="11"/>
      <c r="J2311" s="11"/>
      <c r="K2311" s="11"/>
      <c r="L2311" s="11"/>
      <c r="M2311" s="11"/>
      <c r="N2311" s="44" t="n">
        <v>16.72</v>
      </c>
      <c r="O2311" s="11"/>
    </row>
    <row r="2312" customFormat="false" ht="14.25" hidden="false" customHeight="true" outlineLevel="0" collapsed="false">
      <c r="C2312" s="11"/>
      <c r="D2312" s="11"/>
      <c r="E2312" s="11"/>
      <c r="F2312" s="11"/>
      <c r="G2312" s="11"/>
      <c r="H2312" s="11"/>
      <c r="I2312" s="11"/>
      <c r="J2312" s="11"/>
      <c r="K2312" s="11"/>
      <c r="L2312" s="11"/>
      <c r="M2312" s="11"/>
      <c r="N2312" s="44" t="n">
        <v>16.96</v>
      </c>
      <c r="O2312" s="11"/>
    </row>
    <row r="2313" customFormat="false" ht="14.25" hidden="false" customHeight="true" outlineLevel="0" collapsed="false">
      <c r="C2313" s="11"/>
      <c r="D2313" s="11"/>
      <c r="E2313" s="11"/>
      <c r="F2313" s="11"/>
      <c r="G2313" s="11"/>
      <c r="H2313" s="11"/>
      <c r="I2313" s="11"/>
      <c r="J2313" s="11"/>
      <c r="K2313" s="11"/>
      <c r="L2313" s="11"/>
      <c r="M2313" s="11"/>
      <c r="N2313" s="44" t="n">
        <v>16.77</v>
      </c>
      <c r="O2313" s="11"/>
    </row>
    <row r="2314" customFormat="false" ht="14.25" hidden="false" customHeight="true" outlineLevel="0" collapsed="false">
      <c r="C2314" s="11"/>
      <c r="D2314" s="11"/>
      <c r="E2314" s="11"/>
      <c r="F2314" s="11"/>
      <c r="G2314" s="11"/>
      <c r="H2314" s="11"/>
      <c r="I2314" s="11"/>
      <c r="J2314" s="11"/>
      <c r="K2314" s="11"/>
      <c r="L2314" s="11"/>
      <c r="M2314" s="11"/>
      <c r="N2314" s="44" t="n">
        <v>17.11</v>
      </c>
      <c r="O2314" s="11"/>
    </row>
    <row r="2315" customFormat="false" ht="14.25" hidden="false" customHeight="true" outlineLevel="0" collapsed="false">
      <c r="C2315" s="11"/>
      <c r="D2315" s="11"/>
      <c r="E2315" s="11"/>
      <c r="F2315" s="11"/>
      <c r="G2315" s="11"/>
      <c r="H2315" s="11"/>
      <c r="I2315" s="11"/>
      <c r="J2315" s="11"/>
      <c r="K2315" s="11"/>
      <c r="L2315" s="11"/>
      <c r="M2315" s="11"/>
      <c r="N2315" s="44" t="n">
        <v>16.86</v>
      </c>
      <c r="O2315" s="11"/>
    </row>
    <row r="2316" customFormat="false" ht="14.25" hidden="false" customHeight="true" outlineLevel="0" collapsed="false">
      <c r="C2316" s="11"/>
      <c r="D2316" s="11"/>
      <c r="E2316" s="11"/>
      <c r="F2316" s="11"/>
      <c r="G2316" s="11"/>
      <c r="H2316" s="11"/>
      <c r="I2316" s="11"/>
      <c r="J2316" s="11"/>
      <c r="K2316" s="11"/>
      <c r="L2316" s="11"/>
      <c r="M2316" s="11"/>
      <c r="N2316" s="44" t="n">
        <v>16.84</v>
      </c>
      <c r="O2316" s="11"/>
    </row>
    <row r="2317" customFormat="false" ht="14.25" hidden="false" customHeight="true" outlineLevel="0" collapsed="false">
      <c r="C2317" s="11"/>
      <c r="D2317" s="11"/>
      <c r="E2317" s="11"/>
      <c r="F2317" s="11"/>
      <c r="G2317" s="11"/>
      <c r="H2317" s="11"/>
      <c r="I2317" s="11"/>
      <c r="J2317" s="11"/>
      <c r="K2317" s="11"/>
      <c r="L2317" s="11"/>
      <c r="M2317" s="11"/>
      <c r="N2317" s="44" t="n">
        <v>16.5</v>
      </c>
      <c r="O2317" s="11"/>
    </row>
    <row r="2318" customFormat="false" ht="14.25" hidden="false" customHeight="true" outlineLevel="0" collapsed="false">
      <c r="C2318" s="11"/>
      <c r="D2318" s="11"/>
      <c r="E2318" s="11"/>
      <c r="F2318" s="11"/>
      <c r="G2318" s="11"/>
      <c r="H2318" s="11"/>
      <c r="I2318" s="11"/>
      <c r="J2318" s="11"/>
      <c r="K2318" s="11"/>
      <c r="L2318" s="11"/>
      <c r="M2318" s="11"/>
      <c r="N2318" s="44" t="n">
        <v>17.17</v>
      </c>
      <c r="O2318" s="11"/>
    </row>
    <row r="2319" customFormat="false" ht="14.25" hidden="false" customHeight="true" outlineLevel="0" collapsed="false">
      <c r="C2319" s="11"/>
      <c r="D2319" s="11"/>
      <c r="E2319" s="11"/>
      <c r="F2319" s="11"/>
      <c r="G2319" s="11"/>
      <c r="H2319" s="11"/>
      <c r="I2319" s="11"/>
      <c r="J2319" s="11"/>
      <c r="K2319" s="11"/>
      <c r="L2319" s="11"/>
      <c r="M2319" s="11"/>
      <c r="N2319" s="44" t="n">
        <v>16.99</v>
      </c>
      <c r="O2319" s="11"/>
    </row>
    <row r="2320" customFormat="false" ht="14.25" hidden="false" customHeight="true" outlineLevel="0" collapsed="false">
      <c r="C2320" s="11"/>
      <c r="D2320" s="11"/>
      <c r="E2320" s="11"/>
      <c r="F2320" s="11"/>
      <c r="G2320" s="11"/>
      <c r="H2320" s="11"/>
      <c r="I2320" s="11"/>
      <c r="J2320" s="11"/>
      <c r="K2320" s="11"/>
      <c r="L2320" s="11"/>
      <c r="M2320" s="11"/>
      <c r="N2320" s="44" t="n">
        <v>17.05</v>
      </c>
      <c r="O2320" s="11"/>
    </row>
    <row r="2321" customFormat="false" ht="14.25" hidden="false" customHeight="true" outlineLevel="0" collapsed="false">
      <c r="C2321" s="11"/>
      <c r="D2321" s="11"/>
      <c r="E2321" s="11"/>
      <c r="F2321" s="11"/>
      <c r="G2321" s="11"/>
      <c r="H2321" s="11"/>
      <c r="I2321" s="11"/>
      <c r="J2321" s="11"/>
      <c r="K2321" s="11"/>
      <c r="L2321" s="11"/>
      <c r="M2321" s="11"/>
      <c r="N2321" s="44" t="n">
        <v>16.91</v>
      </c>
      <c r="O2321" s="11"/>
    </row>
    <row r="2322" customFormat="false" ht="14.25" hidden="false" customHeight="true" outlineLevel="0" collapsed="false">
      <c r="C2322" s="11"/>
      <c r="D2322" s="11"/>
      <c r="E2322" s="11"/>
      <c r="F2322" s="11"/>
      <c r="G2322" s="11"/>
      <c r="H2322" s="11"/>
      <c r="I2322" s="11"/>
      <c r="J2322" s="11"/>
      <c r="K2322" s="11"/>
      <c r="L2322" s="11"/>
      <c r="M2322" s="11"/>
      <c r="N2322" s="44" t="n">
        <v>17.06</v>
      </c>
      <c r="O2322" s="11"/>
    </row>
    <row r="2323" customFormat="false" ht="14.25" hidden="false" customHeight="true" outlineLevel="0" collapsed="false">
      <c r="C2323" s="11"/>
      <c r="D2323" s="11"/>
      <c r="E2323" s="11"/>
      <c r="F2323" s="11"/>
      <c r="G2323" s="11"/>
      <c r="H2323" s="11"/>
      <c r="I2323" s="11"/>
      <c r="J2323" s="11"/>
      <c r="K2323" s="11"/>
      <c r="L2323" s="11"/>
      <c r="M2323" s="11"/>
      <c r="N2323" s="44" t="n">
        <v>17.09</v>
      </c>
      <c r="O2323" s="11"/>
    </row>
    <row r="2324" customFormat="false" ht="14.25" hidden="false" customHeight="true" outlineLevel="0" collapsed="false">
      <c r="C2324" s="11"/>
      <c r="D2324" s="11"/>
      <c r="E2324" s="11"/>
      <c r="F2324" s="11"/>
      <c r="G2324" s="11"/>
      <c r="H2324" s="11"/>
      <c r="I2324" s="11"/>
      <c r="J2324" s="11"/>
      <c r="K2324" s="11"/>
      <c r="L2324" s="11"/>
      <c r="M2324" s="11"/>
      <c r="N2324" s="44" t="n">
        <v>17.11</v>
      </c>
      <c r="O2324" s="11"/>
    </row>
    <row r="2325" customFormat="false" ht="14.25" hidden="false" customHeight="true" outlineLevel="0" collapsed="false">
      <c r="C2325" s="11"/>
      <c r="D2325" s="11"/>
      <c r="E2325" s="11"/>
      <c r="F2325" s="11"/>
      <c r="G2325" s="11"/>
      <c r="H2325" s="11"/>
      <c r="I2325" s="11"/>
      <c r="J2325" s="11"/>
      <c r="K2325" s="11"/>
      <c r="L2325" s="11"/>
      <c r="M2325" s="11"/>
      <c r="N2325" s="44" t="n">
        <v>16.88</v>
      </c>
      <c r="O2325" s="11"/>
    </row>
    <row r="2326" customFormat="false" ht="14.25" hidden="false" customHeight="true" outlineLevel="0" collapsed="false">
      <c r="C2326" s="11"/>
      <c r="D2326" s="11"/>
      <c r="E2326" s="11"/>
      <c r="F2326" s="11"/>
      <c r="G2326" s="11"/>
      <c r="H2326" s="11"/>
      <c r="I2326" s="11"/>
      <c r="J2326" s="11"/>
      <c r="K2326" s="11"/>
      <c r="L2326" s="11"/>
      <c r="M2326" s="11"/>
      <c r="N2326" s="44" t="n">
        <v>16.93</v>
      </c>
      <c r="O2326" s="11"/>
    </row>
    <row r="2327" customFormat="false" ht="14.25" hidden="false" customHeight="true" outlineLevel="0" collapsed="false">
      <c r="C2327" s="11"/>
      <c r="D2327" s="11"/>
      <c r="E2327" s="11"/>
      <c r="F2327" s="11"/>
      <c r="G2327" s="11"/>
      <c r="H2327" s="11"/>
      <c r="I2327" s="11"/>
      <c r="J2327" s="11"/>
      <c r="K2327" s="11"/>
      <c r="L2327" s="11"/>
      <c r="M2327" s="11"/>
      <c r="N2327" s="44" t="n">
        <v>17.05</v>
      </c>
      <c r="O2327" s="11"/>
    </row>
    <row r="2328" customFormat="false" ht="14.25" hidden="false" customHeight="true" outlineLevel="0" collapsed="false">
      <c r="C2328" s="11"/>
      <c r="D2328" s="11"/>
      <c r="E2328" s="11"/>
      <c r="F2328" s="11"/>
      <c r="G2328" s="11"/>
      <c r="H2328" s="11"/>
      <c r="I2328" s="11"/>
      <c r="J2328" s="11"/>
      <c r="K2328" s="11"/>
      <c r="L2328" s="11"/>
      <c r="M2328" s="11"/>
      <c r="N2328" s="44" t="n">
        <v>17.46</v>
      </c>
      <c r="O2328" s="11"/>
    </row>
    <row r="2329" customFormat="false" ht="14.25" hidden="false" customHeight="true" outlineLevel="0" collapsed="false">
      <c r="C2329" s="11"/>
      <c r="D2329" s="11"/>
      <c r="E2329" s="11"/>
      <c r="F2329" s="11"/>
      <c r="G2329" s="11"/>
      <c r="H2329" s="11"/>
      <c r="I2329" s="11"/>
      <c r="J2329" s="11"/>
      <c r="K2329" s="11"/>
      <c r="L2329" s="11"/>
      <c r="M2329" s="11"/>
      <c r="N2329" s="44" t="n">
        <v>18.74</v>
      </c>
      <c r="O2329" s="11"/>
    </row>
    <row r="2330" customFormat="false" ht="14.25" hidden="false" customHeight="true" outlineLevel="0" collapsed="false">
      <c r="C2330" s="11"/>
      <c r="D2330" s="11"/>
      <c r="E2330" s="11"/>
      <c r="F2330" s="11"/>
      <c r="G2330" s="11"/>
      <c r="H2330" s="11"/>
      <c r="I2330" s="11"/>
      <c r="J2330" s="11"/>
      <c r="K2330" s="11"/>
      <c r="L2330" s="11"/>
      <c r="M2330" s="11"/>
      <c r="N2330" s="44" t="n">
        <v>18.74</v>
      </c>
      <c r="O2330" s="11"/>
    </row>
    <row r="2331" customFormat="false" ht="14.25" hidden="false" customHeight="true" outlineLevel="0" collapsed="false">
      <c r="C2331" s="11"/>
      <c r="D2331" s="11"/>
      <c r="E2331" s="11"/>
      <c r="F2331" s="11"/>
      <c r="G2331" s="11"/>
      <c r="H2331" s="11"/>
      <c r="I2331" s="11"/>
      <c r="J2331" s="11"/>
      <c r="K2331" s="11"/>
      <c r="L2331" s="11"/>
      <c r="M2331" s="11"/>
      <c r="N2331" s="44" t="n">
        <v>18.71</v>
      </c>
      <c r="O2331" s="11"/>
    </row>
    <row r="2332" customFormat="false" ht="14.25" hidden="false" customHeight="true" outlineLevel="0" collapsed="false">
      <c r="C2332" s="11"/>
      <c r="D2332" s="11"/>
      <c r="E2332" s="11"/>
      <c r="F2332" s="11"/>
      <c r="G2332" s="11"/>
      <c r="H2332" s="11"/>
      <c r="I2332" s="11"/>
      <c r="J2332" s="11"/>
      <c r="K2332" s="11"/>
      <c r="L2332" s="11"/>
      <c r="M2332" s="11"/>
      <c r="N2332" s="44" t="n">
        <v>18.86</v>
      </c>
      <c r="O2332" s="11"/>
    </row>
    <row r="2333" customFormat="false" ht="14.25" hidden="false" customHeight="true" outlineLevel="0" collapsed="false">
      <c r="C2333" s="11"/>
      <c r="D2333" s="11"/>
      <c r="E2333" s="11"/>
      <c r="F2333" s="11"/>
      <c r="G2333" s="11"/>
      <c r="H2333" s="11"/>
      <c r="I2333" s="11"/>
      <c r="J2333" s="11"/>
      <c r="K2333" s="11"/>
      <c r="L2333" s="11"/>
      <c r="M2333" s="11"/>
      <c r="N2333" s="44" t="n">
        <v>18.71</v>
      </c>
      <c r="O2333" s="11"/>
    </row>
    <row r="2334" customFormat="false" ht="14.25" hidden="false" customHeight="true" outlineLevel="0" collapsed="false">
      <c r="C2334" s="11"/>
      <c r="D2334" s="11"/>
      <c r="E2334" s="11"/>
      <c r="F2334" s="11"/>
      <c r="G2334" s="11"/>
      <c r="H2334" s="11"/>
      <c r="I2334" s="11"/>
      <c r="J2334" s="11"/>
      <c r="K2334" s="11"/>
      <c r="L2334" s="11"/>
      <c r="M2334" s="11"/>
      <c r="N2334" s="44" t="n">
        <v>18.74</v>
      </c>
      <c r="O2334" s="11"/>
    </row>
    <row r="2335" customFormat="false" ht="14.25" hidden="false" customHeight="true" outlineLevel="0" collapsed="false">
      <c r="C2335" s="11"/>
      <c r="D2335" s="11"/>
      <c r="E2335" s="11"/>
      <c r="F2335" s="11"/>
      <c r="G2335" s="11"/>
      <c r="H2335" s="11"/>
      <c r="I2335" s="11"/>
      <c r="J2335" s="11"/>
      <c r="K2335" s="11"/>
      <c r="L2335" s="11"/>
      <c r="M2335" s="11"/>
      <c r="N2335" s="44" t="n">
        <v>18.49</v>
      </c>
      <c r="O2335" s="11"/>
    </row>
    <row r="2336" customFormat="false" ht="14.25" hidden="false" customHeight="true" outlineLevel="0" collapsed="false">
      <c r="C2336" s="11"/>
      <c r="D2336" s="11"/>
      <c r="E2336" s="11"/>
      <c r="F2336" s="11"/>
      <c r="G2336" s="11"/>
      <c r="H2336" s="11"/>
      <c r="I2336" s="11"/>
      <c r="J2336" s="11"/>
      <c r="K2336" s="11"/>
      <c r="L2336" s="11"/>
      <c r="M2336" s="11"/>
      <c r="N2336" s="44" t="n">
        <v>18.32</v>
      </c>
      <c r="O2336" s="11"/>
    </row>
    <row r="2337" customFormat="false" ht="14.25" hidden="false" customHeight="true" outlineLevel="0" collapsed="false">
      <c r="C2337" s="11"/>
      <c r="D2337" s="11"/>
      <c r="E2337" s="11"/>
      <c r="F2337" s="11"/>
      <c r="G2337" s="11"/>
      <c r="H2337" s="11"/>
      <c r="I2337" s="11"/>
      <c r="J2337" s="11"/>
      <c r="K2337" s="11"/>
      <c r="L2337" s="11"/>
      <c r="M2337" s="11"/>
      <c r="N2337" s="44" t="n">
        <v>18.41</v>
      </c>
      <c r="O2337" s="11"/>
    </row>
    <row r="2338" customFormat="false" ht="14.25" hidden="false" customHeight="true" outlineLevel="0" collapsed="false">
      <c r="C2338" s="11"/>
      <c r="D2338" s="11"/>
      <c r="E2338" s="11"/>
      <c r="F2338" s="11"/>
      <c r="G2338" s="11"/>
      <c r="H2338" s="11"/>
      <c r="I2338" s="11"/>
      <c r="J2338" s="11"/>
      <c r="K2338" s="11"/>
      <c r="L2338" s="11"/>
      <c r="M2338" s="11"/>
      <c r="N2338" s="44" t="n">
        <v>18.42</v>
      </c>
      <c r="O2338" s="11"/>
    </row>
    <row r="2339" customFormat="false" ht="14.25" hidden="false" customHeight="true" outlineLevel="0" collapsed="false">
      <c r="C2339" s="11"/>
      <c r="D2339" s="11"/>
      <c r="E2339" s="11"/>
      <c r="F2339" s="11"/>
      <c r="G2339" s="11"/>
      <c r="H2339" s="11"/>
      <c r="I2339" s="11"/>
      <c r="J2339" s="11"/>
      <c r="K2339" s="11"/>
      <c r="L2339" s="11"/>
      <c r="M2339" s="11"/>
      <c r="N2339" s="44" t="n">
        <v>18.63</v>
      </c>
      <c r="O2339" s="11"/>
    </row>
    <row r="2340" customFormat="false" ht="14.25" hidden="false" customHeight="true" outlineLevel="0" collapsed="false">
      <c r="C2340" s="11"/>
      <c r="D2340" s="11"/>
      <c r="E2340" s="11"/>
      <c r="F2340" s="11"/>
      <c r="G2340" s="11"/>
      <c r="H2340" s="11"/>
      <c r="I2340" s="11"/>
      <c r="J2340" s="11"/>
      <c r="K2340" s="11"/>
      <c r="L2340" s="11"/>
      <c r="M2340" s="11"/>
      <c r="N2340" s="44" t="n">
        <v>19.19</v>
      </c>
      <c r="O2340" s="11"/>
    </row>
    <row r="2341" customFormat="false" ht="14.25" hidden="false" customHeight="true" outlineLevel="0" collapsed="false">
      <c r="C2341" s="11"/>
      <c r="D2341" s="11"/>
      <c r="E2341" s="11"/>
      <c r="F2341" s="11"/>
      <c r="G2341" s="11"/>
      <c r="H2341" s="11"/>
      <c r="I2341" s="11"/>
      <c r="J2341" s="11"/>
      <c r="K2341" s="11"/>
      <c r="L2341" s="11"/>
      <c r="M2341" s="11"/>
      <c r="N2341" s="44" t="n">
        <v>19.51</v>
      </c>
      <c r="O2341" s="11"/>
    </row>
    <row r="2342" customFormat="false" ht="14.25" hidden="false" customHeight="true" outlineLevel="0" collapsed="false">
      <c r="C2342" s="11"/>
      <c r="D2342" s="11"/>
      <c r="E2342" s="11"/>
      <c r="F2342" s="11"/>
      <c r="G2342" s="11"/>
      <c r="H2342" s="11"/>
      <c r="I2342" s="11"/>
      <c r="J2342" s="11"/>
      <c r="K2342" s="11"/>
      <c r="L2342" s="11"/>
      <c r="M2342" s="11"/>
      <c r="N2342" s="44" t="n">
        <v>20.01</v>
      </c>
      <c r="O2342" s="11"/>
    </row>
    <row r="2343" customFormat="false" ht="14.25" hidden="false" customHeight="true" outlineLevel="0" collapsed="false">
      <c r="C2343" s="11"/>
      <c r="D2343" s="11"/>
      <c r="E2343" s="11"/>
      <c r="F2343" s="11"/>
      <c r="G2343" s="11"/>
      <c r="H2343" s="11"/>
      <c r="I2343" s="11"/>
      <c r="J2343" s="11"/>
      <c r="K2343" s="11"/>
      <c r="L2343" s="11"/>
      <c r="M2343" s="11"/>
      <c r="N2343" s="44" t="n">
        <v>19.74</v>
      </c>
      <c r="O2343" s="11"/>
    </row>
    <row r="2344" customFormat="false" ht="14.25" hidden="false" customHeight="true" outlineLevel="0" collapsed="false">
      <c r="C2344" s="11"/>
      <c r="D2344" s="11"/>
      <c r="E2344" s="11"/>
      <c r="F2344" s="11"/>
      <c r="G2344" s="11"/>
      <c r="H2344" s="11"/>
      <c r="I2344" s="11"/>
      <c r="J2344" s="11"/>
      <c r="K2344" s="11"/>
      <c r="L2344" s="11"/>
      <c r="M2344" s="11"/>
      <c r="N2344" s="44" t="n">
        <v>19.74</v>
      </c>
      <c r="O2344" s="11"/>
    </row>
    <row r="2345" customFormat="false" ht="14.25" hidden="false" customHeight="true" outlineLevel="0" collapsed="false">
      <c r="C2345" s="11"/>
      <c r="D2345" s="11"/>
      <c r="E2345" s="11"/>
      <c r="F2345" s="11"/>
      <c r="G2345" s="11"/>
      <c r="H2345" s="11"/>
      <c r="I2345" s="11"/>
      <c r="J2345" s="11"/>
      <c r="K2345" s="11"/>
      <c r="L2345" s="11"/>
      <c r="M2345" s="11"/>
      <c r="N2345" s="44" t="n">
        <v>19.74</v>
      </c>
      <c r="O2345" s="11"/>
    </row>
    <row r="2346" customFormat="false" ht="14.25" hidden="false" customHeight="true" outlineLevel="0" collapsed="false">
      <c r="C2346" s="11"/>
      <c r="D2346" s="11"/>
      <c r="E2346" s="11"/>
      <c r="F2346" s="11"/>
      <c r="G2346" s="11"/>
      <c r="H2346" s="11"/>
      <c r="I2346" s="11"/>
      <c r="J2346" s="11"/>
      <c r="K2346" s="11"/>
      <c r="L2346" s="11"/>
      <c r="M2346" s="11"/>
      <c r="N2346" s="44" t="n">
        <v>19.79</v>
      </c>
      <c r="O2346" s="11"/>
    </row>
    <row r="2347" customFormat="false" ht="14.25" hidden="false" customHeight="true" outlineLevel="0" collapsed="false">
      <c r="C2347" s="11"/>
      <c r="D2347" s="11"/>
      <c r="E2347" s="11"/>
      <c r="F2347" s="11"/>
      <c r="G2347" s="11"/>
      <c r="H2347" s="11"/>
      <c r="I2347" s="11"/>
      <c r="J2347" s="11"/>
      <c r="K2347" s="11"/>
      <c r="L2347" s="11"/>
      <c r="M2347" s="11"/>
      <c r="N2347" s="44" t="n">
        <v>19.81</v>
      </c>
      <c r="O2347" s="11"/>
    </row>
    <row r="2348" customFormat="false" ht="14.25" hidden="false" customHeight="true" outlineLevel="0" collapsed="false">
      <c r="C2348" s="11"/>
      <c r="D2348" s="11"/>
      <c r="E2348" s="11"/>
      <c r="F2348" s="11"/>
      <c r="G2348" s="11"/>
      <c r="H2348" s="11"/>
      <c r="I2348" s="11"/>
      <c r="J2348" s="11"/>
      <c r="K2348" s="11"/>
      <c r="L2348" s="11"/>
      <c r="M2348" s="11"/>
      <c r="N2348" s="44" t="n">
        <v>19.56</v>
      </c>
      <c r="O2348" s="11"/>
    </row>
    <row r="2349" customFormat="false" ht="14.25" hidden="false" customHeight="true" outlineLevel="0" collapsed="false">
      <c r="C2349" s="11"/>
      <c r="D2349" s="11"/>
      <c r="E2349" s="11"/>
      <c r="F2349" s="11"/>
      <c r="G2349" s="11"/>
      <c r="H2349" s="11"/>
      <c r="I2349" s="11"/>
      <c r="J2349" s="11"/>
      <c r="K2349" s="11"/>
      <c r="L2349" s="11"/>
      <c r="M2349" s="11"/>
      <c r="N2349" s="44" t="n">
        <v>19.45</v>
      </c>
      <c r="O2349" s="11"/>
    </row>
    <row r="2350" customFormat="false" ht="14.25" hidden="false" customHeight="true" outlineLevel="0" collapsed="false">
      <c r="C2350" s="11"/>
      <c r="D2350" s="11"/>
      <c r="E2350" s="11"/>
      <c r="F2350" s="11"/>
      <c r="G2350" s="11"/>
      <c r="H2350" s="11"/>
      <c r="I2350" s="11"/>
      <c r="J2350" s="11"/>
      <c r="K2350" s="11"/>
      <c r="L2350" s="11"/>
      <c r="M2350" s="11"/>
      <c r="N2350" s="44" t="n">
        <v>19.17</v>
      </c>
      <c r="O2350" s="11"/>
    </row>
    <row r="2351" customFormat="false" ht="14.25" hidden="false" customHeight="true" outlineLevel="0" collapsed="false">
      <c r="C2351" s="11"/>
      <c r="D2351" s="11"/>
      <c r="E2351" s="11"/>
      <c r="F2351" s="11"/>
      <c r="G2351" s="11"/>
      <c r="H2351" s="11"/>
      <c r="I2351" s="11"/>
      <c r="J2351" s="11"/>
      <c r="K2351" s="11"/>
      <c r="L2351" s="11"/>
      <c r="M2351" s="11"/>
      <c r="N2351" s="44" t="n">
        <v>19.36</v>
      </c>
      <c r="O2351" s="11"/>
    </row>
    <row r="2352" customFormat="false" ht="14.25" hidden="false" customHeight="true" outlineLevel="0" collapsed="false">
      <c r="C2352" s="11"/>
      <c r="D2352" s="11"/>
      <c r="E2352" s="11"/>
      <c r="F2352" s="11"/>
      <c r="G2352" s="11"/>
      <c r="H2352" s="11"/>
      <c r="I2352" s="11"/>
      <c r="J2352" s="11"/>
      <c r="K2352" s="11"/>
      <c r="L2352" s="11"/>
      <c r="M2352" s="11"/>
      <c r="N2352" s="44" t="n">
        <v>19.63</v>
      </c>
      <c r="O2352" s="11"/>
    </row>
    <row r="2353" customFormat="false" ht="14.25" hidden="false" customHeight="true" outlineLevel="0" collapsed="false">
      <c r="C2353" s="11"/>
      <c r="D2353" s="11"/>
      <c r="E2353" s="11"/>
      <c r="F2353" s="11"/>
      <c r="G2353" s="11"/>
      <c r="H2353" s="11"/>
      <c r="I2353" s="11"/>
      <c r="J2353" s="11"/>
      <c r="K2353" s="11"/>
      <c r="L2353" s="11"/>
      <c r="M2353" s="11"/>
      <c r="N2353" s="44" t="n">
        <v>19.91</v>
      </c>
      <c r="O2353" s="11"/>
    </row>
    <row r="2354" customFormat="false" ht="14.25" hidden="false" customHeight="true" outlineLevel="0" collapsed="false">
      <c r="C2354" s="11"/>
      <c r="D2354" s="11"/>
      <c r="E2354" s="11"/>
      <c r="F2354" s="11"/>
      <c r="G2354" s="11"/>
      <c r="H2354" s="11"/>
      <c r="I2354" s="11"/>
      <c r="J2354" s="11"/>
      <c r="K2354" s="11"/>
      <c r="L2354" s="11"/>
      <c r="M2354" s="11"/>
      <c r="N2354" s="44" t="n">
        <v>19.8</v>
      </c>
      <c r="O2354" s="11"/>
    </row>
    <row r="2355" customFormat="false" ht="14.25" hidden="false" customHeight="true" outlineLevel="0" collapsed="false">
      <c r="C2355" s="11"/>
      <c r="D2355" s="11"/>
      <c r="E2355" s="11"/>
      <c r="F2355" s="11"/>
      <c r="G2355" s="11"/>
      <c r="H2355" s="11"/>
      <c r="I2355" s="11"/>
      <c r="J2355" s="11"/>
      <c r="K2355" s="11"/>
      <c r="L2355" s="11"/>
      <c r="M2355" s="11"/>
      <c r="N2355" s="44" t="n">
        <v>19.51</v>
      </c>
      <c r="O2355" s="11"/>
    </row>
    <row r="2356" customFormat="false" ht="14.25" hidden="false" customHeight="true" outlineLevel="0" collapsed="false">
      <c r="C2356" s="11"/>
      <c r="D2356" s="11"/>
      <c r="E2356" s="11"/>
      <c r="F2356" s="11"/>
      <c r="G2356" s="11"/>
      <c r="H2356" s="11"/>
      <c r="I2356" s="11"/>
      <c r="J2356" s="11"/>
      <c r="K2356" s="11"/>
      <c r="L2356" s="11"/>
      <c r="M2356" s="11"/>
      <c r="N2356" s="44" t="n">
        <v>19.39</v>
      </c>
      <c r="O2356" s="11"/>
    </row>
    <row r="2357" customFormat="false" ht="14.25" hidden="false" customHeight="true" outlineLevel="0" collapsed="false">
      <c r="C2357" s="11"/>
      <c r="D2357" s="11"/>
      <c r="E2357" s="11"/>
      <c r="F2357" s="11"/>
      <c r="G2357" s="11"/>
      <c r="H2357" s="11"/>
      <c r="I2357" s="11"/>
      <c r="J2357" s="11"/>
      <c r="K2357" s="11"/>
      <c r="L2357" s="11"/>
      <c r="M2357" s="11"/>
      <c r="N2357" s="44" t="n">
        <v>19.54</v>
      </c>
      <c r="O2357" s="11"/>
    </row>
    <row r="2358" customFormat="false" ht="14.25" hidden="false" customHeight="true" outlineLevel="0" collapsed="false">
      <c r="C2358" s="11"/>
      <c r="D2358" s="11"/>
      <c r="E2358" s="11"/>
      <c r="F2358" s="11"/>
      <c r="G2358" s="11"/>
      <c r="H2358" s="11"/>
      <c r="I2358" s="11"/>
      <c r="J2358" s="11"/>
      <c r="K2358" s="11"/>
      <c r="L2358" s="11"/>
      <c r="M2358" s="11"/>
      <c r="N2358" s="44" t="n">
        <v>19.35</v>
      </c>
      <c r="O2358" s="11"/>
    </row>
    <row r="2359" customFormat="false" ht="14.25" hidden="false" customHeight="true" outlineLevel="0" collapsed="false">
      <c r="C2359" s="11"/>
      <c r="D2359" s="11"/>
      <c r="E2359" s="11"/>
      <c r="F2359" s="11"/>
      <c r="G2359" s="11"/>
      <c r="H2359" s="11"/>
      <c r="I2359" s="11"/>
      <c r="J2359" s="11"/>
      <c r="K2359" s="11"/>
      <c r="L2359" s="11"/>
      <c r="M2359" s="11"/>
      <c r="N2359" s="44" t="n">
        <v>18.63</v>
      </c>
      <c r="O2359" s="11"/>
    </row>
    <row r="2360" customFormat="false" ht="14.25" hidden="false" customHeight="true" outlineLevel="0" collapsed="false">
      <c r="C2360" s="11"/>
      <c r="D2360" s="11"/>
      <c r="E2360" s="11"/>
      <c r="F2360" s="11"/>
      <c r="G2360" s="11"/>
      <c r="H2360" s="11"/>
      <c r="I2360" s="11"/>
      <c r="J2360" s="11"/>
      <c r="K2360" s="11"/>
      <c r="L2360" s="11"/>
      <c r="M2360" s="11"/>
      <c r="N2360" s="44" t="n">
        <v>18.82</v>
      </c>
      <c r="O2360" s="11"/>
    </row>
    <row r="2361" customFormat="false" ht="14.25" hidden="false" customHeight="true" outlineLevel="0" collapsed="false">
      <c r="C2361" s="11"/>
      <c r="D2361" s="11"/>
      <c r="E2361" s="11"/>
      <c r="F2361" s="11"/>
      <c r="G2361" s="11"/>
      <c r="H2361" s="11"/>
      <c r="I2361" s="11"/>
      <c r="J2361" s="11"/>
      <c r="K2361" s="11"/>
      <c r="L2361" s="11"/>
      <c r="M2361" s="11"/>
      <c r="N2361" s="44" t="n">
        <v>18.54</v>
      </c>
      <c r="O2361" s="11"/>
    </row>
    <row r="2362" customFormat="false" ht="14.25" hidden="false" customHeight="true" outlineLevel="0" collapsed="false">
      <c r="C2362" s="11"/>
      <c r="D2362" s="11"/>
      <c r="E2362" s="11"/>
      <c r="F2362" s="11"/>
      <c r="G2362" s="11"/>
      <c r="H2362" s="11"/>
      <c r="I2362" s="11"/>
      <c r="J2362" s="11"/>
      <c r="K2362" s="11"/>
      <c r="L2362" s="11"/>
      <c r="M2362" s="11"/>
      <c r="N2362" s="44" t="n">
        <v>18.61</v>
      </c>
      <c r="O2362" s="11"/>
    </row>
    <row r="2363" customFormat="false" ht="14.25" hidden="false" customHeight="true" outlineLevel="0" collapsed="false">
      <c r="C2363" s="11"/>
      <c r="D2363" s="11"/>
      <c r="E2363" s="11"/>
      <c r="F2363" s="11"/>
      <c r="G2363" s="11"/>
      <c r="H2363" s="11"/>
      <c r="I2363" s="11"/>
      <c r="J2363" s="11"/>
      <c r="K2363" s="11"/>
      <c r="L2363" s="11"/>
      <c r="M2363" s="11"/>
      <c r="N2363" s="44" t="n">
        <v>18.91</v>
      </c>
      <c r="O2363" s="11"/>
    </row>
    <row r="2364" customFormat="false" ht="14.25" hidden="false" customHeight="true" outlineLevel="0" collapsed="false">
      <c r="C2364" s="11"/>
      <c r="D2364" s="11"/>
      <c r="E2364" s="11"/>
      <c r="F2364" s="11"/>
      <c r="G2364" s="11"/>
      <c r="H2364" s="11"/>
      <c r="I2364" s="11"/>
      <c r="J2364" s="11"/>
      <c r="K2364" s="11"/>
      <c r="L2364" s="11"/>
      <c r="M2364" s="11"/>
      <c r="N2364" s="44" t="n">
        <v>18.91</v>
      </c>
      <c r="O2364" s="11"/>
    </row>
    <row r="2365" customFormat="false" ht="14.25" hidden="false" customHeight="true" outlineLevel="0" collapsed="false">
      <c r="C2365" s="11"/>
      <c r="D2365" s="11"/>
      <c r="E2365" s="11"/>
      <c r="F2365" s="11"/>
      <c r="G2365" s="11"/>
      <c r="H2365" s="11"/>
      <c r="I2365" s="11"/>
      <c r="J2365" s="11"/>
      <c r="K2365" s="11"/>
      <c r="L2365" s="11"/>
      <c r="M2365" s="11"/>
      <c r="N2365" s="44" t="n">
        <v>18.92</v>
      </c>
      <c r="O2365" s="11"/>
    </row>
    <row r="2366" customFormat="false" ht="14.25" hidden="false" customHeight="true" outlineLevel="0" collapsed="false">
      <c r="C2366" s="11"/>
      <c r="D2366" s="11"/>
      <c r="E2366" s="11"/>
      <c r="F2366" s="11"/>
      <c r="G2366" s="11"/>
      <c r="H2366" s="11"/>
      <c r="I2366" s="11"/>
      <c r="J2366" s="11"/>
      <c r="K2366" s="11"/>
      <c r="L2366" s="11"/>
      <c r="M2366" s="11"/>
      <c r="N2366" s="44" t="n">
        <v>18.62</v>
      </c>
      <c r="O2366" s="11"/>
    </row>
    <row r="2367" customFormat="false" ht="14.25" hidden="false" customHeight="true" outlineLevel="0" collapsed="false">
      <c r="C2367" s="11"/>
      <c r="D2367" s="11"/>
      <c r="E2367" s="11"/>
      <c r="F2367" s="11"/>
      <c r="G2367" s="11"/>
      <c r="H2367" s="11"/>
      <c r="I2367" s="11"/>
      <c r="J2367" s="11"/>
      <c r="K2367" s="11"/>
      <c r="L2367" s="11"/>
      <c r="M2367" s="11"/>
      <c r="N2367" s="44" t="n">
        <v>18.58</v>
      </c>
      <c r="O2367" s="11"/>
    </row>
    <row r="2368" customFormat="false" ht="14.25" hidden="false" customHeight="true" outlineLevel="0" collapsed="false">
      <c r="C2368" s="11"/>
      <c r="D2368" s="11"/>
      <c r="E2368" s="11"/>
      <c r="F2368" s="11"/>
      <c r="G2368" s="11"/>
      <c r="H2368" s="11"/>
      <c r="I2368" s="11"/>
      <c r="J2368" s="11"/>
      <c r="K2368" s="11"/>
      <c r="L2368" s="11"/>
      <c r="M2368" s="11"/>
      <c r="N2368" s="44" t="n">
        <v>18.55</v>
      </c>
      <c r="O2368" s="11"/>
    </row>
    <row r="2369" customFormat="false" ht="14.25" hidden="false" customHeight="true" outlineLevel="0" collapsed="false">
      <c r="C2369" s="11"/>
      <c r="D2369" s="11"/>
      <c r="E2369" s="11"/>
      <c r="F2369" s="11"/>
      <c r="G2369" s="11"/>
      <c r="H2369" s="11"/>
      <c r="I2369" s="11"/>
      <c r="J2369" s="11"/>
      <c r="K2369" s="11"/>
      <c r="L2369" s="11"/>
      <c r="M2369" s="11"/>
      <c r="N2369" s="44" t="n">
        <v>18.55</v>
      </c>
      <c r="O2369" s="11"/>
    </row>
    <row r="2370" customFormat="false" ht="14.25" hidden="false" customHeight="true" outlineLevel="0" collapsed="false">
      <c r="C2370" s="11"/>
      <c r="D2370" s="11"/>
      <c r="E2370" s="11"/>
      <c r="F2370" s="11"/>
      <c r="G2370" s="11"/>
      <c r="H2370" s="11"/>
      <c r="I2370" s="11"/>
      <c r="J2370" s="11"/>
      <c r="K2370" s="11"/>
      <c r="L2370" s="11"/>
      <c r="M2370" s="11"/>
      <c r="N2370" s="44" t="n">
        <v>18.19</v>
      </c>
      <c r="O2370" s="11"/>
    </row>
    <row r="2371" customFormat="false" ht="14.25" hidden="false" customHeight="true" outlineLevel="0" collapsed="false">
      <c r="C2371" s="11"/>
      <c r="D2371" s="11"/>
      <c r="E2371" s="11"/>
      <c r="F2371" s="11"/>
      <c r="G2371" s="11"/>
      <c r="H2371" s="11"/>
      <c r="I2371" s="11"/>
      <c r="J2371" s="11"/>
      <c r="K2371" s="11"/>
      <c r="L2371" s="11"/>
      <c r="M2371" s="11"/>
      <c r="N2371" s="44" t="n">
        <v>18.44</v>
      </c>
      <c r="O2371" s="11"/>
    </row>
    <row r="2372" customFormat="false" ht="14.25" hidden="false" customHeight="true" outlineLevel="0" collapsed="false">
      <c r="C2372" s="11"/>
      <c r="D2372" s="11"/>
      <c r="E2372" s="11"/>
      <c r="F2372" s="11"/>
      <c r="G2372" s="11"/>
      <c r="H2372" s="11"/>
      <c r="I2372" s="11"/>
      <c r="J2372" s="11"/>
      <c r="K2372" s="11"/>
      <c r="L2372" s="11"/>
      <c r="M2372" s="11"/>
      <c r="N2372" s="44" t="n">
        <v>18.28</v>
      </c>
      <c r="O2372" s="11"/>
    </row>
    <row r="2373" customFormat="false" ht="14.25" hidden="false" customHeight="true" outlineLevel="0" collapsed="false">
      <c r="C2373" s="11"/>
      <c r="D2373" s="11"/>
      <c r="E2373" s="11"/>
      <c r="F2373" s="11"/>
      <c r="G2373" s="11"/>
      <c r="H2373" s="11"/>
      <c r="I2373" s="11"/>
      <c r="J2373" s="11"/>
      <c r="K2373" s="11"/>
      <c r="L2373" s="11"/>
      <c r="M2373" s="11"/>
      <c r="N2373" s="44" t="n">
        <v>18.02</v>
      </c>
      <c r="O2373" s="11"/>
    </row>
    <row r="2374" customFormat="false" ht="14.25" hidden="false" customHeight="true" outlineLevel="0" collapsed="false">
      <c r="C2374" s="11"/>
      <c r="D2374" s="11"/>
      <c r="E2374" s="11"/>
      <c r="F2374" s="11"/>
      <c r="G2374" s="11"/>
      <c r="H2374" s="11"/>
      <c r="I2374" s="11"/>
      <c r="J2374" s="11"/>
      <c r="K2374" s="11"/>
      <c r="L2374" s="11"/>
      <c r="M2374" s="11"/>
      <c r="N2374" s="44" t="n">
        <v>18.11</v>
      </c>
      <c r="O2374" s="11"/>
    </row>
    <row r="2375" customFormat="false" ht="14.25" hidden="false" customHeight="true" outlineLevel="0" collapsed="false">
      <c r="C2375" s="11"/>
      <c r="D2375" s="11"/>
      <c r="E2375" s="11"/>
      <c r="F2375" s="11"/>
      <c r="G2375" s="11"/>
      <c r="H2375" s="11"/>
      <c r="I2375" s="11"/>
      <c r="J2375" s="11"/>
      <c r="K2375" s="11"/>
      <c r="L2375" s="11"/>
      <c r="M2375" s="11"/>
      <c r="N2375" s="44" t="n">
        <v>18.11</v>
      </c>
      <c r="O2375" s="11"/>
    </row>
    <row r="2376" customFormat="false" ht="14.25" hidden="false" customHeight="true" outlineLevel="0" collapsed="false">
      <c r="C2376" s="11"/>
      <c r="D2376" s="11"/>
      <c r="E2376" s="11"/>
      <c r="F2376" s="11"/>
      <c r="G2376" s="11"/>
      <c r="H2376" s="11"/>
      <c r="I2376" s="11"/>
      <c r="J2376" s="11"/>
      <c r="K2376" s="11"/>
      <c r="L2376" s="11"/>
      <c r="M2376" s="11"/>
      <c r="N2376" s="44" t="n">
        <v>17.92</v>
      </c>
      <c r="O2376" s="11"/>
    </row>
    <row r="2377" customFormat="false" ht="14.25" hidden="false" customHeight="true" outlineLevel="0" collapsed="false">
      <c r="C2377" s="11"/>
      <c r="D2377" s="11"/>
      <c r="E2377" s="11"/>
      <c r="F2377" s="11"/>
      <c r="G2377" s="11"/>
      <c r="H2377" s="11"/>
      <c r="I2377" s="11"/>
      <c r="J2377" s="11"/>
      <c r="K2377" s="11"/>
      <c r="L2377" s="11"/>
      <c r="M2377" s="11"/>
      <c r="N2377" s="44" t="n">
        <v>17.98</v>
      </c>
      <c r="O2377" s="11"/>
    </row>
    <row r="2378" customFormat="false" ht="14.25" hidden="false" customHeight="true" outlineLevel="0" collapsed="false">
      <c r="C2378" s="11"/>
      <c r="D2378" s="11"/>
      <c r="E2378" s="11"/>
      <c r="F2378" s="11"/>
      <c r="G2378" s="11"/>
      <c r="H2378" s="11"/>
      <c r="I2378" s="11"/>
      <c r="J2378" s="11"/>
      <c r="K2378" s="11"/>
      <c r="L2378" s="11"/>
      <c r="M2378" s="11"/>
      <c r="N2378" s="44" t="n">
        <v>18.36</v>
      </c>
      <c r="O2378" s="11"/>
    </row>
    <row r="2379" customFormat="false" ht="14.25" hidden="false" customHeight="true" outlineLevel="0" collapsed="false">
      <c r="C2379" s="11"/>
      <c r="D2379" s="11"/>
      <c r="E2379" s="11"/>
      <c r="F2379" s="11"/>
      <c r="G2379" s="11"/>
      <c r="H2379" s="11"/>
      <c r="I2379" s="11"/>
      <c r="J2379" s="11"/>
      <c r="K2379" s="11"/>
      <c r="L2379" s="11"/>
      <c r="M2379" s="11"/>
      <c r="N2379" s="44" t="n">
        <v>18.38</v>
      </c>
      <c r="O2379" s="11"/>
    </row>
    <row r="2380" customFormat="false" ht="14.25" hidden="false" customHeight="true" outlineLevel="0" collapsed="false">
      <c r="C2380" s="11"/>
      <c r="D2380" s="11"/>
      <c r="E2380" s="11"/>
      <c r="F2380" s="11"/>
      <c r="G2380" s="11"/>
      <c r="H2380" s="11"/>
      <c r="I2380" s="11"/>
      <c r="J2380" s="11"/>
      <c r="K2380" s="11"/>
      <c r="L2380" s="11"/>
      <c r="M2380" s="11"/>
      <c r="N2380" s="44" t="n">
        <v>18.4</v>
      </c>
      <c r="O2380" s="11"/>
    </row>
    <row r="2381" customFormat="false" ht="14.25" hidden="false" customHeight="true" outlineLevel="0" collapsed="false">
      <c r="C2381" s="11"/>
      <c r="D2381" s="11"/>
      <c r="E2381" s="11"/>
      <c r="F2381" s="11"/>
      <c r="G2381" s="11"/>
      <c r="H2381" s="11"/>
      <c r="I2381" s="11"/>
      <c r="J2381" s="11"/>
      <c r="K2381" s="11"/>
      <c r="L2381" s="11"/>
      <c r="M2381" s="11"/>
      <c r="N2381" s="44" t="n">
        <v>18.47</v>
      </c>
      <c r="O2381" s="11"/>
    </row>
    <row r="2382" customFormat="false" ht="14.25" hidden="false" customHeight="true" outlineLevel="0" collapsed="false">
      <c r="C2382" s="11"/>
      <c r="D2382" s="11"/>
      <c r="E2382" s="11"/>
      <c r="F2382" s="11"/>
      <c r="G2382" s="11"/>
      <c r="H2382" s="11"/>
      <c r="I2382" s="11"/>
      <c r="J2382" s="11"/>
      <c r="K2382" s="11"/>
      <c r="L2382" s="11"/>
      <c r="M2382" s="11"/>
      <c r="N2382" s="44" t="n">
        <v>18.46</v>
      </c>
      <c r="O2382" s="11"/>
    </row>
    <row r="2383" customFormat="false" ht="14.25" hidden="false" customHeight="true" outlineLevel="0" collapsed="false">
      <c r="C2383" s="11"/>
      <c r="D2383" s="11"/>
      <c r="E2383" s="11"/>
      <c r="F2383" s="11"/>
      <c r="G2383" s="11"/>
      <c r="H2383" s="11"/>
      <c r="I2383" s="11"/>
      <c r="J2383" s="11"/>
      <c r="K2383" s="11"/>
      <c r="L2383" s="11"/>
      <c r="M2383" s="11"/>
      <c r="N2383" s="44" t="n">
        <v>18.5</v>
      </c>
      <c r="O2383" s="11"/>
    </row>
    <row r="2384" customFormat="false" ht="14.25" hidden="false" customHeight="true" outlineLevel="0" collapsed="false">
      <c r="C2384" s="11"/>
      <c r="D2384" s="11"/>
      <c r="E2384" s="11"/>
      <c r="F2384" s="11"/>
      <c r="G2384" s="11"/>
      <c r="H2384" s="11"/>
      <c r="I2384" s="11"/>
      <c r="J2384" s="11"/>
      <c r="K2384" s="11"/>
      <c r="L2384" s="11"/>
      <c r="M2384" s="11"/>
      <c r="N2384" s="44" t="n">
        <v>18.43</v>
      </c>
      <c r="O2384" s="11"/>
    </row>
    <row r="2385" customFormat="false" ht="14.25" hidden="false" customHeight="true" outlineLevel="0" collapsed="false">
      <c r="C2385" s="11"/>
      <c r="D2385" s="11"/>
      <c r="E2385" s="11"/>
      <c r="F2385" s="11"/>
      <c r="G2385" s="11"/>
      <c r="H2385" s="11"/>
      <c r="I2385" s="11"/>
      <c r="J2385" s="11"/>
      <c r="K2385" s="11"/>
      <c r="L2385" s="11"/>
      <c r="M2385" s="11"/>
      <c r="N2385" s="44" t="n">
        <v>18.59</v>
      </c>
      <c r="O2385" s="11"/>
    </row>
    <row r="2386" customFormat="false" ht="14.25" hidden="false" customHeight="true" outlineLevel="0" collapsed="false">
      <c r="C2386" s="11"/>
      <c r="D2386" s="11"/>
      <c r="E2386" s="11"/>
      <c r="F2386" s="11"/>
      <c r="G2386" s="11"/>
      <c r="H2386" s="11"/>
      <c r="I2386" s="11"/>
      <c r="J2386" s="11"/>
      <c r="K2386" s="11"/>
      <c r="L2386" s="11"/>
      <c r="M2386" s="11"/>
      <c r="N2386" s="44" t="n">
        <v>19.27</v>
      </c>
      <c r="O2386" s="11"/>
    </row>
    <row r="2387" customFormat="false" ht="14.25" hidden="false" customHeight="true" outlineLevel="0" collapsed="false">
      <c r="C2387" s="11"/>
      <c r="D2387" s="11"/>
      <c r="E2387" s="11"/>
      <c r="F2387" s="11"/>
      <c r="G2387" s="11"/>
      <c r="H2387" s="11"/>
      <c r="I2387" s="11"/>
      <c r="J2387" s="11"/>
      <c r="K2387" s="11"/>
      <c r="L2387" s="11"/>
      <c r="M2387" s="11"/>
      <c r="N2387" s="44" t="n">
        <v>19.04</v>
      </c>
      <c r="O2387" s="11"/>
    </row>
    <row r="2388" customFormat="false" ht="14.25" hidden="false" customHeight="true" outlineLevel="0" collapsed="false">
      <c r="C2388" s="11"/>
      <c r="D2388" s="11"/>
      <c r="E2388" s="11"/>
      <c r="F2388" s="11"/>
      <c r="G2388" s="11"/>
      <c r="H2388" s="11"/>
      <c r="I2388" s="11"/>
      <c r="J2388" s="11"/>
      <c r="K2388" s="11"/>
      <c r="L2388" s="11"/>
      <c r="M2388" s="11"/>
      <c r="N2388" s="44" t="n">
        <v>19.06</v>
      </c>
      <c r="O2388" s="11"/>
    </row>
    <row r="2389" customFormat="false" ht="14.25" hidden="false" customHeight="true" outlineLevel="0" collapsed="false">
      <c r="C2389" s="11"/>
      <c r="D2389" s="11"/>
      <c r="E2389" s="11"/>
      <c r="F2389" s="11"/>
      <c r="G2389" s="11"/>
      <c r="H2389" s="11"/>
      <c r="I2389" s="11"/>
      <c r="J2389" s="11"/>
      <c r="K2389" s="11"/>
      <c r="L2389" s="11"/>
      <c r="M2389" s="11"/>
      <c r="N2389" s="44" t="n">
        <v>18.88</v>
      </c>
      <c r="O2389" s="11"/>
    </row>
    <row r="2390" customFormat="false" ht="14.25" hidden="false" customHeight="true" outlineLevel="0" collapsed="false">
      <c r="C2390" s="11"/>
      <c r="D2390" s="11"/>
      <c r="E2390" s="11"/>
      <c r="F2390" s="11"/>
      <c r="G2390" s="11"/>
      <c r="H2390" s="11"/>
      <c r="I2390" s="11"/>
      <c r="J2390" s="11"/>
      <c r="K2390" s="11"/>
      <c r="L2390" s="11"/>
      <c r="M2390" s="11"/>
      <c r="N2390" s="44" t="n">
        <v>19.16</v>
      </c>
      <c r="O2390" s="11"/>
    </row>
    <row r="2391" customFormat="false" ht="14.25" hidden="false" customHeight="true" outlineLevel="0" collapsed="false">
      <c r="C2391" s="11"/>
      <c r="D2391" s="11"/>
      <c r="E2391" s="11"/>
      <c r="F2391" s="11"/>
      <c r="G2391" s="11"/>
      <c r="H2391" s="11"/>
      <c r="I2391" s="11"/>
      <c r="J2391" s="11"/>
      <c r="K2391" s="11"/>
      <c r="L2391" s="11"/>
      <c r="M2391" s="11"/>
      <c r="N2391" s="44" t="n">
        <v>19.01</v>
      </c>
      <c r="O2391" s="11"/>
    </row>
    <row r="2392" customFormat="false" ht="14.25" hidden="false" customHeight="true" outlineLevel="0" collapsed="false">
      <c r="C2392" s="11"/>
      <c r="D2392" s="11"/>
      <c r="E2392" s="11"/>
      <c r="F2392" s="11"/>
      <c r="G2392" s="11"/>
      <c r="H2392" s="11"/>
      <c r="I2392" s="11"/>
      <c r="J2392" s="11"/>
      <c r="K2392" s="11"/>
      <c r="L2392" s="11"/>
      <c r="M2392" s="11"/>
      <c r="N2392" s="44" t="n">
        <v>18.95</v>
      </c>
      <c r="O2392" s="11"/>
    </row>
    <row r="2393" customFormat="false" ht="14.25" hidden="false" customHeight="true" outlineLevel="0" collapsed="false">
      <c r="C2393" s="11"/>
      <c r="D2393" s="11"/>
      <c r="E2393" s="11"/>
      <c r="F2393" s="11"/>
      <c r="G2393" s="11"/>
      <c r="H2393" s="11"/>
      <c r="I2393" s="11"/>
      <c r="J2393" s="11"/>
      <c r="K2393" s="11"/>
      <c r="L2393" s="11"/>
      <c r="M2393" s="11"/>
      <c r="N2393" s="44" t="n">
        <v>18.91</v>
      </c>
      <c r="O2393" s="11"/>
    </row>
    <row r="2394" customFormat="false" ht="14.25" hidden="false" customHeight="true" outlineLevel="0" collapsed="false">
      <c r="C2394" s="11"/>
      <c r="D2394" s="11"/>
      <c r="E2394" s="11"/>
      <c r="F2394" s="11"/>
      <c r="G2394" s="11"/>
      <c r="H2394" s="11"/>
      <c r="I2394" s="11"/>
      <c r="J2394" s="11"/>
      <c r="K2394" s="11"/>
      <c r="L2394" s="11"/>
      <c r="M2394" s="11"/>
      <c r="N2394" s="44" t="n">
        <v>18.98</v>
      </c>
      <c r="O2394" s="11"/>
    </row>
    <row r="2395" customFormat="false" ht="14.25" hidden="false" customHeight="true" outlineLevel="0" collapsed="false">
      <c r="C2395" s="11"/>
      <c r="D2395" s="11"/>
      <c r="E2395" s="11"/>
      <c r="F2395" s="11"/>
      <c r="G2395" s="11"/>
      <c r="H2395" s="11"/>
      <c r="I2395" s="11"/>
      <c r="J2395" s="11"/>
      <c r="K2395" s="11"/>
      <c r="L2395" s="11"/>
      <c r="M2395" s="11"/>
      <c r="N2395" s="44" t="n">
        <v>19.09</v>
      </c>
      <c r="O2395" s="11"/>
    </row>
    <row r="2396" customFormat="false" ht="14.25" hidden="false" customHeight="true" outlineLevel="0" collapsed="false">
      <c r="C2396" s="11"/>
      <c r="D2396" s="11"/>
      <c r="E2396" s="11"/>
      <c r="F2396" s="11"/>
      <c r="G2396" s="11"/>
      <c r="H2396" s="11"/>
      <c r="I2396" s="11"/>
      <c r="J2396" s="11"/>
      <c r="K2396" s="11"/>
      <c r="L2396" s="11"/>
      <c r="M2396" s="11"/>
      <c r="N2396" s="44" t="n">
        <v>18.96</v>
      </c>
      <c r="O2396" s="11"/>
    </row>
    <row r="2397" customFormat="false" ht="14.25" hidden="false" customHeight="true" outlineLevel="0" collapsed="false">
      <c r="C2397" s="11"/>
      <c r="D2397" s="11"/>
      <c r="E2397" s="11"/>
      <c r="F2397" s="11"/>
      <c r="G2397" s="11"/>
      <c r="H2397" s="11"/>
      <c r="I2397" s="11"/>
      <c r="J2397" s="11"/>
      <c r="K2397" s="11"/>
      <c r="L2397" s="11"/>
      <c r="M2397" s="11"/>
      <c r="N2397" s="44" t="n">
        <v>18.85</v>
      </c>
      <c r="O2397" s="11"/>
    </row>
    <row r="2398" customFormat="false" ht="14.25" hidden="false" customHeight="true" outlineLevel="0" collapsed="false">
      <c r="C2398" s="11"/>
      <c r="D2398" s="11"/>
      <c r="E2398" s="11"/>
      <c r="F2398" s="11"/>
      <c r="G2398" s="11"/>
      <c r="H2398" s="11"/>
      <c r="I2398" s="11"/>
      <c r="J2398" s="11"/>
      <c r="K2398" s="11"/>
      <c r="L2398" s="11"/>
      <c r="M2398" s="11"/>
      <c r="N2398" s="44" t="n">
        <v>19.11</v>
      </c>
      <c r="O2398" s="11"/>
    </row>
    <row r="2399" customFormat="false" ht="14.25" hidden="false" customHeight="true" outlineLevel="0" collapsed="false">
      <c r="C2399" s="11"/>
      <c r="D2399" s="11"/>
      <c r="E2399" s="11"/>
      <c r="F2399" s="11"/>
      <c r="G2399" s="11"/>
      <c r="H2399" s="11"/>
      <c r="I2399" s="11"/>
      <c r="J2399" s="11"/>
      <c r="K2399" s="11"/>
      <c r="L2399" s="11"/>
      <c r="M2399" s="11"/>
      <c r="N2399" s="44" t="n">
        <v>18.94</v>
      </c>
      <c r="O2399" s="11"/>
    </row>
    <row r="2400" customFormat="false" ht="14.25" hidden="false" customHeight="true" outlineLevel="0" collapsed="false">
      <c r="C2400" s="11"/>
      <c r="D2400" s="11"/>
      <c r="E2400" s="11"/>
      <c r="F2400" s="11"/>
      <c r="G2400" s="11"/>
      <c r="H2400" s="11"/>
      <c r="I2400" s="11"/>
      <c r="J2400" s="11"/>
      <c r="K2400" s="11"/>
      <c r="L2400" s="11"/>
      <c r="M2400" s="11"/>
      <c r="N2400" s="44" t="n">
        <v>18.92</v>
      </c>
      <c r="O2400" s="11"/>
    </row>
    <row r="2401" customFormat="false" ht="14.25" hidden="false" customHeight="true" outlineLevel="0" collapsed="false">
      <c r="C2401" s="11"/>
      <c r="D2401" s="11"/>
      <c r="E2401" s="11"/>
      <c r="F2401" s="11"/>
      <c r="G2401" s="11"/>
      <c r="H2401" s="11"/>
      <c r="I2401" s="11"/>
      <c r="J2401" s="11"/>
      <c r="K2401" s="11"/>
      <c r="L2401" s="11"/>
      <c r="M2401" s="11"/>
      <c r="N2401" s="44" t="n">
        <v>18.92</v>
      </c>
      <c r="O2401" s="11"/>
    </row>
    <row r="2402" customFormat="false" ht="14.25" hidden="false" customHeight="true" outlineLevel="0" collapsed="false">
      <c r="C2402" s="11"/>
      <c r="D2402" s="11"/>
      <c r="E2402" s="11"/>
      <c r="F2402" s="11"/>
      <c r="G2402" s="11"/>
      <c r="H2402" s="11"/>
      <c r="I2402" s="11"/>
      <c r="J2402" s="11"/>
      <c r="K2402" s="11"/>
      <c r="L2402" s="11"/>
      <c r="M2402" s="11"/>
      <c r="N2402" s="44" t="n">
        <v>18.9</v>
      </c>
      <c r="O2402" s="11"/>
    </row>
    <row r="2403" customFormat="false" ht="14.25" hidden="false" customHeight="true" outlineLevel="0" collapsed="false">
      <c r="C2403" s="11"/>
      <c r="D2403" s="11"/>
      <c r="E2403" s="11"/>
      <c r="F2403" s="11"/>
      <c r="G2403" s="11"/>
      <c r="H2403" s="11"/>
      <c r="I2403" s="11"/>
      <c r="J2403" s="11"/>
      <c r="K2403" s="11"/>
      <c r="L2403" s="11"/>
      <c r="M2403" s="11"/>
      <c r="N2403" s="44" t="n">
        <v>19.1</v>
      </c>
      <c r="O2403" s="11"/>
    </row>
    <row r="2404" customFormat="false" ht="14.25" hidden="false" customHeight="true" outlineLevel="0" collapsed="false">
      <c r="C2404" s="11"/>
      <c r="D2404" s="11"/>
      <c r="E2404" s="11"/>
      <c r="F2404" s="11"/>
      <c r="G2404" s="11"/>
      <c r="H2404" s="11"/>
      <c r="I2404" s="11"/>
      <c r="J2404" s="11"/>
      <c r="K2404" s="11"/>
      <c r="L2404" s="11"/>
      <c r="M2404" s="11"/>
      <c r="N2404" s="44" t="n">
        <v>18.95</v>
      </c>
      <c r="O2404" s="11"/>
    </row>
    <row r="2405" customFormat="false" ht="14.25" hidden="false" customHeight="true" outlineLevel="0" collapsed="false">
      <c r="C2405" s="11"/>
      <c r="D2405" s="11"/>
      <c r="E2405" s="11"/>
      <c r="F2405" s="11"/>
      <c r="G2405" s="11"/>
      <c r="H2405" s="11"/>
      <c r="I2405" s="11"/>
      <c r="J2405" s="11"/>
      <c r="K2405" s="11"/>
      <c r="L2405" s="11"/>
      <c r="M2405" s="11"/>
      <c r="N2405" s="44" t="n">
        <v>18.76</v>
      </c>
      <c r="O2405" s="11"/>
    </row>
    <row r="2406" customFormat="false" ht="14.25" hidden="false" customHeight="true" outlineLevel="0" collapsed="false">
      <c r="C2406" s="11"/>
      <c r="D2406" s="11"/>
      <c r="E2406" s="11"/>
      <c r="F2406" s="11"/>
      <c r="G2406" s="11"/>
      <c r="H2406" s="11"/>
      <c r="I2406" s="11"/>
      <c r="J2406" s="11"/>
      <c r="K2406" s="11"/>
      <c r="L2406" s="11"/>
      <c r="M2406" s="11"/>
      <c r="N2406" s="44" t="n">
        <v>18.49</v>
      </c>
      <c r="O2406" s="11"/>
    </row>
    <row r="2407" customFormat="false" ht="14.25" hidden="false" customHeight="true" outlineLevel="0" collapsed="false">
      <c r="C2407" s="11"/>
      <c r="D2407" s="11"/>
      <c r="E2407" s="11"/>
      <c r="F2407" s="11"/>
      <c r="G2407" s="11"/>
      <c r="H2407" s="11"/>
      <c r="I2407" s="11"/>
      <c r="J2407" s="11"/>
      <c r="K2407" s="11"/>
      <c r="L2407" s="11"/>
      <c r="M2407" s="11"/>
      <c r="N2407" s="44" t="n">
        <v>18.46</v>
      </c>
      <c r="O2407" s="11"/>
    </row>
    <row r="2408" customFormat="false" ht="14.25" hidden="false" customHeight="true" outlineLevel="0" collapsed="false">
      <c r="C2408" s="11"/>
      <c r="D2408" s="11"/>
      <c r="E2408" s="11"/>
      <c r="F2408" s="11"/>
      <c r="G2408" s="11"/>
      <c r="H2408" s="11"/>
      <c r="I2408" s="11"/>
      <c r="J2408" s="11"/>
      <c r="K2408" s="11"/>
      <c r="L2408" s="11"/>
      <c r="M2408" s="11"/>
      <c r="N2408" s="44" t="n">
        <v>18.57</v>
      </c>
      <c r="O2408" s="11"/>
    </row>
    <row r="2409" customFormat="false" ht="14.25" hidden="false" customHeight="true" outlineLevel="0" collapsed="false">
      <c r="C2409" s="11"/>
      <c r="D2409" s="11"/>
      <c r="E2409" s="11"/>
      <c r="F2409" s="11"/>
      <c r="G2409" s="11"/>
      <c r="H2409" s="11"/>
      <c r="I2409" s="11"/>
      <c r="J2409" s="11"/>
      <c r="K2409" s="11"/>
      <c r="L2409" s="11"/>
      <c r="M2409" s="11"/>
      <c r="N2409" s="44" t="n">
        <v>18.61</v>
      </c>
      <c r="O2409" s="11"/>
    </row>
    <row r="2410" customFormat="false" ht="14.25" hidden="false" customHeight="true" outlineLevel="0" collapsed="false">
      <c r="C2410" s="11"/>
      <c r="D2410" s="11"/>
      <c r="E2410" s="11"/>
      <c r="F2410" s="11"/>
      <c r="G2410" s="11"/>
      <c r="H2410" s="11"/>
      <c r="I2410" s="11"/>
      <c r="J2410" s="11"/>
      <c r="K2410" s="11"/>
      <c r="L2410" s="11"/>
      <c r="M2410" s="11"/>
      <c r="N2410" s="44" t="n">
        <v>18.75</v>
      </c>
      <c r="O2410" s="11"/>
    </row>
    <row r="2411" customFormat="false" ht="14.25" hidden="false" customHeight="true" outlineLevel="0" collapsed="false">
      <c r="C2411" s="11"/>
      <c r="D2411" s="11"/>
      <c r="E2411" s="11"/>
      <c r="F2411" s="11"/>
      <c r="G2411" s="11"/>
      <c r="H2411" s="11"/>
      <c r="I2411" s="11"/>
      <c r="J2411" s="11"/>
      <c r="K2411" s="11"/>
      <c r="L2411" s="11"/>
      <c r="M2411" s="11"/>
      <c r="N2411" s="44" t="n">
        <v>19.03</v>
      </c>
      <c r="O2411" s="11"/>
    </row>
    <row r="2412" customFormat="false" ht="14.25" hidden="false" customHeight="true" outlineLevel="0" collapsed="false">
      <c r="C2412" s="11"/>
      <c r="D2412" s="11"/>
      <c r="E2412" s="11"/>
      <c r="F2412" s="11"/>
      <c r="G2412" s="11"/>
      <c r="H2412" s="11"/>
      <c r="I2412" s="11"/>
      <c r="J2412" s="11"/>
      <c r="K2412" s="11"/>
      <c r="L2412" s="11"/>
      <c r="M2412" s="11"/>
      <c r="N2412" s="44" t="n">
        <v>18.66</v>
      </c>
      <c r="O2412" s="11"/>
    </row>
    <row r="2413" customFormat="false" ht="14.25" hidden="false" customHeight="true" outlineLevel="0" collapsed="false">
      <c r="C2413" s="11"/>
      <c r="D2413" s="11"/>
      <c r="E2413" s="11"/>
      <c r="F2413" s="11"/>
      <c r="G2413" s="11"/>
      <c r="H2413" s="11"/>
      <c r="I2413" s="11"/>
      <c r="J2413" s="11"/>
      <c r="K2413" s="11"/>
      <c r="L2413" s="11"/>
      <c r="M2413" s="11"/>
      <c r="N2413" s="44" t="n">
        <v>18.15</v>
      </c>
      <c r="O2413" s="11"/>
    </row>
    <row r="2414" customFormat="false" ht="14.25" hidden="false" customHeight="true" outlineLevel="0" collapsed="false">
      <c r="C2414" s="11"/>
      <c r="D2414" s="11"/>
      <c r="E2414" s="11"/>
      <c r="F2414" s="11"/>
      <c r="G2414" s="11"/>
      <c r="H2414" s="11"/>
      <c r="I2414" s="11"/>
      <c r="J2414" s="11"/>
      <c r="K2414" s="11"/>
      <c r="L2414" s="11"/>
      <c r="M2414" s="11"/>
      <c r="N2414" s="44" t="n">
        <v>18.14</v>
      </c>
      <c r="O2414" s="11"/>
    </row>
    <row r="2415" customFormat="false" ht="14.25" hidden="false" customHeight="true" outlineLevel="0" collapsed="false">
      <c r="C2415" s="11"/>
      <c r="D2415" s="11"/>
      <c r="E2415" s="11"/>
      <c r="F2415" s="11"/>
      <c r="G2415" s="11"/>
      <c r="H2415" s="11"/>
      <c r="I2415" s="11"/>
      <c r="J2415" s="11"/>
      <c r="K2415" s="11"/>
      <c r="L2415" s="11"/>
      <c r="M2415" s="11"/>
      <c r="N2415" s="44" t="n">
        <v>17.83</v>
      </c>
      <c r="O2415" s="11"/>
    </row>
    <row r="2416" customFormat="false" ht="14.25" hidden="false" customHeight="true" outlineLevel="0" collapsed="false">
      <c r="C2416" s="11"/>
      <c r="D2416" s="11"/>
      <c r="E2416" s="11"/>
      <c r="F2416" s="11"/>
      <c r="G2416" s="11"/>
      <c r="H2416" s="11"/>
      <c r="I2416" s="11"/>
      <c r="J2416" s="11"/>
      <c r="K2416" s="11"/>
      <c r="L2416" s="11"/>
      <c r="M2416" s="11"/>
      <c r="N2416" s="44" t="n">
        <v>17.59</v>
      </c>
      <c r="O2416" s="11"/>
    </row>
    <row r="2417" customFormat="false" ht="14.25" hidden="false" customHeight="true" outlineLevel="0" collapsed="false">
      <c r="C2417" s="11"/>
      <c r="D2417" s="11"/>
      <c r="E2417" s="11"/>
      <c r="F2417" s="11"/>
      <c r="G2417" s="11"/>
      <c r="H2417" s="11"/>
      <c r="I2417" s="11"/>
      <c r="J2417" s="11"/>
      <c r="K2417" s="11"/>
      <c r="L2417" s="11"/>
      <c r="M2417" s="11"/>
      <c r="N2417" s="44" t="n">
        <v>17.22</v>
      </c>
      <c r="O2417" s="11"/>
    </row>
    <row r="2418" customFormat="false" ht="14.25" hidden="false" customHeight="true" outlineLevel="0" collapsed="false">
      <c r="C2418" s="11"/>
      <c r="D2418" s="11"/>
      <c r="E2418" s="11"/>
      <c r="F2418" s="11"/>
      <c r="G2418" s="11"/>
      <c r="H2418" s="11"/>
      <c r="I2418" s="11"/>
      <c r="J2418" s="11"/>
      <c r="K2418" s="11"/>
      <c r="L2418" s="11"/>
      <c r="M2418" s="11"/>
      <c r="N2418" s="44" t="n">
        <v>17.34</v>
      </c>
      <c r="O2418" s="11"/>
    </row>
    <row r="2419" customFormat="false" ht="14.25" hidden="false" customHeight="true" outlineLevel="0" collapsed="false">
      <c r="C2419" s="11"/>
      <c r="D2419" s="11"/>
      <c r="E2419" s="11"/>
      <c r="F2419" s="11"/>
      <c r="G2419" s="11"/>
      <c r="H2419" s="11"/>
      <c r="I2419" s="11"/>
      <c r="J2419" s="11"/>
      <c r="K2419" s="11"/>
      <c r="L2419" s="11"/>
      <c r="M2419" s="11"/>
      <c r="N2419" s="44" t="n">
        <v>17.23</v>
      </c>
      <c r="O2419" s="11"/>
    </row>
    <row r="2420" customFormat="false" ht="14.25" hidden="false" customHeight="true" outlineLevel="0" collapsed="false">
      <c r="C2420" s="11"/>
      <c r="D2420" s="11"/>
      <c r="E2420" s="11"/>
      <c r="F2420" s="11"/>
      <c r="G2420" s="11"/>
      <c r="H2420" s="11"/>
      <c r="I2420" s="11"/>
      <c r="J2420" s="11"/>
      <c r="K2420" s="11"/>
      <c r="L2420" s="11"/>
      <c r="M2420" s="11"/>
      <c r="N2420" s="44" t="n">
        <v>17.01</v>
      </c>
      <c r="O2420" s="11"/>
    </row>
    <row r="2421" customFormat="false" ht="14.25" hidden="false" customHeight="true" outlineLevel="0" collapsed="false">
      <c r="C2421" s="11"/>
      <c r="D2421" s="11"/>
      <c r="E2421" s="11"/>
      <c r="F2421" s="11"/>
      <c r="G2421" s="11"/>
      <c r="H2421" s="11"/>
      <c r="I2421" s="11"/>
      <c r="J2421" s="11"/>
      <c r="K2421" s="11"/>
      <c r="L2421" s="11"/>
      <c r="M2421" s="11"/>
      <c r="N2421" s="44" t="n">
        <v>17.42</v>
      </c>
      <c r="O2421" s="11"/>
    </row>
    <row r="2422" customFormat="false" ht="14.25" hidden="false" customHeight="true" outlineLevel="0" collapsed="false">
      <c r="C2422" s="11"/>
      <c r="D2422" s="11"/>
      <c r="E2422" s="11"/>
      <c r="F2422" s="11"/>
      <c r="G2422" s="11"/>
      <c r="H2422" s="11"/>
      <c r="I2422" s="11"/>
      <c r="J2422" s="11"/>
      <c r="K2422" s="11"/>
      <c r="L2422" s="11"/>
      <c r="M2422" s="11"/>
      <c r="N2422" s="44" t="n">
        <v>17.58</v>
      </c>
      <c r="O2422" s="11"/>
    </row>
    <row r="2423" customFormat="false" ht="14.25" hidden="false" customHeight="true" outlineLevel="0" collapsed="false">
      <c r="C2423" s="11"/>
      <c r="D2423" s="11"/>
      <c r="E2423" s="11"/>
      <c r="F2423" s="11"/>
      <c r="G2423" s="11"/>
      <c r="H2423" s="11"/>
      <c r="I2423" s="11"/>
      <c r="J2423" s="11"/>
      <c r="K2423" s="11"/>
      <c r="L2423" s="11"/>
      <c r="M2423" s="11"/>
      <c r="N2423" s="44" t="n">
        <v>17.33</v>
      </c>
      <c r="O2423" s="11"/>
    </row>
    <row r="2424" customFormat="false" ht="14.25" hidden="false" customHeight="true" outlineLevel="0" collapsed="false">
      <c r="C2424" s="11"/>
      <c r="D2424" s="11"/>
      <c r="E2424" s="11"/>
      <c r="F2424" s="11"/>
      <c r="G2424" s="11"/>
      <c r="H2424" s="11"/>
      <c r="I2424" s="11"/>
      <c r="J2424" s="11"/>
      <c r="K2424" s="11"/>
      <c r="L2424" s="11"/>
      <c r="M2424" s="11"/>
      <c r="N2424" s="44" t="n">
        <v>17.69</v>
      </c>
      <c r="O2424" s="11"/>
    </row>
    <row r="2425" customFormat="false" ht="14.25" hidden="false" customHeight="true" outlineLevel="0" collapsed="false">
      <c r="C2425" s="11"/>
      <c r="D2425" s="11"/>
      <c r="E2425" s="11"/>
      <c r="F2425" s="11"/>
      <c r="G2425" s="11"/>
      <c r="H2425" s="11"/>
      <c r="I2425" s="11"/>
      <c r="J2425" s="11"/>
      <c r="K2425" s="11"/>
      <c r="L2425" s="11"/>
      <c r="M2425" s="11"/>
      <c r="N2425" s="44" t="n">
        <v>17.62</v>
      </c>
      <c r="O2425" s="11"/>
    </row>
    <row r="2426" customFormat="false" ht="14.25" hidden="false" customHeight="true" outlineLevel="0" collapsed="false">
      <c r="C2426" s="11"/>
      <c r="D2426" s="11"/>
      <c r="E2426" s="11"/>
      <c r="F2426" s="11"/>
      <c r="G2426" s="11"/>
      <c r="H2426" s="11"/>
      <c r="I2426" s="11"/>
      <c r="J2426" s="11"/>
      <c r="K2426" s="11"/>
      <c r="L2426" s="11"/>
      <c r="M2426" s="11"/>
      <c r="N2426" s="44" t="n">
        <v>17.5</v>
      </c>
      <c r="O2426" s="11"/>
    </row>
    <row r="2427" customFormat="false" ht="14.25" hidden="false" customHeight="true" outlineLevel="0" collapsed="false">
      <c r="C2427" s="11"/>
      <c r="D2427" s="11"/>
      <c r="E2427" s="11"/>
      <c r="F2427" s="11"/>
      <c r="G2427" s="11"/>
      <c r="H2427" s="11"/>
      <c r="I2427" s="11"/>
      <c r="J2427" s="11"/>
      <c r="K2427" s="11"/>
      <c r="L2427" s="11"/>
      <c r="M2427" s="11"/>
      <c r="N2427" s="44" t="n">
        <v>17.84</v>
      </c>
      <c r="O2427" s="11"/>
    </row>
    <row r="2428" customFormat="false" ht="14.25" hidden="false" customHeight="true" outlineLevel="0" collapsed="false">
      <c r="C2428" s="11"/>
      <c r="D2428" s="11"/>
      <c r="E2428" s="11"/>
      <c r="F2428" s="11"/>
      <c r="G2428" s="11"/>
      <c r="H2428" s="11"/>
      <c r="I2428" s="11"/>
      <c r="J2428" s="11"/>
      <c r="K2428" s="11"/>
      <c r="L2428" s="11"/>
      <c r="M2428" s="11"/>
      <c r="N2428" s="44" t="n">
        <v>17.94</v>
      </c>
      <c r="O2428" s="11"/>
    </row>
    <row r="2429" customFormat="false" ht="14.25" hidden="false" customHeight="true" outlineLevel="0" collapsed="false">
      <c r="C2429" s="11"/>
      <c r="D2429" s="11"/>
      <c r="E2429" s="11"/>
      <c r="F2429" s="11"/>
      <c r="G2429" s="11"/>
      <c r="H2429" s="11"/>
      <c r="I2429" s="11"/>
      <c r="J2429" s="11"/>
      <c r="K2429" s="11"/>
      <c r="L2429" s="11"/>
      <c r="M2429" s="11"/>
      <c r="N2429" s="44" t="n">
        <v>17.88</v>
      </c>
      <c r="O2429" s="11"/>
    </row>
    <row r="2430" customFormat="false" ht="14.25" hidden="false" customHeight="true" outlineLevel="0" collapsed="false">
      <c r="C2430" s="11"/>
      <c r="D2430" s="11"/>
      <c r="E2430" s="11"/>
      <c r="F2430" s="11"/>
      <c r="G2430" s="11"/>
      <c r="H2430" s="11"/>
      <c r="I2430" s="11"/>
      <c r="J2430" s="11"/>
      <c r="K2430" s="11"/>
      <c r="L2430" s="11"/>
      <c r="M2430" s="11"/>
      <c r="N2430" s="44" t="n">
        <v>17.96</v>
      </c>
      <c r="O2430" s="11"/>
    </row>
    <row r="2431" customFormat="false" ht="14.25" hidden="false" customHeight="true" outlineLevel="0" collapsed="false">
      <c r="C2431" s="11"/>
      <c r="D2431" s="11"/>
      <c r="E2431" s="11"/>
      <c r="F2431" s="11"/>
      <c r="G2431" s="11"/>
      <c r="H2431" s="11"/>
      <c r="I2431" s="11"/>
      <c r="J2431" s="11"/>
      <c r="K2431" s="11"/>
      <c r="L2431" s="11"/>
      <c r="M2431" s="11"/>
      <c r="N2431" s="44" t="n">
        <v>17.6</v>
      </c>
      <c r="O2431" s="11"/>
    </row>
    <row r="2432" customFormat="false" ht="14.25" hidden="false" customHeight="true" outlineLevel="0" collapsed="false">
      <c r="C2432" s="11"/>
      <c r="D2432" s="11"/>
      <c r="E2432" s="11"/>
      <c r="F2432" s="11"/>
      <c r="G2432" s="11"/>
      <c r="H2432" s="11"/>
      <c r="I2432" s="11"/>
      <c r="J2432" s="11"/>
      <c r="K2432" s="11"/>
      <c r="L2432" s="11"/>
      <c r="M2432" s="11"/>
      <c r="N2432" s="44" t="n">
        <v>17.49</v>
      </c>
      <c r="O2432" s="11"/>
    </row>
    <row r="2433" customFormat="false" ht="14.25" hidden="false" customHeight="true" outlineLevel="0" collapsed="false">
      <c r="C2433" s="11"/>
      <c r="D2433" s="11"/>
      <c r="E2433" s="11"/>
      <c r="F2433" s="11"/>
      <c r="G2433" s="11"/>
      <c r="H2433" s="11"/>
      <c r="I2433" s="11"/>
      <c r="J2433" s="11"/>
      <c r="K2433" s="11"/>
      <c r="L2433" s="11"/>
      <c r="M2433" s="11"/>
      <c r="N2433" s="44" t="n">
        <v>17.61</v>
      </c>
      <c r="O2433" s="11"/>
    </row>
    <row r="2434" customFormat="false" ht="14.25" hidden="false" customHeight="true" outlineLevel="0" collapsed="false">
      <c r="C2434" s="11"/>
      <c r="D2434" s="11"/>
      <c r="E2434" s="11"/>
      <c r="F2434" s="11"/>
      <c r="G2434" s="11"/>
      <c r="H2434" s="11"/>
      <c r="I2434" s="11"/>
      <c r="J2434" s="11"/>
      <c r="K2434" s="11"/>
      <c r="L2434" s="11"/>
      <c r="M2434" s="11"/>
      <c r="N2434" s="44" t="n">
        <v>17.78</v>
      </c>
      <c r="O2434" s="11"/>
    </row>
    <row r="2435" customFormat="false" ht="14.25" hidden="false" customHeight="true" outlineLevel="0" collapsed="false">
      <c r="C2435" s="11"/>
      <c r="D2435" s="11"/>
      <c r="E2435" s="11"/>
      <c r="F2435" s="11"/>
      <c r="G2435" s="11"/>
      <c r="H2435" s="11"/>
      <c r="I2435" s="11"/>
      <c r="J2435" s="11"/>
      <c r="K2435" s="11"/>
      <c r="L2435" s="11"/>
      <c r="M2435" s="11"/>
      <c r="N2435" s="44" t="n">
        <v>16.71</v>
      </c>
      <c r="O2435" s="11"/>
    </row>
    <row r="2436" customFormat="false" ht="14.25" hidden="false" customHeight="true" outlineLevel="0" collapsed="false">
      <c r="C2436" s="11"/>
      <c r="D2436" s="11"/>
      <c r="E2436" s="11"/>
      <c r="F2436" s="11"/>
      <c r="G2436" s="11"/>
      <c r="H2436" s="11"/>
      <c r="I2436" s="11"/>
      <c r="J2436" s="11"/>
      <c r="K2436" s="11"/>
      <c r="L2436" s="11"/>
      <c r="M2436" s="11"/>
      <c r="N2436" s="44" t="n">
        <v>16.4</v>
      </c>
      <c r="O2436" s="11"/>
    </row>
    <row r="2437" customFormat="false" ht="14.25" hidden="false" customHeight="true" outlineLevel="0" collapsed="false">
      <c r="C2437" s="11"/>
      <c r="D2437" s="11"/>
      <c r="E2437" s="11"/>
      <c r="F2437" s="11"/>
      <c r="G2437" s="11"/>
      <c r="H2437" s="11"/>
      <c r="I2437" s="11"/>
      <c r="J2437" s="11"/>
      <c r="K2437" s="11"/>
      <c r="L2437" s="11"/>
      <c r="M2437" s="11"/>
      <c r="N2437" s="44" t="n">
        <v>16</v>
      </c>
      <c r="O2437" s="11"/>
    </row>
    <row r="2438" customFormat="false" ht="14.25" hidden="false" customHeight="true" outlineLevel="0" collapsed="false">
      <c r="C2438" s="11"/>
      <c r="D2438" s="11"/>
      <c r="E2438" s="11"/>
      <c r="F2438" s="11"/>
      <c r="G2438" s="11"/>
      <c r="H2438" s="11"/>
      <c r="I2438" s="11"/>
      <c r="J2438" s="11"/>
      <c r="K2438" s="11"/>
      <c r="L2438" s="11"/>
      <c r="M2438" s="11"/>
      <c r="N2438" s="44" t="n">
        <v>15.88</v>
      </c>
      <c r="O2438" s="11"/>
    </row>
    <row r="2439" customFormat="false" ht="14.25" hidden="false" customHeight="true" outlineLevel="0" collapsed="false">
      <c r="C2439" s="11"/>
      <c r="D2439" s="11"/>
      <c r="E2439" s="11"/>
      <c r="F2439" s="11"/>
      <c r="G2439" s="11"/>
      <c r="H2439" s="11"/>
      <c r="I2439" s="11"/>
      <c r="J2439" s="11"/>
      <c r="K2439" s="11"/>
      <c r="L2439" s="11"/>
      <c r="M2439" s="11"/>
      <c r="N2439" s="44" t="n">
        <v>16.78</v>
      </c>
      <c r="O2439" s="11"/>
    </row>
    <row r="2440" customFormat="false" ht="14.25" hidden="false" customHeight="true" outlineLevel="0" collapsed="false">
      <c r="C2440" s="11"/>
      <c r="D2440" s="11"/>
      <c r="E2440" s="11"/>
      <c r="F2440" s="11"/>
      <c r="G2440" s="11"/>
      <c r="H2440" s="11"/>
      <c r="I2440" s="11"/>
      <c r="J2440" s="11"/>
      <c r="K2440" s="11"/>
      <c r="L2440" s="11"/>
      <c r="M2440" s="11"/>
      <c r="N2440" s="44" t="n">
        <v>16.48</v>
      </c>
      <c r="O2440" s="11"/>
    </row>
    <row r="2441" customFormat="false" ht="14.25" hidden="false" customHeight="true" outlineLevel="0" collapsed="false">
      <c r="C2441" s="11"/>
      <c r="D2441" s="11"/>
      <c r="E2441" s="11"/>
      <c r="F2441" s="11"/>
      <c r="G2441" s="11"/>
      <c r="H2441" s="11"/>
      <c r="I2441" s="11"/>
      <c r="J2441" s="11"/>
      <c r="K2441" s="11"/>
      <c r="L2441" s="11"/>
      <c r="M2441" s="11"/>
      <c r="N2441" s="44" t="n">
        <v>16.62</v>
      </c>
      <c r="O2441" s="11"/>
    </row>
    <row r="2442" customFormat="false" ht="14.25" hidden="false" customHeight="true" outlineLevel="0" collapsed="false">
      <c r="C2442" s="11"/>
      <c r="D2442" s="11"/>
      <c r="E2442" s="11"/>
      <c r="F2442" s="11"/>
      <c r="G2442" s="11"/>
      <c r="H2442" s="11"/>
      <c r="I2442" s="11"/>
      <c r="J2442" s="11"/>
      <c r="K2442" s="11"/>
      <c r="L2442" s="11"/>
      <c r="M2442" s="11"/>
      <c r="N2442" s="44" t="n">
        <v>16.65</v>
      </c>
      <c r="O2442" s="11"/>
    </row>
    <row r="2443" customFormat="false" ht="14.25" hidden="false" customHeight="true" outlineLevel="0" collapsed="false">
      <c r="C2443" s="11"/>
      <c r="D2443" s="11"/>
      <c r="E2443" s="11"/>
      <c r="F2443" s="11"/>
      <c r="G2443" s="11"/>
      <c r="H2443" s="11"/>
      <c r="I2443" s="11"/>
      <c r="J2443" s="11"/>
      <c r="K2443" s="11"/>
      <c r="L2443" s="11"/>
      <c r="M2443" s="11"/>
      <c r="N2443" s="44" t="n">
        <v>16.52</v>
      </c>
      <c r="O2443" s="11"/>
    </row>
    <row r="2444" customFormat="false" ht="14.25" hidden="false" customHeight="true" outlineLevel="0" collapsed="false">
      <c r="C2444" s="11"/>
      <c r="D2444" s="11"/>
      <c r="E2444" s="11"/>
      <c r="F2444" s="11"/>
      <c r="G2444" s="11"/>
      <c r="H2444" s="11"/>
      <c r="I2444" s="11"/>
      <c r="J2444" s="11"/>
      <c r="K2444" s="11"/>
      <c r="L2444" s="11"/>
      <c r="M2444" s="11"/>
      <c r="N2444" s="44" t="n">
        <v>16.59</v>
      </c>
      <c r="O2444" s="11"/>
    </row>
    <row r="2445" customFormat="false" ht="14.25" hidden="false" customHeight="true" outlineLevel="0" collapsed="false">
      <c r="C2445" s="11"/>
      <c r="D2445" s="11"/>
      <c r="E2445" s="11"/>
      <c r="F2445" s="11"/>
      <c r="G2445" s="11"/>
      <c r="H2445" s="11"/>
      <c r="I2445" s="11"/>
      <c r="J2445" s="11"/>
      <c r="K2445" s="11"/>
      <c r="L2445" s="11"/>
      <c r="M2445" s="11"/>
      <c r="N2445" s="44" t="n">
        <v>16.49</v>
      </c>
      <c r="O2445" s="11"/>
    </row>
    <row r="2446" customFormat="false" ht="14.25" hidden="false" customHeight="true" outlineLevel="0" collapsed="false">
      <c r="C2446" s="11"/>
      <c r="D2446" s="11"/>
      <c r="E2446" s="11"/>
      <c r="F2446" s="11"/>
      <c r="G2446" s="11"/>
      <c r="H2446" s="11"/>
      <c r="I2446" s="11"/>
      <c r="J2446" s="11"/>
      <c r="K2446" s="11"/>
      <c r="L2446" s="11"/>
      <c r="M2446" s="11"/>
      <c r="N2446" s="44" t="n">
        <v>16.48</v>
      </c>
      <c r="O2446" s="11"/>
    </row>
    <row r="2447" customFormat="false" ht="14.25" hidden="false" customHeight="true" outlineLevel="0" collapsed="false">
      <c r="C2447" s="11"/>
      <c r="D2447" s="11"/>
      <c r="E2447" s="11"/>
      <c r="F2447" s="11"/>
      <c r="G2447" s="11"/>
      <c r="H2447" s="11"/>
      <c r="I2447" s="11"/>
      <c r="J2447" s="11"/>
      <c r="K2447" s="11"/>
      <c r="L2447" s="11"/>
      <c r="M2447" s="11"/>
      <c r="N2447" s="44" t="n">
        <v>16.3</v>
      </c>
      <c r="O2447" s="11"/>
    </row>
    <row r="2448" customFormat="false" ht="14.25" hidden="false" customHeight="true" outlineLevel="0" collapsed="false">
      <c r="C2448" s="11"/>
      <c r="D2448" s="11"/>
      <c r="E2448" s="11"/>
      <c r="F2448" s="11"/>
      <c r="G2448" s="11"/>
      <c r="H2448" s="11"/>
      <c r="I2448" s="11"/>
      <c r="J2448" s="11"/>
      <c r="K2448" s="11"/>
      <c r="L2448" s="11"/>
      <c r="M2448" s="11"/>
      <c r="N2448" s="44" t="n">
        <v>16.62</v>
      </c>
      <c r="O2448" s="11"/>
    </row>
    <row r="2449" customFormat="false" ht="14.25" hidden="false" customHeight="true" outlineLevel="0" collapsed="false">
      <c r="C2449" s="11"/>
      <c r="D2449" s="11"/>
      <c r="E2449" s="11"/>
      <c r="F2449" s="11"/>
      <c r="G2449" s="11"/>
      <c r="H2449" s="11"/>
      <c r="I2449" s="11"/>
      <c r="J2449" s="11"/>
      <c r="K2449" s="11"/>
      <c r="L2449" s="11"/>
      <c r="M2449" s="11"/>
      <c r="N2449" s="44" t="n">
        <v>15.89</v>
      </c>
      <c r="O2449" s="11"/>
    </row>
    <row r="2450" customFormat="false" ht="14.25" hidden="false" customHeight="true" outlineLevel="0" collapsed="false">
      <c r="C2450" s="11"/>
      <c r="D2450" s="11"/>
      <c r="E2450" s="11"/>
      <c r="F2450" s="11"/>
      <c r="G2450" s="11"/>
      <c r="H2450" s="11"/>
      <c r="I2450" s="11"/>
      <c r="J2450" s="11"/>
      <c r="K2450" s="11"/>
      <c r="L2450" s="11"/>
      <c r="M2450" s="11"/>
      <c r="N2450" s="44" t="n">
        <v>16.13</v>
      </c>
      <c r="O2450" s="11"/>
    </row>
    <row r="2451" customFormat="false" ht="14.25" hidden="false" customHeight="true" outlineLevel="0" collapsed="false">
      <c r="C2451" s="11"/>
      <c r="D2451" s="11"/>
      <c r="E2451" s="11"/>
      <c r="F2451" s="11"/>
      <c r="G2451" s="11"/>
      <c r="H2451" s="11"/>
      <c r="I2451" s="11"/>
      <c r="J2451" s="11"/>
      <c r="K2451" s="11"/>
      <c r="L2451" s="11"/>
      <c r="M2451" s="11"/>
      <c r="N2451" s="44" t="n">
        <v>16.21</v>
      </c>
      <c r="O2451" s="11"/>
    </row>
    <row r="2452" customFormat="false" ht="14.25" hidden="false" customHeight="true" outlineLevel="0" collapsed="false">
      <c r="C2452" s="11"/>
      <c r="D2452" s="11"/>
      <c r="E2452" s="11"/>
      <c r="F2452" s="11"/>
      <c r="G2452" s="11"/>
      <c r="H2452" s="11"/>
      <c r="I2452" s="11"/>
      <c r="J2452" s="11"/>
      <c r="K2452" s="11"/>
      <c r="L2452" s="11"/>
      <c r="M2452" s="11"/>
      <c r="N2452" s="44" t="n">
        <v>16.14</v>
      </c>
      <c r="O2452" s="11"/>
    </row>
    <row r="2453" customFormat="false" ht="14.25" hidden="false" customHeight="true" outlineLevel="0" collapsed="false">
      <c r="C2453" s="11"/>
      <c r="D2453" s="11"/>
      <c r="E2453" s="11"/>
      <c r="F2453" s="11"/>
      <c r="G2453" s="11"/>
      <c r="H2453" s="11"/>
      <c r="I2453" s="11"/>
      <c r="J2453" s="11"/>
      <c r="K2453" s="11"/>
      <c r="L2453" s="11"/>
      <c r="M2453" s="11"/>
      <c r="N2453" s="44" t="n">
        <v>16.22</v>
      </c>
      <c r="O2453" s="11"/>
    </row>
    <row r="2454" customFormat="false" ht="14.25" hidden="false" customHeight="true" outlineLevel="0" collapsed="false">
      <c r="C2454" s="11"/>
      <c r="D2454" s="11"/>
      <c r="E2454" s="11"/>
      <c r="F2454" s="11"/>
      <c r="G2454" s="11"/>
      <c r="H2454" s="11"/>
      <c r="I2454" s="11"/>
      <c r="J2454" s="11"/>
      <c r="K2454" s="11"/>
      <c r="L2454" s="11"/>
      <c r="M2454" s="11"/>
      <c r="N2454" s="44" t="n">
        <v>16.3</v>
      </c>
      <c r="O2454" s="11"/>
    </row>
    <row r="2455" customFormat="false" ht="14.25" hidden="false" customHeight="true" outlineLevel="0" collapsed="false">
      <c r="C2455" s="11"/>
      <c r="D2455" s="11"/>
      <c r="E2455" s="11"/>
      <c r="F2455" s="11"/>
      <c r="G2455" s="11"/>
      <c r="H2455" s="11"/>
      <c r="I2455" s="11"/>
      <c r="J2455" s="11"/>
      <c r="K2455" s="11"/>
      <c r="L2455" s="11"/>
      <c r="M2455" s="11"/>
      <c r="N2455" s="44" t="n">
        <v>16.19</v>
      </c>
      <c r="O2455" s="11"/>
    </row>
    <row r="2456" customFormat="false" ht="14.25" hidden="false" customHeight="true" outlineLevel="0" collapsed="false">
      <c r="C2456" s="11"/>
      <c r="D2456" s="11"/>
      <c r="E2456" s="11"/>
      <c r="F2456" s="11"/>
      <c r="G2456" s="11"/>
      <c r="H2456" s="11"/>
      <c r="I2456" s="11"/>
      <c r="J2456" s="11"/>
      <c r="K2456" s="11"/>
      <c r="L2456" s="11"/>
      <c r="M2456" s="11"/>
      <c r="N2456" s="44" t="n">
        <v>16.65</v>
      </c>
      <c r="O2456" s="11"/>
    </row>
    <row r="2457" customFormat="false" ht="14.25" hidden="false" customHeight="true" outlineLevel="0" collapsed="false">
      <c r="C2457" s="11"/>
      <c r="D2457" s="11"/>
      <c r="E2457" s="11"/>
      <c r="F2457" s="11"/>
      <c r="G2457" s="11"/>
      <c r="H2457" s="11"/>
      <c r="I2457" s="11"/>
      <c r="J2457" s="11"/>
      <c r="K2457" s="11"/>
      <c r="L2457" s="11"/>
      <c r="M2457" s="11"/>
      <c r="N2457" s="44" t="n">
        <v>16.41</v>
      </c>
      <c r="O2457" s="11"/>
    </row>
    <row r="2458" customFormat="false" ht="14.25" hidden="false" customHeight="true" outlineLevel="0" collapsed="false">
      <c r="C2458" s="11"/>
      <c r="D2458" s="11"/>
      <c r="E2458" s="11"/>
      <c r="F2458" s="11"/>
      <c r="G2458" s="11"/>
      <c r="H2458" s="11"/>
      <c r="I2458" s="11"/>
      <c r="J2458" s="11"/>
      <c r="K2458" s="11"/>
      <c r="L2458" s="11"/>
      <c r="M2458" s="11"/>
      <c r="N2458" s="44" t="n">
        <v>16.27</v>
      </c>
      <c r="O2458" s="11"/>
    </row>
    <row r="2459" customFormat="false" ht="14.25" hidden="false" customHeight="true" outlineLevel="0" collapsed="false">
      <c r="C2459" s="11"/>
      <c r="D2459" s="11"/>
      <c r="E2459" s="11"/>
      <c r="F2459" s="11"/>
      <c r="G2459" s="11"/>
      <c r="H2459" s="11"/>
      <c r="I2459" s="11"/>
      <c r="J2459" s="11"/>
      <c r="K2459" s="11"/>
      <c r="L2459" s="11"/>
      <c r="M2459" s="11"/>
      <c r="N2459" s="44" t="n">
        <v>16.1</v>
      </c>
      <c r="O2459" s="11"/>
    </row>
    <row r="2460" customFormat="false" ht="14.25" hidden="false" customHeight="true" outlineLevel="0" collapsed="false">
      <c r="C2460" s="11"/>
      <c r="D2460" s="11"/>
      <c r="E2460" s="11"/>
      <c r="F2460" s="11"/>
      <c r="G2460" s="11"/>
      <c r="H2460" s="11"/>
      <c r="I2460" s="11"/>
      <c r="J2460" s="11"/>
      <c r="K2460" s="11"/>
      <c r="L2460" s="11"/>
      <c r="M2460" s="11"/>
      <c r="N2460" s="44" t="n">
        <v>16.22</v>
      </c>
      <c r="O2460" s="11"/>
    </row>
    <row r="2461" customFormat="false" ht="14.25" hidden="false" customHeight="true" outlineLevel="0" collapsed="false">
      <c r="C2461" s="11"/>
      <c r="D2461" s="11"/>
      <c r="E2461" s="11"/>
      <c r="F2461" s="11"/>
      <c r="G2461" s="11"/>
      <c r="H2461" s="11"/>
      <c r="I2461" s="11"/>
      <c r="J2461" s="11"/>
      <c r="K2461" s="11"/>
      <c r="L2461" s="11"/>
      <c r="M2461" s="11"/>
      <c r="N2461" s="44" t="n">
        <v>16.25</v>
      </c>
      <c r="O2461" s="11"/>
    </row>
    <row r="2462" customFormat="false" ht="14.25" hidden="false" customHeight="true" outlineLevel="0" collapsed="false">
      <c r="C2462" s="11"/>
      <c r="D2462" s="11"/>
      <c r="E2462" s="11"/>
      <c r="F2462" s="11"/>
      <c r="G2462" s="11"/>
      <c r="H2462" s="11"/>
      <c r="I2462" s="11"/>
      <c r="J2462" s="11"/>
      <c r="K2462" s="11"/>
      <c r="L2462" s="11"/>
      <c r="M2462" s="11"/>
      <c r="N2462" s="44" t="n">
        <v>16.57</v>
      </c>
      <c r="O2462" s="11"/>
    </row>
    <row r="2463" customFormat="false" ht="14.25" hidden="false" customHeight="true" outlineLevel="0" collapsed="false">
      <c r="C2463" s="11"/>
      <c r="D2463" s="11"/>
      <c r="E2463" s="11"/>
      <c r="F2463" s="11"/>
      <c r="G2463" s="11"/>
      <c r="H2463" s="11"/>
      <c r="I2463" s="11"/>
      <c r="J2463" s="11"/>
      <c r="K2463" s="11"/>
      <c r="L2463" s="11"/>
      <c r="M2463" s="11"/>
      <c r="N2463" s="44" t="n">
        <v>16.61</v>
      </c>
      <c r="O2463" s="11"/>
    </row>
    <row r="2464" customFormat="false" ht="14.25" hidden="false" customHeight="true" outlineLevel="0" collapsed="false">
      <c r="C2464" s="11"/>
      <c r="D2464" s="11"/>
      <c r="E2464" s="11"/>
      <c r="F2464" s="11"/>
      <c r="G2464" s="11"/>
      <c r="H2464" s="11"/>
      <c r="I2464" s="11"/>
      <c r="J2464" s="11"/>
      <c r="K2464" s="11"/>
      <c r="L2464" s="11"/>
      <c r="M2464" s="11"/>
      <c r="N2464" s="44" t="n">
        <v>16.58</v>
      </c>
      <c r="O2464" s="11"/>
    </row>
    <row r="2465" customFormat="false" ht="14.25" hidden="false" customHeight="true" outlineLevel="0" collapsed="false">
      <c r="C2465" s="11"/>
      <c r="D2465" s="11"/>
      <c r="E2465" s="11"/>
      <c r="F2465" s="11"/>
      <c r="G2465" s="11"/>
      <c r="H2465" s="11"/>
      <c r="I2465" s="11"/>
      <c r="J2465" s="11"/>
      <c r="K2465" s="11"/>
      <c r="L2465" s="11"/>
      <c r="M2465" s="11"/>
      <c r="N2465" s="44" t="n">
        <v>16.68</v>
      </c>
      <c r="O2465" s="11"/>
    </row>
    <row r="2466" customFormat="false" ht="14.25" hidden="false" customHeight="true" outlineLevel="0" collapsed="false">
      <c r="C2466" s="11"/>
      <c r="D2466" s="11"/>
      <c r="E2466" s="11"/>
      <c r="F2466" s="11"/>
      <c r="G2466" s="11"/>
      <c r="H2466" s="11"/>
      <c r="I2466" s="11"/>
      <c r="J2466" s="11"/>
      <c r="K2466" s="11"/>
      <c r="L2466" s="11"/>
      <c r="M2466" s="11"/>
      <c r="N2466" s="44" t="n">
        <v>16.72</v>
      </c>
      <c r="O2466" s="11"/>
    </row>
    <row r="2467" customFormat="false" ht="14.25" hidden="false" customHeight="true" outlineLevel="0" collapsed="false">
      <c r="C2467" s="11"/>
      <c r="D2467" s="11"/>
      <c r="E2467" s="11"/>
      <c r="F2467" s="11"/>
      <c r="G2467" s="11"/>
      <c r="H2467" s="11"/>
      <c r="I2467" s="11"/>
      <c r="J2467" s="11"/>
      <c r="K2467" s="11"/>
      <c r="L2467" s="11"/>
      <c r="M2467" s="11"/>
      <c r="N2467" s="44" t="n">
        <v>16.6</v>
      </c>
      <c r="O2467" s="11"/>
    </row>
    <row r="2468" customFormat="false" ht="14.25" hidden="false" customHeight="true" outlineLevel="0" collapsed="false">
      <c r="C2468" s="11"/>
      <c r="D2468" s="11"/>
      <c r="E2468" s="11"/>
      <c r="F2468" s="11"/>
      <c r="G2468" s="11"/>
      <c r="H2468" s="11"/>
      <c r="I2468" s="11"/>
      <c r="J2468" s="11"/>
      <c r="K2468" s="11"/>
      <c r="L2468" s="11"/>
      <c r="M2468" s="11"/>
      <c r="N2468" s="44" t="n">
        <v>16.49</v>
      </c>
      <c r="O2468" s="11"/>
    </row>
    <row r="2469" customFormat="false" ht="14.25" hidden="false" customHeight="true" outlineLevel="0" collapsed="false">
      <c r="C2469" s="11"/>
      <c r="D2469" s="11"/>
      <c r="E2469" s="11"/>
      <c r="F2469" s="11"/>
      <c r="G2469" s="11"/>
      <c r="H2469" s="11"/>
      <c r="I2469" s="11"/>
      <c r="J2469" s="11"/>
      <c r="K2469" s="11"/>
      <c r="L2469" s="11"/>
      <c r="M2469" s="11"/>
      <c r="N2469" s="44" t="n">
        <v>16.19</v>
      </c>
      <c r="O2469" s="11"/>
    </row>
    <row r="2470" customFormat="false" ht="14.25" hidden="false" customHeight="true" outlineLevel="0" collapsed="false">
      <c r="C2470" s="11"/>
      <c r="D2470" s="11"/>
      <c r="E2470" s="11"/>
      <c r="F2470" s="11"/>
      <c r="G2470" s="11"/>
      <c r="H2470" s="11"/>
      <c r="I2470" s="11"/>
      <c r="J2470" s="11"/>
      <c r="K2470" s="11"/>
      <c r="L2470" s="11"/>
      <c r="M2470" s="11"/>
      <c r="N2470" s="44" t="n">
        <v>16.13</v>
      </c>
      <c r="O2470" s="11"/>
    </row>
    <row r="2471" customFormat="false" ht="14.25" hidden="false" customHeight="true" outlineLevel="0" collapsed="false">
      <c r="C2471" s="11"/>
      <c r="D2471" s="11"/>
      <c r="E2471" s="11"/>
      <c r="F2471" s="11"/>
      <c r="G2471" s="11"/>
      <c r="H2471" s="11"/>
      <c r="I2471" s="11"/>
      <c r="J2471" s="11"/>
      <c r="K2471" s="11"/>
      <c r="L2471" s="11"/>
      <c r="M2471" s="11"/>
      <c r="N2471" s="44" t="n">
        <v>16.01</v>
      </c>
      <c r="O2471" s="11"/>
    </row>
    <row r="2472" customFormat="false" ht="14.25" hidden="false" customHeight="true" outlineLevel="0" collapsed="false">
      <c r="C2472" s="11"/>
      <c r="D2472" s="11"/>
      <c r="E2472" s="11"/>
      <c r="F2472" s="11"/>
      <c r="G2472" s="11"/>
      <c r="H2472" s="11"/>
      <c r="I2472" s="11"/>
      <c r="J2472" s="11"/>
      <c r="K2472" s="11"/>
      <c r="L2472" s="11"/>
      <c r="M2472" s="11"/>
      <c r="N2472" s="44" t="n">
        <v>16</v>
      </c>
      <c r="O2472" s="11"/>
    </row>
    <row r="2473" customFormat="false" ht="14.25" hidden="false" customHeight="true" outlineLevel="0" collapsed="false">
      <c r="C2473" s="11"/>
      <c r="D2473" s="11"/>
      <c r="E2473" s="11"/>
      <c r="F2473" s="11"/>
      <c r="G2473" s="11"/>
      <c r="H2473" s="11"/>
      <c r="I2473" s="11"/>
      <c r="J2473" s="11"/>
      <c r="K2473" s="11"/>
      <c r="L2473" s="11"/>
      <c r="M2473" s="11"/>
      <c r="N2473" s="44" t="n">
        <v>16.38</v>
      </c>
      <c r="O2473" s="11"/>
    </row>
    <row r="2474" customFormat="false" ht="14.25" hidden="false" customHeight="true" outlineLevel="0" collapsed="false">
      <c r="C2474" s="11"/>
      <c r="D2474" s="11"/>
      <c r="E2474" s="11"/>
      <c r="F2474" s="11"/>
      <c r="G2474" s="11"/>
      <c r="H2474" s="11"/>
      <c r="I2474" s="11"/>
      <c r="J2474" s="11"/>
      <c r="K2474" s="11"/>
      <c r="L2474" s="11"/>
      <c r="M2474" s="11"/>
      <c r="N2474" s="44" t="n">
        <v>16.1</v>
      </c>
      <c r="O2474" s="11"/>
    </row>
    <row r="2475" customFormat="false" ht="14.25" hidden="false" customHeight="true" outlineLevel="0" collapsed="false">
      <c r="C2475" s="11"/>
      <c r="D2475" s="11"/>
      <c r="E2475" s="11"/>
      <c r="F2475" s="11"/>
      <c r="G2475" s="11"/>
      <c r="H2475" s="11"/>
      <c r="I2475" s="11"/>
      <c r="J2475" s="11"/>
      <c r="K2475" s="11"/>
      <c r="L2475" s="11"/>
      <c r="M2475" s="11"/>
      <c r="N2475" s="44" t="n">
        <v>16.22</v>
      </c>
      <c r="O2475" s="11"/>
    </row>
    <row r="2476" customFormat="false" ht="14.25" hidden="false" customHeight="true" outlineLevel="0" collapsed="false">
      <c r="C2476" s="11"/>
      <c r="D2476" s="11"/>
      <c r="E2476" s="11"/>
      <c r="F2476" s="11"/>
      <c r="G2476" s="11"/>
      <c r="H2476" s="11"/>
      <c r="I2476" s="11"/>
      <c r="J2476" s="11"/>
      <c r="K2476" s="11"/>
      <c r="L2476" s="11"/>
      <c r="M2476" s="11"/>
      <c r="N2476" s="44" t="n">
        <v>17.63</v>
      </c>
      <c r="O2476" s="11"/>
    </row>
    <row r="2477" customFormat="false" ht="14.25" hidden="false" customHeight="true" outlineLevel="0" collapsed="false">
      <c r="C2477" s="11"/>
      <c r="D2477" s="11"/>
      <c r="E2477" s="11"/>
      <c r="F2477" s="11"/>
      <c r="G2477" s="11"/>
      <c r="H2477" s="11"/>
      <c r="I2477" s="11"/>
      <c r="J2477" s="11"/>
      <c r="K2477" s="11"/>
      <c r="L2477" s="11"/>
      <c r="M2477" s="11"/>
      <c r="N2477" s="44" t="n">
        <v>17.3</v>
      </c>
      <c r="O2477" s="11"/>
    </row>
    <row r="2478" customFormat="false" ht="14.25" hidden="false" customHeight="true" outlineLevel="0" collapsed="false">
      <c r="C2478" s="11"/>
      <c r="D2478" s="11"/>
      <c r="E2478" s="11"/>
      <c r="F2478" s="11"/>
      <c r="G2478" s="11"/>
      <c r="H2478" s="11"/>
      <c r="I2478" s="11"/>
      <c r="J2478" s="11"/>
      <c r="K2478" s="11"/>
      <c r="L2478" s="11"/>
      <c r="M2478" s="11"/>
      <c r="N2478" s="44" t="n">
        <v>17.36</v>
      </c>
      <c r="O2478" s="11"/>
    </row>
    <row r="2479" customFormat="false" ht="14.25" hidden="false" customHeight="true" outlineLevel="0" collapsed="false">
      <c r="C2479" s="11"/>
      <c r="D2479" s="11"/>
      <c r="E2479" s="11"/>
      <c r="F2479" s="11"/>
      <c r="G2479" s="11"/>
      <c r="H2479" s="11"/>
      <c r="I2479" s="11"/>
      <c r="J2479" s="11"/>
      <c r="K2479" s="11"/>
      <c r="L2479" s="11"/>
      <c r="M2479" s="11"/>
      <c r="N2479" s="44" t="n">
        <v>17.16</v>
      </c>
      <c r="O2479" s="11"/>
    </row>
    <row r="2480" customFormat="false" ht="14.25" hidden="false" customHeight="true" outlineLevel="0" collapsed="false">
      <c r="C2480" s="11"/>
      <c r="D2480" s="11"/>
      <c r="E2480" s="11"/>
      <c r="F2480" s="11"/>
      <c r="G2480" s="11"/>
      <c r="H2480" s="11"/>
      <c r="I2480" s="11"/>
      <c r="J2480" s="11"/>
      <c r="K2480" s="11"/>
      <c r="L2480" s="11"/>
      <c r="M2480" s="11"/>
      <c r="N2480" s="44" t="n">
        <v>17.18</v>
      </c>
      <c r="O2480" s="11"/>
    </row>
    <row r="2481" customFormat="false" ht="14.25" hidden="false" customHeight="true" outlineLevel="0" collapsed="false">
      <c r="C2481" s="11"/>
      <c r="D2481" s="11"/>
      <c r="E2481" s="11"/>
      <c r="F2481" s="11"/>
      <c r="G2481" s="11"/>
      <c r="H2481" s="11"/>
      <c r="I2481" s="11"/>
      <c r="J2481" s="11"/>
      <c r="K2481" s="11"/>
      <c r="L2481" s="11"/>
      <c r="M2481" s="11"/>
      <c r="N2481" s="44" t="n">
        <v>17.36</v>
      </c>
      <c r="O2481" s="11"/>
    </row>
    <row r="2482" customFormat="false" ht="14.25" hidden="false" customHeight="true" outlineLevel="0" collapsed="false">
      <c r="C2482" s="11"/>
      <c r="D2482" s="11"/>
      <c r="E2482" s="11"/>
      <c r="F2482" s="11"/>
      <c r="G2482" s="11"/>
      <c r="H2482" s="11"/>
      <c r="I2482" s="11"/>
      <c r="J2482" s="11"/>
      <c r="K2482" s="11"/>
      <c r="L2482" s="11"/>
      <c r="M2482" s="11"/>
      <c r="N2482" s="44" t="n">
        <v>17.36</v>
      </c>
      <c r="O2482" s="11"/>
    </row>
    <row r="2483" customFormat="false" ht="14.25" hidden="false" customHeight="true" outlineLevel="0" collapsed="false">
      <c r="C2483" s="11"/>
      <c r="D2483" s="11"/>
      <c r="E2483" s="11"/>
      <c r="F2483" s="11"/>
      <c r="G2483" s="11"/>
      <c r="H2483" s="11"/>
      <c r="I2483" s="11"/>
      <c r="J2483" s="11"/>
      <c r="K2483" s="11"/>
      <c r="L2483" s="11"/>
      <c r="M2483" s="11"/>
      <c r="N2483" s="44" t="n">
        <v>17.44</v>
      </c>
      <c r="O2483" s="11"/>
    </row>
    <row r="2484" customFormat="false" ht="14.25" hidden="false" customHeight="true" outlineLevel="0" collapsed="false">
      <c r="C2484" s="11"/>
      <c r="D2484" s="11"/>
      <c r="E2484" s="11"/>
      <c r="F2484" s="11"/>
      <c r="G2484" s="11"/>
      <c r="H2484" s="11"/>
      <c r="I2484" s="11"/>
      <c r="J2484" s="11"/>
      <c r="K2484" s="11"/>
      <c r="L2484" s="11"/>
      <c r="M2484" s="11"/>
      <c r="N2484" s="44" t="n">
        <v>17.18</v>
      </c>
      <c r="O2484" s="11"/>
    </row>
    <row r="2485" customFormat="false" ht="14.25" hidden="false" customHeight="true" outlineLevel="0" collapsed="false">
      <c r="C2485" s="11"/>
      <c r="D2485" s="11"/>
      <c r="E2485" s="11"/>
      <c r="F2485" s="11"/>
      <c r="G2485" s="11"/>
      <c r="H2485" s="11"/>
      <c r="I2485" s="11"/>
      <c r="J2485" s="11"/>
      <c r="K2485" s="11"/>
      <c r="L2485" s="11"/>
      <c r="M2485" s="11"/>
      <c r="N2485" s="44" t="n">
        <v>17.22</v>
      </c>
      <c r="O2485" s="11"/>
    </row>
    <row r="2486" customFormat="false" ht="14.25" hidden="false" customHeight="true" outlineLevel="0" collapsed="false">
      <c r="C2486" s="11"/>
      <c r="D2486" s="11"/>
      <c r="E2486" s="11"/>
      <c r="F2486" s="11"/>
      <c r="G2486" s="11"/>
      <c r="H2486" s="11"/>
      <c r="I2486" s="11"/>
      <c r="J2486" s="11"/>
      <c r="K2486" s="11"/>
      <c r="L2486" s="11"/>
      <c r="M2486" s="11"/>
      <c r="N2486" s="44" t="n">
        <v>16.9</v>
      </c>
      <c r="O2486" s="11"/>
    </row>
    <row r="2487" customFormat="false" ht="14.25" hidden="false" customHeight="true" outlineLevel="0" collapsed="false">
      <c r="C2487" s="11"/>
      <c r="D2487" s="11"/>
      <c r="E2487" s="11"/>
      <c r="F2487" s="11"/>
      <c r="G2487" s="11"/>
      <c r="H2487" s="11"/>
      <c r="I2487" s="11"/>
      <c r="J2487" s="11"/>
      <c r="K2487" s="11"/>
      <c r="L2487" s="11"/>
      <c r="M2487" s="11"/>
      <c r="N2487" s="44" t="n">
        <v>16.89</v>
      </c>
      <c r="O2487" s="11"/>
    </row>
    <row r="2488" customFormat="false" ht="14.25" hidden="false" customHeight="true" outlineLevel="0" collapsed="false">
      <c r="C2488" s="11"/>
      <c r="D2488" s="11"/>
      <c r="E2488" s="11"/>
      <c r="F2488" s="11"/>
      <c r="G2488" s="11"/>
      <c r="H2488" s="11"/>
      <c r="I2488" s="11"/>
      <c r="J2488" s="11"/>
      <c r="K2488" s="11"/>
      <c r="L2488" s="11"/>
      <c r="M2488" s="11"/>
      <c r="N2488" s="44" t="n">
        <v>16.69</v>
      </c>
      <c r="O2488" s="11"/>
    </row>
    <row r="2489" customFormat="false" ht="14.25" hidden="false" customHeight="true" outlineLevel="0" collapsed="false">
      <c r="C2489" s="11"/>
      <c r="D2489" s="11"/>
      <c r="E2489" s="11"/>
      <c r="F2489" s="11"/>
      <c r="G2489" s="11"/>
      <c r="H2489" s="11"/>
      <c r="I2489" s="11"/>
      <c r="J2489" s="11"/>
      <c r="K2489" s="11"/>
      <c r="L2489" s="11"/>
      <c r="M2489" s="11"/>
      <c r="N2489" s="44" t="n">
        <v>16.89</v>
      </c>
      <c r="O2489" s="11"/>
    </row>
    <row r="2490" customFormat="false" ht="14.25" hidden="false" customHeight="true" outlineLevel="0" collapsed="false">
      <c r="C2490" s="11"/>
      <c r="D2490" s="11"/>
      <c r="E2490" s="11"/>
      <c r="F2490" s="11"/>
      <c r="G2490" s="11"/>
      <c r="H2490" s="11"/>
      <c r="I2490" s="11"/>
      <c r="J2490" s="11"/>
      <c r="K2490" s="11"/>
      <c r="L2490" s="11"/>
      <c r="M2490" s="11"/>
      <c r="N2490" s="44" t="n">
        <v>16.89</v>
      </c>
      <c r="O2490" s="11"/>
    </row>
    <row r="2491" customFormat="false" ht="14.25" hidden="false" customHeight="true" outlineLevel="0" collapsed="false">
      <c r="C2491" s="11"/>
      <c r="D2491" s="11"/>
      <c r="E2491" s="11"/>
      <c r="F2491" s="11"/>
      <c r="G2491" s="11"/>
      <c r="H2491" s="11"/>
      <c r="I2491" s="11"/>
      <c r="J2491" s="11"/>
      <c r="K2491" s="11"/>
      <c r="L2491" s="11"/>
      <c r="M2491" s="11"/>
      <c r="N2491" s="44" t="n">
        <v>16.82</v>
      </c>
      <c r="O2491" s="11"/>
    </row>
    <row r="2492" customFormat="false" ht="14.25" hidden="false" customHeight="true" outlineLevel="0" collapsed="false">
      <c r="C2492" s="11"/>
      <c r="D2492" s="11"/>
      <c r="E2492" s="11"/>
      <c r="F2492" s="11"/>
      <c r="G2492" s="11"/>
      <c r="H2492" s="11"/>
      <c r="I2492" s="11"/>
      <c r="J2492" s="11"/>
      <c r="K2492" s="11"/>
      <c r="L2492" s="11"/>
      <c r="M2492" s="11"/>
      <c r="N2492" s="44" t="n">
        <v>17.06</v>
      </c>
      <c r="O2492" s="11"/>
    </row>
    <row r="2493" customFormat="false" ht="14.25" hidden="false" customHeight="true" outlineLevel="0" collapsed="false">
      <c r="C2493" s="11"/>
      <c r="D2493" s="11"/>
      <c r="E2493" s="11"/>
      <c r="F2493" s="11"/>
      <c r="G2493" s="11"/>
      <c r="H2493" s="11"/>
      <c r="I2493" s="11"/>
      <c r="J2493" s="11"/>
      <c r="K2493" s="11"/>
      <c r="L2493" s="11"/>
      <c r="M2493" s="11"/>
      <c r="N2493" s="44" t="n">
        <v>17.14</v>
      </c>
      <c r="O2493" s="11"/>
    </row>
    <row r="2494" customFormat="false" ht="14.25" hidden="false" customHeight="true" outlineLevel="0" collapsed="false">
      <c r="C2494" s="11"/>
      <c r="D2494" s="11"/>
      <c r="E2494" s="11"/>
      <c r="F2494" s="11"/>
      <c r="G2494" s="11"/>
      <c r="H2494" s="11"/>
      <c r="I2494" s="11"/>
      <c r="J2494" s="11"/>
      <c r="K2494" s="11"/>
      <c r="L2494" s="11"/>
      <c r="M2494" s="11"/>
      <c r="N2494" s="44" t="n">
        <v>16.86</v>
      </c>
      <c r="O2494" s="11"/>
    </row>
    <row r="2495" customFormat="false" ht="14.25" hidden="false" customHeight="true" outlineLevel="0" collapsed="false">
      <c r="C2495" s="11"/>
      <c r="D2495" s="11"/>
      <c r="E2495" s="11"/>
      <c r="F2495" s="11"/>
      <c r="G2495" s="11"/>
      <c r="H2495" s="11"/>
      <c r="I2495" s="11"/>
      <c r="J2495" s="11"/>
      <c r="K2495" s="11"/>
      <c r="L2495" s="11"/>
      <c r="M2495" s="11"/>
      <c r="N2495" s="44" t="n">
        <v>17.03</v>
      </c>
      <c r="O2495" s="11"/>
    </row>
    <row r="2496" customFormat="false" ht="14.25" hidden="false" customHeight="true" outlineLevel="0" collapsed="false">
      <c r="C2496" s="11"/>
      <c r="D2496" s="11"/>
      <c r="E2496" s="11"/>
      <c r="F2496" s="11"/>
      <c r="G2496" s="11"/>
      <c r="H2496" s="11"/>
      <c r="I2496" s="11"/>
      <c r="J2496" s="11"/>
      <c r="K2496" s="11"/>
      <c r="L2496" s="11"/>
      <c r="M2496" s="11"/>
      <c r="N2496" s="44" t="n">
        <v>17.02</v>
      </c>
      <c r="O2496" s="11"/>
    </row>
    <row r="2497" customFormat="false" ht="14.25" hidden="false" customHeight="true" outlineLevel="0" collapsed="false">
      <c r="C2497" s="11"/>
      <c r="D2497" s="11"/>
      <c r="E2497" s="11"/>
      <c r="F2497" s="11"/>
      <c r="G2497" s="11"/>
      <c r="H2497" s="11"/>
      <c r="I2497" s="11"/>
      <c r="J2497" s="11"/>
      <c r="K2497" s="11"/>
      <c r="L2497" s="11"/>
      <c r="M2497" s="11"/>
      <c r="N2497" s="44" t="n">
        <v>16.85</v>
      </c>
      <c r="O2497" s="11"/>
    </row>
    <row r="2498" customFormat="false" ht="14.25" hidden="false" customHeight="true" outlineLevel="0" collapsed="false">
      <c r="C2498" s="11"/>
      <c r="D2498" s="11"/>
      <c r="E2498" s="11"/>
      <c r="F2498" s="11"/>
      <c r="G2498" s="11"/>
      <c r="H2498" s="11"/>
      <c r="I2498" s="11"/>
      <c r="J2498" s="11"/>
      <c r="K2498" s="11"/>
      <c r="L2498" s="11"/>
      <c r="M2498" s="11"/>
      <c r="N2498" s="44" t="n">
        <v>17.13</v>
      </c>
      <c r="O2498" s="11"/>
    </row>
    <row r="2499" customFormat="false" ht="14.25" hidden="false" customHeight="true" outlineLevel="0" collapsed="false">
      <c r="C2499" s="11"/>
      <c r="D2499" s="11"/>
      <c r="E2499" s="11"/>
      <c r="F2499" s="11"/>
      <c r="G2499" s="11"/>
      <c r="H2499" s="11"/>
      <c r="I2499" s="11"/>
      <c r="J2499" s="11"/>
      <c r="K2499" s="11"/>
      <c r="L2499" s="11"/>
      <c r="M2499" s="11"/>
      <c r="N2499" s="44" t="n">
        <v>17.39</v>
      </c>
      <c r="O2499" s="11"/>
    </row>
    <row r="2500" customFormat="false" ht="14.25" hidden="false" customHeight="true" outlineLevel="0" collapsed="false">
      <c r="C2500" s="11"/>
      <c r="D2500" s="11"/>
      <c r="E2500" s="11"/>
      <c r="F2500" s="11"/>
      <c r="G2500" s="11"/>
      <c r="H2500" s="11"/>
      <c r="I2500" s="11"/>
      <c r="J2500" s="11"/>
      <c r="K2500" s="11"/>
      <c r="L2500" s="11"/>
      <c r="M2500" s="11"/>
      <c r="N2500" s="44" t="n">
        <v>17.46</v>
      </c>
      <c r="O2500" s="11"/>
    </row>
    <row r="2501" customFormat="false" ht="14.25" hidden="false" customHeight="true" outlineLevel="0" collapsed="false">
      <c r="C2501" s="11"/>
      <c r="D2501" s="11"/>
      <c r="E2501" s="11"/>
      <c r="F2501" s="11"/>
      <c r="G2501" s="11"/>
      <c r="H2501" s="11"/>
      <c r="I2501" s="11"/>
      <c r="J2501" s="11"/>
      <c r="K2501" s="11"/>
      <c r="L2501" s="11"/>
      <c r="M2501" s="11"/>
      <c r="N2501" s="44" t="n">
        <v>17.46</v>
      </c>
      <c r="O2501" s="11"/>
    </row>
    <row r="2502" customFormat="false" ht="14.25" hidden="false" customHeight="true" outlineLevel="0" collapsed="false">
      <c r="C2502" s="11"/>
      <c r="D2502" s="11"/>
      <c r="E2502" s="11"/>
      <c r="F2502" s="11"/>
      <c r="G2502" s="11"/>
      <c r="H2502" s="11"/>
      <c r="I2502" s="11"/>
      <c r="J2502" s="11"/>
      <c r="K2502" s="11"/>
      <c r="L2502" s="11"/>
      <c r="M2502" s="11"/>
      <c r="N2502" s="44" t="n">
        <v>17.25</v>
      </c>
      <c r="O2502" s="11"/>
    </row>
    <row r="2503" customFormat="false" ht="14.25" hidden="false" customHeight="true" outlineLevel="0" collapsed="false">
      <c r="C2503" s="11"/>
      <c r="D2503" s="11"/>
      <c r="E2503" s="11"/>
      <c r="F2503" s="11"/>
      <c r="G2503" s="11"/>
      <c r="H2503" s="11"/>
      <c r="I2503" s="11"/>
      <c r="J2503" s="11"/>
      <c r="K2503" s="11"/>
      <c r="L2503" s="11"/>
      <c r="M2503" s="11"/>
      <c r="N2503" s="44" t="n">
        <v>17.33</v>
      </c>
      <c r="O2503" s="11"/>
    </row>
    <row r="2504" customFormat="false" ht="14.25" hidden="false" customHeight="true" outlineLevel="0" collapsed="false">
      <c r="C2504" s="11"/>
      <c r="D2504" s="11"/>
      <c r="E2504" s="11"/>
      <c r="F2504" s="11"/>
      <c r="G2504" s="11"/>
      <c r="H2504" s="11"/>
      <c r="I2504" s="11"/>
      <c r="J2504" s="11"/>
      <c r="K2504" s="11"/>
      <c r="L2504" s="11"/>
      <c r="M2504" s="11"/>
      <c r="N2504" s="44" t="n">
        <v>17.33</v>
      </c>
      <c r="O2504" s="11"/>
    </row>
    <row r="2505" customFormat="false" ht="14.25" hidden="false" customHeight="true" outlineLevel="0" collapsed="false">
      <c r="C2505" s="11"/>
      <c r="D2505" s="11"/>
      <c r="E2505" s="11"/>
      <c r="F2505" s="11"/>
      <c r="G2505" s="11"/>
      <c r="H2505" s="11"/>
      <c r="I2505" s="11"/>
      <c r="J2505" s="11"/>
      <c r="K2505" s="11"/>
      <c r="L2505" s="11"/>
      <c r="M2505" s="11"/>
      <c r="N2505" s="44" t="n">
        <v>17.51</v>
      </c>
      <c r="O2505" s="11"/>
    </row>
    <row r="2506" customFormat="false" ht="14.25" hidden="false" customHeight="true" outlineLevel="0" collapsed="false">
      <c r="C2506" s="11"/>
      <c r="D2506" s="11"/>
      <c r="E2506" s="11"/>
      <c r="F2506" s="11"/>
      <c r="G2506" s="11"/>
      <c r="H2506" s="11"/>
      <c r="I2506" s="11"/>
      <c r="J2506" s="11"/>
      <c r="K2506" s="11"/>
      <c r="L2506" s="11"/>
      <c r="M2506" s="11"/>
      <c r="N2506" s="44" t="n">
        <v>17.29</v>
      </c>
      <c r="O2506" s="11"/>
    </row>
    <row r="2507" customFormat="false" ht="14.25" hidden="false" customHeight="true" outlineLevel="0" collapsed="false">
      <c r="C2507" s="11"/>
      <c r="D2507" s="11"/>
      <c r="E2507" s="11"/>
      <c r="F2507" s="11"/>
      <c r="G2507" s="11"/>
      <c r="H2507" s="11"/>
      <c r="I2507" s="11"/>
      <c r="J2507" s="11"/>
      <c r="K2507" s="11"/>
      <c r="L2507" s="11"/>
      <c r="M2507" s="11"/>
      <c r="N2507" s="44" t="n">
        <v>17.38</v>
      </c>
      <c r="O2507" s="11"/>
    </row>
    <row r="2508" customFormat="false" ht="14.25" hidden="false" customHeight="true" outlineLevel="0" collapsed="false">
      <c r="C2508" s="11"/>
      <c r="D2508" s="11"/>
      <c r="E2508" s="11"/>
      <c r="F2508" s="11"/>
      <c r="G2508" s="11"/>
      <c r="H2508" s="11"/>
      <c r="I2508" s="11"/>
      <c r="J2508" s="11"/>
      <c r="K2508" s="11"/>
      <c r="L2508" s="11"/>
      <c r="M2508" s="11"/>
      <c r="N2508" s="44" t="n">
        <v>16.91</v>
      </c>
      <c r="O2508" s="11"/>
    </row>
    <row r="2509" customFormat="false" ht="14.25" hidden="false" customHeight="true" outlineLevel="0" collapsed="false">
      <c r="C2509" s="11"/>
      <c r="D2509" s="11"/>
      <c r="E2509" s="11"/>
      <c r="F2509" s="11"/>
      <c r="G2509" s="11"/>
      <c r="H2509" s="11"/>
      <c r="I2509" s="11"/>
      <c r="J2509" s="11"/>
      <c r="K2509" s="11"/>
      <c r="L2509" s="11"/>
      <c r="M2509" s="11"/>
      <c r="N2509" s="44" t="n">
        <v>16.91</v>
      </c>
      <c r="O2509" s="11"/>
    </row>
    <row r="2510" customFormat="false" ht="14.25" hidden="false" customHeight="true" outlineLevel="0" collapsed="false">
      <c r="C2510" s="11"/>
      <c r="D2510" s="11"/>
      <c r="E2510" s="11"/>
      <c r="F2510" s="11"/>
      <c r="G2510" s="11"/>
      <c r="H2510" s="11"/>
      <c r="I2510" s="11"/>
      <c r="J2510" s="11"/>
      <c r="K2510" s="11"/>
      <c r="L2510" s="11"/>
      <c r="M2510" s="11"/>
      <c r="N2510" s="44" t="n">
        <v>17.04</v>
      </c>
      <c r="O2510" s="11"/>
    </row>
    <row r="2511" customFormat="false" ht="14.25" hidden="false" customHeight="true" outlineLevel="0" collapsed="false">
      <c r="C2511" s="11"/>
      <c r="D2511" s="11"/>
      <c r="E2511" s="11"/>
      <c r="F2511" s="11"/>
      <c r="G2511" s="11"/>
      <c r="H2511" s="11"/>
      <c r="I2511" s="11"/>
      <c r="J2511" s="11"/>
      <c r="K2511" s="11"/>
      <c r="L2511" s="11"/>
      <c r="M2511" s="11"/>
      <c r="N2511" s="44" t="n">
        <v>16.82</v>
      </c>
      <c r="O2511" s="11"/>
    </row>
    <row r="2512" customFormat="false" ht="14.25" hidden="false" customHeight="true" outlineLevel="0" collapsed="false">
      <c r="C2512" s="11"/>
      <c r="D2512" s="11"/>
      <c r="E2512" s="11"/>
      <c r="F2512" s="11"/>
      <c r="G2512" s="11"/>
      <c r="H2512" s="11"/>
      <c r="I2512" s="11"/>
      <c r="J2512" s="11"/>
      <c r="K2512" s="11"/>
      <c r="L2512" s="11"/>
      <c r="M2512" s="11"/>
      <c r="N2512" s="44" t="n">
        <v>16.75</v>
      </c>
      <c r="O2512" s="11"/>
    </row>
    <row r="2513" customFormat="false" ht="14.25" hidden="false" customHeight="true" outlineLevel="0" collapsed="false">
      <c r="C2513" s="11"/>
      <c r="D2513" s="11"/>
      <c r="E2513" s="11"/>
      <c r="F2513" s="11"/>
      <c r="G2513" s="11"/>
      <c r="H2513" s="11"/>
      <c r="I2513" s="11"/>
      <c r="J2513" s="11"/>
      <c r="K2513" s="11"/>
      <c r="L2513" s="11"/>
      <c r="M2513" s="11"/>
      <c r="N2513" s="44" t="n">
        <v>16.83</v>
      </c>
      <c r="O2513" s="11"/>
    </row>
    <row r="2514" customFormat="false" ht="14.25" hidden="false" customHeight="true" outlineLevel="0" collapsed="false">
      <c r="C2514" s="11"/>
      <c r="D2514" s="11"/>
      <c r="E2514" s="11"/>
      <c r="F2514" s="11"/>
      <c r="G2514" s="11"/>
      <c r="H2514" s="11"/>
      <c r="I2514" s="11"/>
      <c r="J2514" s="11"/>
      <c r="K2514" s="11"/>
      <c r="L2514" s="11"/>
      <c r="M2514" s="11"/>
      <c r="N2514" s="44" t="n">
        <v>16.8</v>
      </c>
      <c r="O2514" s="11"/>
    </row>
    <row r="2515" customFormat="false" ht="14.25" hidden="false" customHeight="true" outlineLevel="0" collapsed="false">
      <c r="C2515" s="11"/>
      <c r="D2515" s="11"/>
      <c r="E2515" s="11"/>
      <c r="F2515" s="11"/>
      <c r="G2515" s="11"/>
      <c r="H2515" s="11"/>
      <c r="I2515" s="11"/>
      <c r="J2515" s="11"/>
      <c r="K2515" s="11"/>
      <c r="L2515" s="11"/>
      <c r="M2515" s="11"/>
      <c r="N2515" s="44" t="n">
        <v>16.6</v>
      </c>
      <c r="O2515" s="11"/>
    </row>
    <row r="2516" customFormat="false" ht="14.25" hidden="false" customHeight="true" outlineLevel="0" collapsed="false">
      <c r="C2516" s="11"/>
      <c r="D2516" s="11"/>
      <c r="E2516" s="11"/>
      <c r="F2516" s="11"/>
      <c r="G2516" s="11"/>
      <c r="H2516" s="11"/>
      <c r="I2516" s="11"/>
      <c r="J2516" s="11"/>
      <c r="K2516" s="11"/>
      <c r="L2516" s="11"/>
      <c r="M2516" s="11"/>
      <c r="N2516" s="44" t="n">
        <v>16.73</v>
      </c>
      <c r="O2516" s="11"/>
    </row>
    <row r="2517" customFormat="false" ht="14.25" hidden="false" customHeight="true" outlineLevel="0" collapsed="false">
      <c r="C2517" s="11"/>
      <c r="D2517" s="11"/>
      <c r="E2517" s="11"/>
      <c r="F2517" s="11"/>
      <c r="G2517" s="11"/>
      <c r="H2517" s="11"/>
      <c r="I2517" s="11"/>
      <c r="J2517" s="11"/>
      <c r="K2517" s="11"/>
      <c r="L2517" s="11"/>
      <c r="M2517" s="11"/>
      <c r="N2517" s="44" t="n">
        <v>16.6</v>
      </c>
      <c r="O2517" s="11"/>
    </row>
    <row r="2518" customFormat="false" ht="14.25" hidden="false" customHeight="true" outlineLevel="0" collapsed="false">
      <c r="C2518" s="11"/>
      <c r="D2518" s="11"/>
      <c r="E2518" s="11"/>
      <c r="F2518" s="11"/>
      <c r="G2518" s="11"/>
      <c r="H2518" s="11"/>
      <c r="I2518" s="11"/>
      <c r="J2518" s="11"/>
      <c r="K2518" s="11"/>
      <c r="L2518" s="11"/>
      <c r="M2518" s="11"/>
      <c r="N2518" s="44" t="n">
        <v>16.73</v>
      </c>
      <c r="O2518" s="11"/>
    </row>
    <row r="2519" customFormat="false" ht="14.25" hidden="false" customHeight="true" outlineLevel="0" collapsed="false">
      <c r="C2519" s="11"/>
      <c r="D2519" s="11"/>
      <c r="E2519" s="11"/>
      <c r="F2519" s="11"/>
      <c r="G2519" s="11"/>
      <c r="H2519" s="11"/>
      <c r="I2519" s="11"/>
      <c r="J2519" s="11"/>
      <c r="K2519" s="11"/>
      <c r="L2519" s="11"/>
      <c r="M2519" s="11"/>
      <c r="N2519" s="44" t="n">
        <v>16.84</v>
      </c>
      <c r="O2519" s="11"/>
    </row>
    <row r="2520" customFormat="false" ht="14.25" hidden="false" customHeight="true" outlineLevel="0" collapsed="false">
      <c r="C2520" s="11"/>
      <c r="D2520" s="11"/>
      <c r="E2520" s="11"/>
      <c r="F2520" s="11"/>
      <c r="G2520" s="11"/>
      <c r="H2520" s="11"/>
      <c r="I2520" s="11"/>
      <c r="J2520" s="11"/>
      <c r="K2520" s="11"/>
      <c r="L2520" s="11"/>
      <c r="M2520" s="11"/>
      <c r="N2520" s="44" t="n">
        <v>16.55</v>
      </c>
      <c r="O2520" s="11"/>
    </row>
    <row r="2521" customFormat="false" ht="14.25" hidden="false" customHeight="true" outlineLevel="0" collapsed="false">
      <c r="C2521" s="11"/>
      <c r="D2521" s="11"/>
      <c r="E2521" s="11"/>
      <c r="F2521" s="11"/>
      <c r="G2521" s="11"/>
      <c r="H2521" s="11"/>
      <c r="I2521" s="11"/>
      <c r="J2521" s="11"/>
      <c r="K2521" s="11"/>
      <c r="L2521" s="11"/>
      <c r="M2521" s="11"/>
      <c r="N2521" s="44" t="n">
        <v>16.18</v>
      </c>
      <c r="O2521" s="11"/>
    </row>
    <row r="2522" customFormat="false" ht="14.25" hidden="false" customHeight="true" outlineLevel="0" collapsed="false">
      <c r="C2522" s="11"/>
      <c r="D2522" s="11"/>
      <c r="E2522" s="11"/>
      <c r="F2522" s="11"/>
      <c r="G2522" s="11"/>
      <c r="H2522" s="11"/>
      <c r="I2522" s="11"/>
      <c r="J2522" s="11"/>
      <c r="K2522" s="11"/>
      <c r="L2522" s="11"/>
      <c r="M2522" s="11"/>
      <c r="N2522" s="44" t="n">
        <v>16.2</v>
      </c>
      <c r="O2522" s="11"/>
    </row>
    <row r="2523" customFormat="false" ht="14.25" hidden="false" customHeight="true" outlineLevel="0" collapsed="false">
      <c r="C2523" s="11"/>
      <c r="D2523" s="11"/>
      <c r="E2523" s="11"/>
      <c r="F2523" s="11"/>
      <c r="G2523" s="11"/>
      <c r="H2523" s="11"/>
      <c r="I2523" s="11"/>
      <c r="J2523" s="11"/>
      <c r="K2523" s="11"/>
      <c r="L2523" s="11"/>
      <c r="M2523" s="11"/>
      <c r="N2523" s="44" t="n">
        <v>16.39</v>
      </c>
      <c r="O2523" s="11"/>
    </row>
    <row r="2524" customFormat="false" ht="14.25" hidden="false" customHeight="true" outlineLevel="0" collapsed="false">
      <c r="C2524" s="11"/>
      <c r="D2524" s="11"/>
      <c r="E2524" s="11"/>
      <c r="F2524" s="11"/>
      <c r="G2524" s="11"/>
      <c r="H2524" s="11"/>
      <c r="I2524" s="11"/>
      <c r="J2524" s="11"/>
      <c r="K2524" s="11"/>
      <c r="L2524" s="11"/>
      <c r="M2524" s="11"/>
      <c r="N2524" s="44" t="n">
        <v>16.45</v>
      </c>
      <c r="O2524" s="11"/>
    </row>
    <row r="2525" customFormat="false" ht="14.25" hidden="false" customHeight="true" outlineLevel="0" collapsed="false">
      <c r="C2525" s="11"/>
      <c r="D2525" s="11"/>
      <c r="E2525" s="11"/>
      <c r="F2525" s="11"/>
      <c r="G2525" s="11"/>
      <c r="H2525" s="11"/>
      <c r="I2525" s="11"/>
      <c r="J2525" s="11"/>
      <c r="K2525" s="11"/>
      <c r="L2525" s="11"/>
      <c r="M2525" s="11"/>
      <c r="N2525" s="44" t="n">
        <v>16.37</v>
      </c>
      <c r="O2525" s="11"/>
    </row>
    <row r="2526" customFormat="false" ht="14.25" hidden="false" customHeight="true" outlineLevel="0" collapsed="false">
      <c r="C2526" s="11"/>
      <c r="D2526" s="11"/>
      <c r="E2526" s="11"/>
      <c r="F2526" s="11"/>
      <c r="G2526" s="11"/>
      <c r="H2526" s="11"/>
      <c r="I2526" s="11"/>
      <c r="J2526" s="11"/>
      <c r="K2526" s="11"/>
      <c r="L2526" s="11"/>
      <c r="M2526" s="11"/>
      <c r="N2526" s="44" t="n">
        <v>16.36</v>
      </c>
      <c r="O2526" s="11"/>
    </row>
    <row r="2527" customFormat="false" ht="14.25" hidden="false" customHeight="true" outlineLevel="0" collapsed="false">
      <c r="C2527" s="11"/>
      <c r="D2527" s="11"/>
      <c r="E2527" s="11"/>
      <c r="F2527" s="11"/>
      <c r="G2527" s="11"/>
      <c r="H2527" s="11"/>
      <c r="I2527" s="11"/>
      <c r="J2527" s="11"/>
      <c r="K2527" s="11"/>
      <c r="L2527" s="11"/>
      <c r="M2527" s="11"/>
      <c r="N2527" s="44" t="n">
        <v>16.51</v>
      </c>
      <c r="O2527" s="11"/>
    </row>
    <row r="2528" customFormat="false" ht="14.25" hidden="false" customHeight="true" outlineLevel="0" collapsed="false">
      <c r="C2528" s="11"/>
      <c r="D2528" s="11"/>
      <c r="E2528" s="11"/>
      <c r="F2528" s="11"/>
      <c r="G2528" s="11"/>
      <c r="H2528" s="11"/>
      <c r="I2528" s="11"/>
      <c r="J2528" s="11"/>
      <c r="K2528" s="11"/>
      <c r="L2528" s="11"/>
      <c r="M2528" s="11"/>
      <c r="N2528" s="44" t="n">
        <v>17.13</v>
      </c>
      <c r="O2528" s="11"/>
    </row>
    <row r="2529" customFormat="false" ht="14.25" hidden="false" customHeight="true" outlineLevel="0" collapsed="false">
      <c r="C2529" s="11"/>
      <c r="D2529" s="11"/>
      <c r="E2529" s="11"/>
      <c r="F2529" s="11"/>
      <c r="G2529" s="11"/>
      <c r="H2529" s="11"/>
      <c r="I2529" s="11"/>
      <c r="J2529" s="11"/>
      <c r="K2529" s="11"/>
      <c r="L2529" s="11"/>
      <c r="M2529" s="11"/>
      <c r="N2529" s="44" t="n">
        <v>17.24</v>
      </c>
      <c r="O2529" s="11"/>
    </row>
    <row r="2530" customFormat="false" ht="14.25" hidden="false" customHeight="true" outlineLevel="0" collapsed="false">
      <c r="C2530" s="11"/>
      <c r="D2530" s="11"/>
      <c r="E2530" s="11"/>
      <c r="F2530" s="11"/>
      <c r="G2530" s="11"/>
      <c r="H2530" s="11"/>
      <c r="I2530" s="11"/>
      <c r="J2530" s="11"/>
      <c r="K2530" s="11"/>
      <c r="L2530" s="11"/>
      <c r="M2530" s="11"/>
      <c r="N2530" s="44" t="n">
        <v>16.99</v>
      </c>
      <c r="O2530" s="11"/>
    </row>
    <row r="2531" customFormat="false" ht="14.25" hidden="false" customHeight="true" outlineLevel="0" collapsed="false">
      <c r="C2531" s="11"/>
      <c r="D2531" s="11"/>
      <c r="E2531" s="11"/>
      <c r="F2531" s="11"/>
      <c r="G2531" s="11"/>
      <c r="H2531" s="11"/>
      <c r="I2531" s="11"/>
      <c r="J2531" s="11"/>
      <c r="K2531" s="11"/>
      <c r="L2531" s="11"/>
      <c r="M2531" s="11"/>
      <c r="N2531" s="44" t="n">
        <v>16.73</v>
      </c>
      <c r="O2531" s="11"/>
    </row>
    <row r="2532" customFormat="false" ht="14.25" hidden="false" customHeight="true" outlineLevel="0" collapsed="false">
      <c r="C2532" s="11"/>
      <c r="D2532" s="11"/>
      <c r="E2532" s="11"/>
      <c r="F2532" s="11"/>
      <c r="G2532" s="11"/>
      <c r="H2532" s="11"/>
      <c r="I2532" s="11"/>
      <c r="J2532" s="11"/>
      <c r="K2532" s="11"/>
      <c r="L2532" s="11"/>
      <c r="M2532" s="11"/>
      <c r="N2532" s="44" t="n">
        <v>16.9</v>
      </c>
      <c r="O2532" s="11"/>
    </row>
    <row r="2533" customFormat="false" ht="14.25" hidden="false" customHeight="true" outlineLevel="0" collapsed="false">
      <c r="C2533" s="11"/>
      <c r="D2533" s="11"/>
      <c r="E2533" s="11"/>
      <c r="F2533" s="11"/>
      <c r="G2533" s="11"/>
      <c r="H2533" s="11"/>
      <c r="I2533" s="11"/>
      <c r="J2533" s="11"/>
      <c r="K2533" s="11"/>
      <c r="L2533" s="11"/>
      <c r="M2533" s="11"/>
      <c r="N2533" s="44" t="n">
        <v>17.11</v>
      </c>
      <c r="O2533" s="11"/>
    </row>
    <row r="2534" customFormat="false" ht="14.25" hidden="false" customHeight="true" outlineLevel="0" collapsed="false">
      <c r="C2534" s="11"/>
      <c r="D2534" s="11"/>
      <c r="E2534" s="11"/>
      <c r="F2534" s="11"/>
      <c r="G2534" s="11"/>
      <c r="H2534" s="11"/>
      <c r="I2534" s="11"/>
      <c r="J2534" s="11"/>
      <c r="K2534" s="11"/>
      <c r="L2534" s="11"/>
      <c r="M2534" s="11"/>
      <c r="N2534" s="44" t="n">
        <v>17.09</v>
      </c>
      <c r="O2534" s="11"/>
    </row>
    <row r="2535" customFormat="false" ht="14.25" hidden="false" customHeight="true" outlineLevel="0" collapsed="false">
      <c r="C2535" s="11"/>
      <c r="D2535" s="11"/>
      <c r="E2535" s="11"/>
      <c r="F2535" s="11"/>
      <c r="G2535" s="11"/>
      <c r="H2535" s="11"/>
      <c r="I2535" s="11"/>
      <c r="J2535" s="11"/>
      <c r="K2535" s="11"/>
      <c r="L2535" s="11"/>
      <c r="M2535" s="11"/>
      <c r="N2535" s="44" t="n">
        <v>17.11</v>
      </c>
      <c r="O2535" s="11"/>
    </row>
    <row r="2536" customFormat="false" ht="14.25" hidden="false" customHeight="true" outlineLevel="0" collapsed="false">
      <c r="C2536" s="11"/>
      <c r="D2536" s="11"/>
      <c r="E2536" s="11"/>
      <c r="F2536" s="11"/>
      <c r="G2536" s="11"/>
      <c r="H2536" s="11"/>
      <c r="I2536" s="11"/>
      <c r="J2536" s="11"/>
      <c r="K2536" s="11"/>
      <c r="L2536" s="11"/>
      <c r="M2536" s="11"/>
      <c r="N2536" s="44" t="n">
        <v>17.77</v>
      </c>
      <c r="O2536" s="11"/>
    </row>
    <row r="2537" customFormat="false" ht="14.25" hidden="false" customHeight="true" outlineLevel="0" collapsed="false">
      <c r="C2537" s="11"/>
      <c r="D2537" s="11"/>
      <c r="E2537" s="11"/>
      <c r="F2537" s="11"/>
      <c r="G2537" s="11"/>
      <c r="H2537" s="11"/>
      <c r="I2537" s="11"/>
      <c r="J2537" s="11"/>
      <c r="K2537" s="11"/>
      <c r="L2537" s="11"/>
      <c r="M2537" s="11"/>
      <c r="N2537" s="44" t="n">
        <v>17.59</v>
      </c>
      <c r="O2537" s="11"/>
    </row>
    <row r="2538" customFormat="false" ht="14.25" hidden="false" customHeight="true" outlineLevel="0" collapsed="false">
      <c r="C2538" s="11"/>
      <c r="D2538" s="11"/>
      <c r="E2538" s="11"/>
      <c r="F2538" s="11"/>
      <c r="G2538" s="11"/>
      <c r="H2538" s="11"/>
      <c r="I2538" s="11"/>
      <c r="J2538" s="11"/>
      <c r="K2538" s="11"/>
      <c r="L2538" s="11"/>
      <c r="M2538" s="11"/>
      <c r="N2538" s="44" t="n">
        <v>17.58</v>
      </c>
      <c r="O2538" s="11"/>
    </row>
    <row r="2539" customFormat="false" ht="14.25" hidden="false" customHeight="true" outlineLevel="0" collapsed="false">
      <c r="C2539" s="11"/>
      <c r="D2539" s="11"/>
      <c r="E2539" s="11"/>
      <c r="F2539" s="11"/>
      <c r="G2539" s="11"/>
      <c r="H2539" s="11"/>
      <c r="I2539" s="11"/>
      <c r="J2539" s="11"/>
      <c r="K2539" s="11"/>
      <c r="L2539" s="11"/>
      <c r="M2539" s="11"/>
      <c r="N2539" s="44" t="n">
        <v>17.7</v>
      </c>
      <c r="O2539" s="11"/>
    </row>
    <row r="2540" customFormat="false" ht="14.25" hidden="false" customHeight="true" outlineLevel="0" collapsed="false">
      <c r="C2540" s="11"/>
      <c r="D2540" s="11"/>
      <c r="E2540" s="11"/>
      <c r="F2540" s="11"/>
      <c r="G2540" s="11"/>
      <c r="H2540" s="11"/>
      <c r="I2540" s="11"/>
      <c r="J2540" s="11"/>
      <c r="K2540" s="11"/>
      <c r="L2540" s="11"/>
      <c r="M2540" s="11"/>
      <c r="N2540" s="44" t="n">
        <v>18.13</v>
      </c>
      <c r="O2540" s="11"/>
    </row>
    <row r="2541" customFormat="false" ht="14.25" hidden="false" customHeight="true" outlineLevel="0" collapsed="false">
      <c r="C2541" s="11"/>
      <c r="D2541" s="11"/>
      <c r="E2541" s="11"/>
      <c r="F2541" s="11"/>
      <c r="G2541" s="11"/>
      <c r="H2541" s="11"/>
      <c r="I2541" s="11"/>
      <c r="J2541" s="11"/>
      <c r="K2541" s="11"/>
      <c r="L2541" s="11"/>
      <c r="M2541" s="11"/>
      <c r="N2541" s="44" t="n">
        <v>17.94</v>
      </c>
      <c r="O2541" s="11"/>
    </row>
    <row r="2542" customFormat="false" ht="14.25" hidden="false" customHeight="true" outlineLevel="0" collapsed="false">
      <c r="C2542" s="11"/>
      <c r="D2542" s="11"/>
      <c r="E2542" s="11"/>
      <c r="F2542" s="11"/>
      <c r="G2542" s="11"/>
      <c r="H2542" s="11"/>
      <c r="I2542" s="11"/>
      <c r="J2542" s="11"/>
      <c r="K2542" s="11"/>
      <c r="L2542" s="11"/>
      <c r="M2542" s="11"/>
      <c r="N2542" s="44" t="n">
        <v>17.92</v>
      </c>
      <c r="O2542" s="11"/>
    </row>
    <row r="2543" customFormat="false" ht="14.25" hidden="false" customHeight="true" outlineLevel="0" collapsed="false">
      <c r="C2543" s="11"/>
      <c r="D2543" s="11"/>
      <c r="E2543" s="11"/>
      <c r="F2543" s="11"/>
      <c r="G2543" s="11"/>
      <c r="H2543" s="11"/>
      <c r="I2543" s="11"/>
      <c r="J2543" s="11"/>
      <c r="K2543" s="11"/>
      <c r="L2543" s="11"/>
      <c r="M2543" s="11"/>
      <c r="N2543" s="44" t="n">
        <v>17.9</v>
      </c>
      <c r="O2543" s="11"/>
    </row>
    <row r="2544" customFormat="false" ht="14.25" hidden="false" customHeight="true" outlineLevel="0" collapsed="false">
      <c r="C2544" s="11"/>
      <c r="D2544" s="11"/>
      <c r="E2544" s="11"/>
      <c r="F2544" s="11"/>
      <c r="G2544" s="11"/>
      <c r="H2544" s="11"/>
      <c r="I2544" s="11"/>
      <c r="J2544" s="11"/>
      <c r="K2544" s="11"/>
      <c r="L2544" s="11"/>
      <c r="M2544" s="11"/>
      <c r="N2544" s="44" t="n">
        <v>17.81</v>
      </c>
      <c r="O2544" s="11"/>
    </row>
    <row r="2545" customFormat="false" ht="14.25" hidden="false" customHeight="true" outlineLevel="0" collapsed="false">
      <c r="C2545" s="11"/>
      <c r="D2545" s="11"/>
      <c r="E2545" s="11"/>
      <c r="F2545" s="11"/>
      <c r="G2545" s="11"/>
      <c r="H2545" s="11"/>
      <c r="I2545" s="11"/>
      <c r="J2545" s="11"/>
      <c r="K2545" s="11"/>
      <c r="L2545" s="11"/>
      <c r="M2545" s="11"/>
      <c r="N2545" s="44" t="n">
        <v>17.93</v>
      </c>
      <c r="O2545" s="11"/>
    </row>
    <row r="2546" customFormat="false" ht="14.25" hidden="false" customHeight="true" outlineLevel="0" collapsed="false">
      <c r="C2546" s="11"/>
      <c r="D2546" s="11"/>
      <c r="E2546" s="11"/>
      <c r="F2546" s="11"/>
      <c r="G2546" s="11"/>
      <c r="H2546" s="11"/>
      <c r="I2546" s="11"/>
      <c r="J2546" s="11"/>
      <c r="K2546" s="11"/>
      <c r="L2546" s="11"/>
      <c r="M2546" s="11"/>
      <c r="N2546" s="44" t="n">
        <v>17.83</v>
      </c>
      <c r="O2546" s="11"/>
    </row>
    <row r="2547" customFormat="false" ht="14.25" hidden="false" customHeight="true" outlineLevel="0" collapsed="false">
      <c r="C2547" s="11"/>
      <c r="D2547" s="11"/>
      <c r="E2547" s="11"/>
      <c r="F2547" s="11"/>
      <c r="G2547" s="11"/>
      <c r="H2547" s="11"/>
      <c r="I2547" s="11"/>
      <c r="J2547" s="11"/>
      <c r="K2547" s="11"/>
      <c r="L2547" s="11"/>
      <c r="M2547" s="11"/>
      <c r="N2547" s="44" t="n">
        <v>17.85</v>
      </c>
      <c r="O2547" s="11"/>
    </row>
    <row r="2548" customFormat="false" ht="14.25" hidden="false" customHeight="true" outlineLevel="0" collapsed="false">
      <c r="C2548" s="11"/>
      <c r="D2548" s="11"/>
      <c r="E2548" s="11"/>
      <c r="F2548" s="11"/>
      <c r="G2548" s="11"/>
      <c r="H2548" s="11"/>
      <c r="I2548" s="11"/>
      <c r="J2548" s="11"/>
      <c r="K2548" s="11"/>
      <c r="L2548" s="11"/>
      <c r="M2548" s="11"/>
      <c r="N2548" s="44" t="n">
        <v>17.86</v>
      </c>
      <c r="O2548" s="11"/>
    </row>
    <row r="2549" customFormat="false" ht="14.25" hidden="false" customHeight="true" outlineLevel="0" collapsed="false">
      <c r="C2549" s="11"/>
      <c r="D2549" s="11"/>
      <c r="E2549" s="11"/>
      <c r="F2549" s="11"/>
      <c r="G2549" s="11"/>
      <c r="H2549" s="11"/>
      <c r="I2549" s="11"/>
      <c r="J2549" s="11"/>
      <c r="K2549" s="11"/>
      <c r="L2549" s="11"/>
      <c r="M2549" s="11"/>
      <c r="N2549" s="44" t="n">
        <v>17.89</v>
      </c>
      <c r="O2549" s="11"/>
    </row>
    <row r="2550" customFormat="false" ht="14.25" hidden="false" customHeight="true" outlineLevel="0" collapsed="false">
      <c r="C2550" s="11"/>
      <c r="D2550" s="11"/>
      <c r="E2550" s="11"/>
      <c r="F2550" s="11"/>
      <c r="G2550" s="11"/>
      <c r="H2550" s="11"/>
      <c r="I2550" s="11"/>
      <c r="J2550" s="11"/>
      <c r="K2550" s="11"/>
      <c r="L2550" s="11"/>
      <c r="M2550" s="11"/>
      <c r="N2550" s="44" t="n">
        <v>18.2</v>
      </c>
      <c r="O2550" s="11"/>
    </row>
    <row r="2551" customFormat="false" ht="14.25" hidden="false" customHeight="true" outlineLevel="0" collapsed="false">
      <c r="C2551" s="11"/>
      <c r="D2551" s="11"/>
      <c r="E2551" s="11"/>
      <c r="F2551" s="11"/>
      <c r="G2551" s="11"/>
      <c r="H2551" s="11"/>
      <c r="I2551" s="11"/>
      <c r="J2551" s="11"/>
      <c r="K2551" s="11"/>
      <c r="L2551" s="11"/>
      <c r="M2551" s="11"/>
      <c r="N2551" s="44" t="n">
        <v>18.02</v>
      </c>
      <c r="O2551" s="11"/>
    </row>
    <row r="2552" customFormat="false" ht="14.25" hidden="false" customHeight="true" outlineLevel="0" collapsed="false">
      <c r="C2552" s="11"/>
      <c r="D2552" s="11"/>
      <c r="E2552" s="11"/>
      <c r="F2552" s="11"/>
      <c r="G2552" s="11"/>
      <c r="H2552" s="11"/>
      <c r="I2552" s="11"/>
      <c r="J2552" s="11"/>
      <c r="K2552" s="11"/>
      <c r="L2552" s="11"/>
      <c r="M2552" s="11"/>
      <c r="N2552" s="44" t="n">
        <v>18.01</v>
      </c>
      <c r="O2552" s="11"/>
    </row>
    <row r="2553" customFormat="false" ht="14.25" hidden="false" customHeight="true" outlineLevel="0" collapsed="false">
      <c r="C2553" s="11"/>
      <c r="D2553" s="11"/>
      <c r="E2553" s="11"/>
      <c r="F2553" s="11"/>
      <c r="G2553" s="11"/>
      <c r="H2553" s="11"/>
      <c r="I2553" s="11"/>
      <c r="J2553" s="11"/>
      <c r="K2553" s="11"/>
      <c r="L2553" s="11"/>
      <c r="M2553" s="11"/>
      <c r="N2553" s="44" t="n">
        <v>17.85</v>
      </c>
      <c r="O2553" s="11"/>
    </row>
    <row r="2554" customFormat="false" ht="14.25" hidden="false" customHeight="true" outlineLevel="0" collapsed="false">
      <c r="C2554" s="11"/>
      <c r="D2554" s="11"/>
      <c r="E2554" s="11"/>
      <c r="F2554" s="11"/>
      <c r="G2554" s="11"/>
      <c r="H2554" s="11"/>
      <c r="I2554" s="11"/>
      <c r="J2554" s="11"/>
      <c r="K2554" s="11"/>
      <c r="L2554" s="11"/>
      <c r="M2554" s="11"/>
      <c r="N2554" s="44" t="n">
        <v>17.93</v>
      </c>
      <c r="O2554" s="11"/>
    </row>
    <row r="2555" customFormat="false" ht="14.25" hidden="false" customHeight="true" outlineLevel="0" collapsed="false">
      <c r="C2555" s="11"/>
      <c r="D2555" s="11"/>
      <c r="E2555" s="11"/>
      <c r="F2555" s="11"/>
      <c r="G2555" s="11"/>
      <c r="H2555" s="11"/>
      <c r="I2555" s="11"/>
      <c r="J2555" s="11"/>
      <c r="K2555" s="11"/>
      <c r="L2555" s="11"/>
      <c r="M2555" s="11"/>
      <c r="N2555" s="44" t="n">
        <v>18.3</v>
      </c>
      <c r="O2555" s="11"/>
    </row>
    <row r="2556" customFormat="false" ht="14.25" hidden="false" customHeight="true" outlineLevel="0" collapsed="false">
      <c r="C2556" s="11"/>
      <c r="D2556" s="11"/>
      <c r="E2556" s="11"/>
      <c r="F2556" s="11"/>
      <c r="G2556" s="11"/>
      <c r="H2556" s="11"/>
      <c r="I2556" s="11"/>
      <c r="J2556" s="11"/>
      <c r="K2556" s="11"/>
      <c r="L2556" s="11"/>
      <c r="M2556" s="11"/>
      <c r="N2556" s="44" t="n">
        <v>18.23</v>
      </c>
      <c r="O2556" s="11"/>
    </row>
    <row r="2557" customFormat="false" ht="14.25" hidden="false" customHeight="true" outlineLevel="0" collapsed="false">
      <c r="C2557" s="11"/>
      <c r="D2557" s="11"/>
      <c r="E2557" s="11"/>
      <c r="F2557" s="11"/>
      <c r="G2557" s="11"/>
      <c r="H2557" s="11"/>
      <c r="I2557" s="11"/>
      <c r="J2557" s="11"/>
      <c r="K2557" s="11"/>
      <c r="L2557" s="11"/>
      <c r="M2557" s="11"/>
      <c r="N2557" s="44" t="n">
        <v>18.57</v>
      </c>
      <c r="O2557" s="11"/>
    </row>
    <row r="2558" customFormat="false" ht="14.25" hidden="false" customHeight="true" outlineLevel="0" collapsed="false">
      <c r="C2558" s="11"/>
      <c r="D2558" s="11"/>
      <c r="E2558" s="11"/>
      <c r="F2558" s="11"/>
      <c r="G2558" s="11"/>
      <c r="H2558" s="11"/>
      <c r="I2558" s="11"/>
      <c r="J2558" s="11"/>
      <c r="K2558" s="11"/>
      <c r="L2558" s="11"/>
      <c r="M2558" s="11"/>
      <c r="N2558" s="44" t="n">
        <v>18.65</v>
      </c>
      <c r="O2558" s="11"/>
    </row>
    <row r="2559" customFormat="false" ht="14.25" hidden="false" customHeight="true" outlineLevel="0" collapsed="false">
      <c r="C2559" s="11"/>
      <c r="D2559" s="11"/>
      <c r="E2559" s="11"/>
      <c r="F2559" s="11"/>
      <c r="G2559" s="11"/>
      <c r="H2559" s="11"/>
      <c r="I2559" s="11"/>
      <c r="J2559" s="11"/>
      <c r="K2559" s="11"/>
      <c r="L2559" s="11"/>
      <c r="M2559" s="11"/>
      <c r="N2559" s="44" t="n">
        <v>18.3</v>
      </c>
      <c r="O2559" s="11"/>
    </row>
    <row r="2560" customFormat="false" ht="14.25" hidden="false" customHeight="true" outlineLevel="0" collapsed="false">
      <c r="C2560" s="11"/>
      <c r="D2560" s="11"/>
      <c r="E2560" s="11"/>
      <c r="F2560" s="11"/>
      <c r="G2560" s="11"/>
      <c r="H2560" s="11"/>
      <c r="I2560" s="11"/>
      <c r="J2560" s="11"/>
      <c r="K2560" s="11"/>
      <c r="L2560" s="11"/>
      <c r="M2560" s="11"/>
      <c r="N2560" s="44" t="n">
        <v>18.4</v>
      </c>
      <c r="O2560" s="11"/>
    </row>
    <row r="2561" customFormat="false" ht="14.25" hidden="false" customHeight="true" outlineLevel="0" collapsed="false">
      <c r="C2561" s="11"/>
      <c r="D2561" s="11"/>
      <c r="E2561" s="11"/>
      <c r="F2561" s="11"/>
      <c r="G2561" s="11"/>
      <c r="H2561" s="11"/>
      <c r="I2561" s="11"/>
      <c r="J2561" s="11"/>
      <c r="K2561" s="11"/>
      <c r="L2561" s="11"/>
      <c r="M2561" s="11"/>
      <c r="N2561" s="44" t="n">
        <v>18.66</v>
      </c>
      <c r="O2561" s="11"/>
    </row>
    <row r="2562" customFormat="false" ht="14.25" hidden="false" customHeight="true" outlineLevel="0" collapsed="false">
      <c r="C2562" s="11"/>
      <c r="D2562" s="11"/>
      <c r="E2562" s="11"/>
      <c r="F2562" s="11"/>
      <c r="G2562" s="11"/>
      <c r="H2562" s="11"/>
      <c r="I2562" s="11"/>
      <c r="J2562" s="11"/>
      <c r="K2562" s="11"/>
      <c r="L2562" s="11"/>
      <c r="M2562" s="11"/>
      <c r="N2562" s="44" t="n">
        <v>18.45</v>
      </c>
      <c r="O2562" s="11"/>
    </row>
    <row r="2563" customFormat="false" ht="14.25" hidden="false" customHeight="true" outlineLevel="0" collapsed="false">
      <c r="C2563" s="11"/>
      <c r="D2563" s="11"/>
      <c r="E2563" s="11"/>
      <c r="F2563" s="11"/>
      <c r="G2563" s="11"/>
      <c r="H2563" s="11"/>
      <c r="I2563" s="11"/>
      <c r="J2563" s="11"/>
      <c r="K2563" s="11"/>
      <c r="L2563" s="11"/>
      <c r="M2563" s="11"/>
      <c r="N2563" s="44" t="n">
        <v>18.41</v>
      </c>
      <c r="O2563" s="11"/>
    </row>
    <row r="2564" customFormat="false" ht="14.25" hidden="false" customHeight="true" outlineLevel="0" collapsed="false">
      <c r="C2564" s="11"/>
      <c r="D2564" s="11"/>
      <c r="E2564" s="11"/>
      <c r="F2564" s="11"/>
      <c r="G2564" s="11"/>
      <c r="H2564" s="11"/>
      <c r="I2564" s="11"/>
      <c r="J2564" s="11"/>
      <c r="K2564" s="11"/>
      <c r="L2564" s="11"/>
      <c r="M2564" s="11"/>
      <c r="N2564" s="44" t="n">
        <v>18.37</v>
      </c>
      <c r="O2564" s="11"/>
    </row>
    <row r="2565" customFormat="false" ht="14.25" hidden="false" customHeight="true" outlineLevel="0" collapsed="false">
      <c r="C2565" s="11"/>
      <c r="D2565" s="11"/>
      <c r="E2565" s="11"/>
      <c r="F2565" s="11"/>
      <c r="G2565" s="11"/>
      <c r="H2565" s="11"/>
      <c r="I2565" s="11"/>
      <c r="J2565" s="11"/>
      <c r="K2565" s="11"/>
      <c r="L2565" s="11"/>
      <c r="M2565" s="11"/>
      <c r="N2565" s="44" t="n">
        <v>18.43</v>
      </c>
      <c r="O2565" s="11"/>
    </row>
    <row r="2566" customFormat="false" ht="14.25" hidden="false" customHeight="true" outlineLevel="0" collapsed="false">
      <c r="C2566" s="11"/>
      <c r="D2566" s="11"/>
      <c r="E2566" s="11"/>
      <c r="F2566" s="11"/>
      <c r="G2566" s="11"/>
      <c r="H2566" s="11"/>
      <c r="I2566" s="11"/>
      <c r="J2566" s="11"/>
      <c r="K2566" s="11"/>
      <c r="L2566" s="11"/>
      <c r="M2566" s="11"/>
      <c r="N2566" s="44" t="n">
        <v>18.5</v>
      </c>
      <c r="O2566" s="11"/>
    </row>
    <row r="2567" customFormat="false" ht="14.25" hidden="false" customHeight="true" outlineLevel="0" collapsed="false">
      <c r="C2567" s="11"/>
      <c r="D2567" s="11"/>
      <c r="E2567" s="11"/>
      <c r="F2567" s="11"/>
      <c r="G2567" s="11"/>
      <c r="H2567" s="11"/>
      <c r="I2567" s="11"/>
      <c r="J2567" s="11"/>
      <c r="K2567" s="11"/>
      <c r="L2567" s="11"/>
      <c r="M2567" s="11"/>
      <c r="N2567" s="44" t="n">
        <v>18.53</v>
      </c>
      <c r="O2567" s="11"/>
    </row>
    <row r="2568" customFormat="false" ht="14.25" hidden="false" customHeight="true" outlineLevel="0" collapsed="false">
      <c r="C2568" s="11"/>
      <c r="D2568" s="11"/>
      <c r="E2568" s="11"/>
      <c r="F2568" s="11"/>
      <c r="G2568" s="11"/>
      <c r="H2568" s="11"/>
      <c r="I2568" s="11"/>
      <c r="J2568" s="11"/>
      <c r="K2568" s="11"/>
      <c r="L2568" s="11"/>
      <c r="M2568" s="11"/>
      <c r="N2568" s="44" t="n">
        <v>18.27</v>
      </c>
      <c r="O2568" s="11"/>
    </row>
    <row r="2569" customFormat="false" ht="14.25" hidden="false" customHeight="true" outlineLevel="0" collapsed="false">
      <c r="C2569" s="11"/>
      <c r="D2569" s="11"/>
      <c r="E2569" s="11"/>
      <c r="F2569" s="11"/>
      <c r="G2569" s="11"/>
      <c r="H2569" s="11"/>
      <c r="I2569" s="11"/>
      <c r="J2569" s="11"/>
      <c r="K2569" s="11"/>
      <c r="L2569" s="11"/>
      <c r="M2569" s="11"/>
      <c r="N2569" s="44" t="n">
        <v>18.28</v>
      </c>
      <c r="O2569" s="11"/>
    </row>
    <row r="2570" customFormat="false" ht="14.25" hidden="false" customHeight="true" outlineLevel="0" collapsed="false">
      <c r="C2570" s="11"/>
      <c r="D2570" s="11"/>
      <c r="E2570" s="11"/>
      <c r="F2570" s="11"/>
      <c r="G2570" s="11"/>
      <c r="H2570" s="11"/>
      <c r="I2570" s="11"/>
      <c r="J2570" s="11"/>
      <c r="K2570" s="11"/>
      <c r="L2570" s="11"/>
      <c r="M2570" s="11"/>
      <c r="N2570" s="44" t="n">
        <v>17.99</v>
      </c>
      <c r="O2570" s="11"/>
    </row>
    <row r="2571" customFormat="false" ht="14.25" hidden="false" customHeight="true" outlineLevel="0" collapsed="false">
      <c r="C2571" s="11"/>
      <c r="D2571" s="11"/>
      <c r="E2571" s="11"/>
      <c r="F2571" s="11"/>
      <c r="G2571" s="11"/>
      <c r="H2571" s="11"/>
      <c r="I2571" s="11"/>
      <c r="J2571" s="11"/>
      <c r="K2571" s="11"/>
      <c r="L2571" s="11"/>
      <c r="M2571" s="11"/>
      <c r="N2571" s="44" t="n">
        <v>17.76</v>
      </c>
      <c r="O2571" s="11"/>
    </row>
    <row r="2572" customFormat="false" ht="14.25" hidden="false" customHeight="true" outlineLevel="0" collapsed="false">
      <c r="C2572" s="11"/>
      <c r="D2572" s="11"/>
      <c r="E2572" s="11"/>
      <c r="F2572" s="11"/>
      <c r="G2572" s="11"/>
      <c r="H2572" s="11"/>
      <c r="I2572" s="11"/>
      <c r="J2572" s="11"/>
      <c r="K2572" s="11"/>
      <c r="L2572" s="11"/>
      <c r="M2572" s="11"/>
      <c r="N2572" s="44" t="n">
        <v>17.91</v>
      </c>
      <c r="O2572" s="11"/>
    </row>
    <row r="2573" customFormat="false" ht="14.25" hidden="false" customHeight="true" outlineLevel="0" collapsed="false">
      <c r="C2573" s="11"/>
      <c r="D2573" s="11"/>
      <c r="E2573" s="11"/>
      <c r="F2573" s="11"/>
      <c r="G2573" s="11"/>
      <c r="H2573" s="11"/>
      <c r="I2573" s="11"/>
      <c r="J2573" s="11"/>
      <c r="K2573" s="11"/>
      <c r="L2573" s="11"/>
      <c r="M2573" s="11"/>
      <c r="N2573" s="44" t="n">
        <v>18.25</v>
      </c>
      <c r="O2573" s="11"/>
    </row>
    <row r="2574" customFormat="false" ht="14.25" hidden="false" customHeight="true" outlineLevel="0" collapsed="false">
      <c r="C2574" s="11"/>
      <c r="D2574" s="11"/>
      <c r="E2574" s="11"/>
      <c r="F2574" s="11"/>
      <c r="G2574" s="11"/>
      <c r="H2574" s="11"/>
      <c r="I2574" s="11"/>
      <c r="J2574" s="11"/>
      <c r="K2574" s="11"/>
      <c r="L2574" s="11"/>
      <c r="M2574" s="11"/>
      <c r="N2574" s="44" t="n">
        <v>18.45</v>
      </c>
      <c r="O2574" s="11"/>
    </row>
    <row r="2575" customFormat="false" ht="14.25" hidden="false" customHeight="true" outlineLevel="0" collapsed="false">
      <c r="C2575" s="11"/>
      <c r="D2575" s="11"/>
      <c r="E2575" s="11"/>
      <c r="F2575" s="11"/>
      <c r="G2575" s="11"/>
      <c r="H2575" s="11"/>
      <c r="I2575" s="11"/>
      <c r="J2575" s="11"/>
      <c r="K2575" s="11"/>
      <c r="L2575" s="11"/>
      <c r="M2575" s="11"/>
      <c r="N2575" s="44" t="n">
        <v>18.29</v>
      </c>
      <c r="O2575" s="11"/>
    </row>
    <row r="2576" customFormat="false" ht="14.25" hidden="false" customHeight="true" outlineLevel="0" collapsed="false">
      <c r="C2576" s="11"/>
      <c r="D2576" s="11"/>
      <c r="E2576" s="11"/>
      <c r="F2576" s="11"/>
      <c r="G2576" s="11"/>
      <c r="H2576" s="11"/>
      <c r="I2576" s="11"/>
      <c r="J2576" s="11"/>
      <c r="K2576" s="11"/>
      <c r="L2576" s="11"/>
      <c r="M2576" s="11"/>
      <c r="N2576" s="44" t="n">
        <v>18.03</v>
      </c>
      <c r="O2576" s="11"/>
    </row>
    <row r="2577" customFormat="false" ht="14.25" hidden="false" customHeight="true" outlineLevel="0" collapsed="false">
      <c r="C2577" s="11"/>
      <c r="D2577" s="11"/>
      <c r="E2577" s="11"/>
      <c r="F2577" s="11"/>
      <c r="G2577" s="11"/>
      <c r="H2577" s="11"/>
      <c r="I2577" s="11"/>
      <c r="J2577" s="11"/>
      <c r="K2577" s="11"/>
      <c r="L2577" s="11"/>
      <c r="M2577" s="11"/>
      <c r="N2577" s="44" t="n">
        <v>18.12</v>
      </c>
      <c r="O2577" s="11"/>
    </row>
    <row r="2578" customFormat="false" ht="14.25" hidden="false" customHeight="true" outlineLevel="0" collapsed="false">
      <c r="C2578" s="11"/>
      <c r="D2578" s="11"/>
      <c r="E2578" s="11"/>
      <c r="F2578" s="11"/>
      <c r="G2578" s="11"/>
      <c r="H2578" s="11"/>
      <c r="I2578" s="11"/>
      <c r="J2578" s="11"/>
      <c r="K2578" s="11"/>
      <c r="L2578" s="11"/>
      <c r="M2578" s="11"/>
      <c r="N2578" s="44" t="n">
        <v>17.05</v>
      </c>
      <c r="O2578" s="11"/>
    </row>
    <row r="2579" customFormat="false" ht="14.25" hidden="false" customHeight="true" outlineLevel="0" collapsed="false">
      <c r="C2579" s="11"/>
      <c r="D2579" s="11"/>
      <c r="E2579" s="11"/>
      <c r="F2579" s="11"/>
      <c r="G2579" s="11"/>
      <c r="H2579" s="11"/>
      <c r="I2579" s="11"/>
      <c r="J2579" s="11"/>
      <c r="K2579" s="11"/>
      <c r="L2579" s="11"/>
      <c r="M2579" s="11"/>
      <c r="N2579" s="44" t="n">
        <v>17.23</v>
      </c>
      <c r="O2579" s="11"/>
    </row>
    <row r="2580" customFormat="false" ht="14.25" hidden="false" customHeight="true" outlineLevel="0" collapsed="false">
      <c r="C2580" s="11"/>
      <c r="D2580" s="11"/>
      <c r="E2580" s="11"/>
      <c r="F2580" s="11"/>
      <c r="G2580" s="11"/>
      <c r="H2580" s="11"/>
      <c r="I2580" s="11"/>
      <c r="J2580" s="11"/>
      <c r="K2580" s="11"/>
      <c r="L2580" s="11"/>
      <c r="M2580" s="11"/>
      <c r="N2580" s="44" t="n">
        <v>16.93</v>
      </c>
      <c r="O2580" s="11"/>
    </row>
    <row r="2581" customFormat="false" ht="14.25" hidden="false" customHeight="true" outlineLevel="0" collapsed="false">
      <c r="C2581" s="11"/>
      <c r="D2581" s="11"/>
      <c r="E2581" s="11"/>
      <c r="F2581" s="11"/>
      <c r="G2581" s="11"/>
      <c r="H2581" s="11"/>
      <c r="I2581" s="11"/>
      <c r="J2581" s="11"/>
      <c r="K2581" s="11"/>
      <c r="L2581" s="11"/>
      <c r="M2581" s="11"/>
      <c r="N2581" s="44" t="n">
        <v>16.85</v>
      </c>
      <c r="O2581" s="11"/>
    </row>
    <row r="2582" customFormat="false" ht="14.25" hidden="false" customHeight="true" outlineLevel="0" collapsed="false">
      <c r="C2582" s="11"/>
      <c r="D2582" s="11"/>
      <c r="E2582" s="11"/>
      <c r="F2582" s="11"/>
      <c r="G2582" s="11"/>
      <c r="H2582" s="11"/>
      <c r="I2582" s="11"/>
      <c r="J2582" s="11"/>
      <c r="K2582" s="11"/>
      <c r="L2582" s="11"/>
      <c r="M2582" s="11"/>
      <c r="N2582" s="44" t="n">
        <v>16.51</v>
      </c>
      <c r="O2582" s="11"/>
    </row>
    <row r="2583" customFormat="false" ht="14.25" hidden="false" customHeight="true" outlineLevel="0" collapsed="false">
      <c r="C2583" s="11"/>
      <c r="D2583" s="11"/>
      <c r="E2583" s="11"/>
      <c r="F2583" s="11"/>
      <c r="G2583" s="11"/>
      <c r="H2583" s="11"/>
      <c r="I2583" s="11"/>
      <c r="J2583" s="11"/>
      <c r="K2583" s="11"/>
      <c r="L2583" s="11"/>
      <c r="M2583" s="11"/>
      <c r="N2583" s="44" t="n">
        <v>16.69</v>
      </c>
      <c r="O2583" s="11"/>
    </row>
    <row r="2584" customFormat="false" ht="14.25" hidden="false" customHeight="true" outlineLevel="0" collapsed="false">
      <c r="C2584" s="11"/>
      <c r="D2584" s="11"/>
      <c r="E2584" s="11"/>
      <c r="F2584" s="11"/>
      <c r="G2584" s="11"/>
      <c r="H2584" s="11"/>
      <c r="I2584" s="11"/>
      <c r="J2584" s="11"/>
      <c r="K2584" s="11"/>
      <c r="L2584" s="11"/>
      <c r="M2584" s="11"/>
      <c r="N2584" s="44" t="n">
        <v>16.53</v>
      </c>
      <c r="O2584" s="11"/>
    </row>
    <row r="2585" customFormat="false" ht="14.25" hidden="false" customHeight="true" outlineLevel="0" collapsed="false">
      <c r="C2585" s="11"/>
      <c r="D2585" s="11"/>
      <c r="E2585" s="11"/>
      <c r="F2585" s="11"/>
      <c r="G2585" s="11"/>
      <c r="H2585" s="11"/>
      <c r="I2585" s="11"/>
      <c r="J2585" s="11"/>
      <c r="K2585" s="11"/>
      <c r="L2585" s="11"/>
      <c r="M2585" s="11"/>
      <c r="N2585" s="44" t="n">
        <v>16.52</v>
      </c>
      <c r="O2585" s="11"/>
    </row>
    <row r="2586" customFormat="false" ht="14.25" hidden="false" customHeight="true" outlineLevel="0" collapsed="false">
      <c r="C2586" s="11"/>
      <c r="D2586" s="11"/>
      <c r="E2586" s="11"/>
      <c r="F2586" s="11"/>
      <c r="G2586" s="11"/>
      <c r="H2586" s="11"/>
      <c r="I2586" s="11"/>
      <c r="J2586" s="11"/>
      <c r="K2586" s="11"/>
      <c r="L2586" s="11"/>
      <c r="M2586" s="11"/>
      <c r="N2586" s="44" t="n">
        <v>16.36</v>
      </c>
      <c r="O2586" s="11"/>
    </row>
    <row r="2587" customFormat="false" ht="14.25" hidden="false" customHeight="true" outlineLevel="0" collapsed="false">
      <c r="C2587" s="11"/>
      <c r="D2587" s="11"/>
      <c r="E2587" s="11"/>
      <c r="F2587" s="11"/>
      <c r="G2587" s="11"/>
      <c r="H2587" s="11"/>
      <c r="I2587" s="11"/>
      <c r="J2587" s="11"/>
      <c r="K2587" s="11"/>
      <c r="L2587" s="11"/>
      <c r="M2587" s="11"/>
      <c r="N2587" s="44" t="n">
        <v>16.17</v>
      </c>
      <c r="O2587" s="11"/>
    </row>
    <row r="2588" customFormat="false" ht="14.25" hidden="false" customHeight="true" outlineLevel="0" collapsed="false">
      <c r="C2588" s="11"/>
      <c r="D2588" s="11"/>
      <c r="E2588" s="11"/>
      <c r="F2588" s="11"/>
      <c r="G2588" s="11"/>
      <c r="H2588" s="11"/>
      <c r="I2588" s="11"/>
      <c r="J2588" s="11"/>
      <c r="K2588" s="11"/>
      <c r="L2588" s="11"/>
      <c r="M2588" s="11"/>
      <c r="N2588" s="44" t="n">
        <v>15.85</v>
      </c>
      <c r="O2588" s="11"/>
    </row>
    <row r="2589" customFormat="false" ht="14.25" hidden="false" customHeight="true" outlineLevel="0" collapsed="false">
      <c r="C2589" s="11"/>
      <c r="D2589" s="11"/>
      <c r="E2589" s="11"/>
      <c r="F2589" s="11"/>
      <c r="G2589" s="11"/>
      <c r="H2589" s="11"/>
      <c r="I2589" s="11"/>
      <c r="J2589" s="11"/>
      <c r="K2589" s="11"/>
      <c r="L2589" s="11"/>
      <c r="M2589" s="11"/>
      <c r="N2589" s="44" t="n">
        <v>15.92</v>
      </c>
      <c r="O2589" s="11"/>
    </row>
    <row r="2590" customFormat="false" ht="14.25" hidden="false" customHeight="true" outlineLevel="0" collapsed="false">
      <c r="C2590" s="11"/>
      <c r="D2590" s="11"/>
      <c r="E2590" s="11"/>
      <c r="F2590" s="11"/>
      <c r="G2590" s="11"/>
      <c r="H2590" s="11"/>
      <c r="I2590" s="11"/>
      <c r="J2590" s="11"/>
      <c r="K2590" s="11"/>
      <c r="L2590" s="11"/>
      <c r="M2590" s="11"/>
      <c r="N2590" s="44" t="n">
        <v>15.92</v>
      </c>
      <c r="O2590" s="11"/>
    </row>
    <row r="2591" customFormat="false" ht="14.25" hidden="false" customHeight="true" outlineLevel="0" collapsed="false">
      <c r="C2591" s="11"/>
      <c r="D2591" s="11"/>
      <c r="E2591" s="11"/>
      <c r="F2591" s="11"/>
      <c r="G2591" s="11"/>
      <c r="H2591" s="11"/>
      <c r="I2591" s="11"/>
      <c r="J2591" s="11"/>
      <c r="K2591" s="11"/>
      <c r="L2591" s="11"/>
      <c r="M2591" s="11"/>
      <c r="N2591" s="44" t="n">
        <v>16.14</v>
      </c>
      <c r="O2591" s="11"/>
    </row>
    <row r="2592" customFormat="false" ht="14.25" hidden="false" customHeight="true" outlineLevel="0" collapsed="false">
      <c r="C2592" s="11"/>
      <c r="D2592" s="11"/>
      <c r="E2592" s="11"/>
      <c r="F2592" s="11"/>
      <c r="G2592" s="11"/>
      <c r="H2592" s="11"/>
      <c r="I2592" s="11"/>
      <c r="J2592" s="11"/>
      <c r="K2592" s="11"/>
      <c r="L2592" s="11"/>
      <c r="M2592" s="11"/>
      <c r="N2592" s="44" t="n">
        <v>16.3</v>
      </c>
      <c r="O2592" s="11"/>
    </row>
    <row r="2593" customFormat="false" ht="14.25" hidden="false" customHeight="true" outlineLevel="0" collapsed="false">
      <c r="C2593" s="11"/>
      <c r="D2593" s="11"/>
      <c r="E2593" s="11"/>
      <c r="F2593" s="11"/>
      <c r="G2593" s="11"/>
      <c r="H2593" s="11"/>
      <c r="I2593" s="11"/>
      <c r="J2593" s="11"/>
      <c r="K2593" s="11"/>
      <c r="L2593" s="11"/>
      <c r="M2593" s="11"/>
      <c r="N2593" s="44" t="n">
        <v>16.22</v>
      </c>
      <c r="O2593" s="11"/>
    </row>
    <row r="2594" customFormat="false" ht="14.25" hidden="false" customHeight="true" outlineLevel="0" collapsed="false">
      <c r="C2594" s="11"/>
      <c r="D2594" s="11"/>
      <c r="E2594" s="11"/>
      <c r="F2594" s="11"/>
      <c r="G2594" s="11"/>
      <c r="H2594" s="11"/>
      <c r="I2594" s="11"/>
      <c r="J2594" s="11"/>
      <c r="K2594" s="11"/>
      <c r="L2594" s="11"/>
      <c r="M2594" s="11"/>
      <c r="N2594" s="44" t="n">
        <v>16.34</v>
      </c>
      <c r="O2594" s="11"/>
    </row>
    <row r="2595" customFormat="false" ht="14.25" hidden="false" customHeight="true" outlineLevel="0" collapsed="false">
      <c r="C2595" s="11"/>
      <c r="D2595" s="11"/>
      <c r="E2595" s="11"/>
      <c r="F2595" s="11"/>
      <c r="G2595" s="11"/>
      <c r="H2595" s="11"/>
      <c r="I2595" s="11"/>
      <c r="J2595" s="11"/>
      <c r="K2595" s="11"/>
      <c r="L2595" s="11"/>
      <c r="M2595" s="11"/>
      <c r="N2595" s="44" t="n">
        <v>16.25</v>
      </c>
      <c r="O2595" s="11"/>
    </row>
    <row r="2596" customFormat="false" ht="14.25" hidden="false" customHeight="true" outlineLevel="0" collapsed="false">
      <c r="C2596" s="11"/>
      <c r="D2596" s="11"/>
      <c r="E2596" s="11"/>
      <c r="F2596" s="11"/>
      <c r="G2596" s="11"/>
      <c r="H2596" s="11"/>
      <c r="I2596" s="11"/>
      <c r="J2596" s="11"/>
      <c r="K2596" s="11"/>
      <c r="L2596" s="11"/>
      <c r="M2596" s="11"/>
      <c r="N2596" s="44" t="n">
        <v>16.34</v>
      </c>
      <c r="O2596" s="11"/>
    </row>
    <row r="2597" customFormat="false" ht="14.25" hidden="false" customHeight="true" outlineLevel="0" collapsed="false">
      <c r="C2597" s="11"/>
      <c r="D2597" s="11"/>
      <c r="E2597" s="11"/>
      <c r="F2597" s="11"/>
      <c r="G2597" s="11"/>
      <c r="H2597" s="11"/>
      <c r="I2597" s="11"/>
      <c r="J2597" s="11"/>
      <c r="K2597" s="11"/>
      <c r="L2597" s="11"/>
      <c r="M2597" s="11"/>
      <c r="N2597" s="44" t="n">
        <v>15.85</v>
      </c>
      <c r="O2597" s="11"/>
    </row>
    <row r="2598" customFormat="false" ht="14.25" hidden="false" customHeight="true" outlineLevel="0" collapsed="false">
      <c r="C2598" s="11"/>
      <c r="D2598" s="11"/>
      <c r="E2598" s="11"/>
      <c r="F2598" s="11"/>
      <c r="G2598" s="11"/>
      <c r="H2598" s="11"/>
      <c r="I2598" s="11"/>
      <c r="J2598" s="11"/>
      <c r="K2598" s="11"/>
      <c r="L2598" s="11"/>
      <c r="M2598" s="11"/>
      <c r="N2598" s="44" t="n">
        <v>15.85</v>
      </c>
      <c r="O2598" s="11"/>
    </row>
    <row r="2599" customFormat="false" ht="14.25" hidden="false" customHeight="true" outlineLevel="0" collapsed="false">
      <c r="C2599" s="11"/>
      <c r="D2599" s="11"/>
      <c r="E2599" s="11"/>
      <c r="F2599" s="11"/>
      <c r="G2599" s="11"/>
      <c r="H2599" s="11"/>
      <c r="I2599" s="11"/>
      <c r="J2599" s="11"/>
      <c r="K2599" s="11"/>
      <c r="L2599" s="11"/>
      <c r="M2599" s="11"/>
      <c r="N2599" s="44" t="n">
        <v>15.82</v>
      </c>
      <c r="O2599" s="11"/>
    </row>
    <row r="2600" customFormat="false" ht="14.25" hidden="false" customHeight="true" outlineLevel="0" collapsed="false">
      <c r="C2600" s="11"/>
      <c r="D2600" s="11"/>
      <c r="E2600" s="11"/>
      <c r="F2600" s="11"/>
      <c r="G2600" s="11"/>
      <c r="H2600" s="11"/>
      <c r="I2600" s="11"/>
      <c r="J2600" s="11"/>
      <c r="K2600" s="11"/>
      <c r="L2600" s="11"/>
      <c r="M2600" s="11"/>
      <c r="N2600" s="44" t="n">
        <v>15.97</v>
      </c>
      <c r="O2600" s="11"/>
    </row>
    <row r="2601" customFormat="false" ht="14.25" hidden="false" customHeight="true" outlineLevel="0" collapsed="false">
      <c r="C2601" s="11"/>
      <c r="D2601" s="11"/>
      <c r="E2601" s="11"/>
      <c r="F2601" s="11"/>
      <c r="G2601" s="11"/>
      <c r="H2601" s="11"/>
      <c r="I2601" s="11"/>
      <c r="J2601" s="11"/>
      <c r="K2601" s="11"/>
      <c r="L2601" s="11"/>
      <c r="M2601" s="11"/>
      <c r="N2601" s="44" t="n">
        <v>16.28</v>
      </c>
      <c r="O2601" s="11"/>
    </row>
    <row r="2602" customFormat="false" ht="14.25" hidden="false" customHeight="true" outlineLevel="0" collapsed="false">
      <c r="C2602" s="11"/>
      <c r="D2602" s="11"/>
      <c r="E2602" s="11"/>
      <c r="F2602" s="11"/>
      <c r="G2602" s="11"/>
      <c r="H2602" s="11"/>
      <c r="I2602" s="11"/>
      <c r="J2602" s="11"/>
      <c r="K2602" s="11"/>
      <c r="L2602" s="11"/>
      <c r="M2602" s="11"/>
      <c r="N2602" s="44" t="n">
        <v>16.21</v>
      </c>
      <c r="O2602" s="11"/>
    </row>
    <row r="2603" customFormat="false" ht="14.25" hidden="false" customHeight="true" outlineLevel="0" collapsed="false">
      <c r="C2603" s="11"/>
      <c r="D2603" s="11"/>
      <c r="E2603" s="11"/>
      <c r="F2603" s="11"/>
      <c r="G2603" s="11"/>
      <c r="H2603" s="11"/>
      <c r="I2603" s="11"/>
      <c r="J2603" s="11"/>
      <c r="K2603" s="11"/>
      <c r="L2603" s="11"/>
      <c r="M2603" s="11"/>
      <c r="N2603" s="44" t="n">
        <v>16.49</v>
      </c>
      <c r="O2603" s="11"/>
    </row>
    <row r="2604" customFormat="false" ht="14.25" hidden="false" customHeight="true" outlineLevel="0" collapsed="false">
      <c r="C2604" s="11"/>
      <c r="D2604" s="11"/>
      <c r="E2604" s="11"/>
      <c r="F2604" s="11"/>
      <c r="G2604" s="11"/>
      <c r="H2604" s="11"/>
      <c r="I2604" s="11"/>
      <c r="J2604" s="11"/>
      <c r="K2604" s="11"/>
      <c r="L2604" s="11"/>
      <c r="M2604" s="11"/>
      <c r="N2604" s="44" t="n">
        <v>16.58</v>
      </c>
      <c r="O2604" s="11"/>
    </row>
    <row r="2605" customFormat="false" ht="14.25" hidden="false" customHeight="true" outlineLevel="0" collapsed="false">
      <c r="C2605" s="11"/>
      <c r="D2605" s="11"/>
      <c r="E2605" s="11"/>
      <c r="F2605" s="11"/>
      <c r="G2605" s="11"/>
      <c r="H2605" s="11"/>
      <c r="I2605" s="11"/>
      <c r="J2605" s="11"/>
      <c r="K2605" s="11"/>
      <c r="L2605" s="11"/>
      <c r="M2605" s="11"/>
      <c r="N2605" s="44" t="n">
        <v>16.58</v>
      </c>
      <c r="O2605" s="11"/>
    </row>
    <row r="2606" customFormat="false" ht="14.25" hidden="false" customHeight="true" outlineLevel="0" collapsed="false">
      <c r="C2606" s="11"/>
      <c r="D2606" s="11"/>
      <c r="E2606" s="11"/>
      <c r="F2606" s="11"/>
      <c r="G2606" s="11"/>
      <c r="H2606" s="11"/>
      <c r="I2606" s="11"/>
      <c r="J2606" s="11"/>
      <c r="K2606" s="11"/>
      <c r="L2606" s="11"/>
      <c r="M2606" s="11"/>
      <c r="N2606" s="44" t="n">
        <v>16.53</v>
      </c>
      <c r="O2606" s="11"/>
    </row>
    <row r="2607" customFormat="false" ht="14.25" hidden="false" customHeight="true" outlineLevel="0" collapsed="false">
      <c r="C2607" s="11"/>
      <c r="D2607" s="11"/>
      <c r="E2607" s="11"/>
      <c r="F2607" s="11"/>
      <c r="G2607" s="11"/>
      <c r="H2607" s="11"/>
      <c r="I2607" s="11"/>
      <c r="J2607" s="11"/>
      <c r="K2607" s="11"/>
      <c r="L2607" s="11"/>
      <c r="M2607" s="11"/>
      <c r="N2607" s="44" t="n">
        <v>16.49</v>
      </c>
      <c r="O2607" s="11"/>
    </row>
    <row r="2608" customFormat="false" ht="14.25" hidden="false" customHeight="true" outlineLevel="0" collapsed="false">
      <c r="C2608" s="11"/>
      <c r="D2608" s="11"/>
      <c r="E2608" s="11"/>
      <c r="F2608" s="11"/>
      <c r="G2608" s="11"/>
      <c r="H2608" s="11"/>
      <c r="I2608" s="11"/>
      <c r="J2608" s="11"/>
      <c r="K2608" s="11"/>
      <c r="L2608" s="11"/>
      <c r="M2608" s="11"/>
      <c r="N2608" s="44" t="n">
        <v>16.63</v>
      </c>
      <c r="O2608" s="11"/>
    </row>
    <row r="2609" customFormat="false" ht="14.25" hidden="false" customHeight="true" outlineLevel="0" collapsed="false">
      <c r="C2609" s="11"/>
      <c r="D2609" s="11"/>
      <c r="E2609" s="11"/>
      <c r="F2609" s="11"/>
      <c r="G2609" s="11"/>
      <c r="H2609" s="11"/>
      <c r="I2609" s="11"/>
      <c r="J2609" s="11"/>
      <c r="K2609" s="11"/>
      <c r="L2609" s="11"/>
      <c r="M2609" s="11"/>
      <c r="N2609" s="44" t="n">
        <v>17.1</v>
      </c>
      <c r="O2609" s="11"/>
    </row>
    <row r="2610" customFormat="false" ht="14.25" hidden="false" customHeight="true" outlineLevel="0" collapsed="false">
      <c r="C2610" s="11"/>
      <c r="D2610" s="11"/>
      <c r="E2610" s="11"/>
      <c r="F2610" s="11"/>
      <c r="G2610" s="11"/>
      <c r="H2610" s="11"/>
      <c r="I2610" s="11"/>
      <c r="J2610" s="11"/>
      <c r="K2610" s="11"/>
      <c r="L2610" s="11"/>
      <c r="M2610" s="11"/>
      <c r="N2610" s="44" t="n">
        <v>17.01</v>
      </c>
      <c r="O2610" s="11"/>
    </row>
    <row r="2611" customFormat="false" ht="14.25" hidden="false" customHeight="true" outlineLevel="0" collapsed="false">
      <c r="C2611" s="11"/>
      <c r="D2611" s="11"/>
      <c r="E2611" s="11"/>
      <c r="F2611" s="11"/>
      <c r="G2611" s="11"/>
      <c r="H2611" s="11"/>
      <c r="I2611" s="11"/>
      <c r="J2611" s="11"/>
      <c r="K2611" s="11"/>
      <c r="L2611" s="11"/>
      <c r="M2611" s="11"/>
      <c r="N2611" s="44" t="n">
        <v>17.26</v>
      </c>
      <c r="O2611" s="11"/>
    </row>
    <row r="2612" customFormat="false" ht="14.25" hidden="false" customHeight="true" outlineLevel="0" collapsed="false">
      <c r="C2612" s="11"/>
      <c r="D2612" s="11"/>
      <c r="E2612" s="11"/>
      <c r="F2612" s="11"/>
      <c r="G2612" s="11"/>
      <c r="H2612" s="11"/>
      <c r="I2612" s="11"/>
      <c r="J2612" s="11"/>
      <c r="K2612" s="11"/>
      <c r="L2612" s="11"/>
      <c r="M2612" s="11"/>
      <c r="N2612" s="44" t="n">
        <v>17.05</v>
      </c>
      <c r="O2612" s="11"/>
    </row>
    <row r="2613" customFormat="false" ht="14.25" hidden="false" customHeight="true" outlineLevel="0" collapsed="false">
      <c r="C2613" s="11"/>
      <c r="D2613" s="11"/>
      <c r="E2613" s="11"/>
      <c r="F2613" s="11"/>
      <c r="G2613" s="11"/>
      <c r="H2613" s="11"/>
      <c r="I2613" s="11"/>
      <c r="J2613" s="11"/>
      <c r="K2613" s="11"/>
      <c r="L2613" s="11"/>
      <c r="M2613" s="11"/>
      <c r="N2613" s="44" t="n">
        <v>16.98</v>
      </c>
      <c r="O2613" s="11"/>
    </row>
    <row r="2614" customFormat="false" ht="14.25" hidden="false" customHeight="true" outlineLevel="0" collapsed="false">
      <c r="C2614" s="11"/>
      <c r="D2614" s="11"/>
      <c r="E2614" s="11"/>
      <c r="F2614" s="11"/>
      <c r="G2614" s="11"/>
      <c r="H2614" s="11"/>
      <c r="I2614" s="11"/>
      <c r="J2614" s="11"/>
      <c r="K2614" s="11"/>
      <c r="L2614" s="11"/>
      <c r="M2614" s="11"/>
      <c r="N2614" s="44" t="n">
        <v>17.23</v>
      </c>
      <c r="O2614" s="11"/>
    </row>
    <row r="2615" customFormat="false" ht="14.25" hidden="false" customHeight="true" outlineLevel="0" collapsed="false">
      <c r="C2615" s="11"/>
      <c r="D2615" s="11"/>
      <c r="E2615" s="11"/>
      <c r="F2615" s="11"/>
      <c r="G2615" s="11"/>
      <c r="H2615" s="11"/>
      <c r="I2615" s="11"/>
      <c r="J2615" s="11"/>
      <c r="K2615" s="11"/>
      <c r="L2615" s="11"/>
      <c r="M2615" s="11"/>
      <c r="N2615" s="44" t="n">
        <v>17.49</v>
      </c>
      <c r="O2615" s="11"/>
    </row>
    <row r="2616" customFormat="false" ht="14.25" hidden="false" customHeight="true" outlineLevel="0" collapsed="false">
      <c r="C2616" s="11"/>
      <c r="D2616" s="11"/>
      <c r="E2616" s="11"/>
      <c r="F2616" s="11"/>
      <c r="G2616" s="11"/>
      <c r="H2616" s="11"/>
      <c r="I2616" s="11"/>
      <c r="J2616" s="11"/>
      <c r="K2616" s="11"/>
      <c r="L2616" s="11"/>
      <c r="M2616" s="11"/>
      <c r="N2616" s="44" t="n">
        <v>17.34</v>
      </c>
      <c r="O2616" s="11"/>
    </row>
    <row r="2617" customFormat="false" ht="14.25" hidden="false" customHeight="true" outlineLevel="0" collapsed="false">
      <c r="C2617" s="11"/>
      <c r="D2617" s="11"/>
      <c r="E2617" s="11"/>
      <c r="F2617" s="11"/>
      <c r="G2617" s="11"/>
      <c r="H2617" s="11"/>
      <c r="I2617" s="11"/>
      <c r="J2617" s="11"/>
      <c r="K2617" s="11"/>
      <c r="L2617" s="11"/>
      <c r="M2617" s="11"/>
      <c r="N2617" s="44" t="n">
        <v>17.46</v>
      </c>
      <c r="O2617" s="11"/>
    </row>
    <row r="2618" customFormat="false" ht="14.25" hidden="false" customHeight="true" outlineLevel="0" collapsed="false">
      <c r="C2618" s="11"/>
      <c r="D2618" s="11"/>
      <c r="E2618" s="11"/>
      <c r="F2618" s="11"/>
      <c r="G2618" s="11"/>
      <c r="H2618" s="11"/>
      <c r="I2618" s="11"/>
      <c r="J2618" s="11"/>
      <c r="K2618" s="11"/>
      <c r="L2618" s="11"/>
      <c r="M2618" s="11"/>
      <c r="N2618" s="44" t="n">
        <v>17.47</v>
      </c>
      <c r="O2618" s="11"/>
    </row>
    <row r="2619" customFormat="false" ht="14.25" hidden="false" customHeight="true" outlineLevel="0" collapsed="false">
      <c r="C2619" s="11"/>
      <c r="D2619" s="11"/>
      <c r="E2619" s="11"/>
      <c r="F2619" s="11"/>
      <c r="G2619" s="11"/>
      <c r="H2619" s="11"/>
      <c r="I2619" s="11"/>
      <c r="J2619" s="11"/>
      <c r="K2619" s="11"/>
      <c r="L2619" s="11"/>
      <c r="M2619" s="11"/>
      <c r="N2619" s="44" t="n">
        <v>17.55</v>
      </c>
      <c r="O2619" s="11"/>
    </row>
    <row r="2620" customFormat="false" ht="14.25" hidden="false" customHeight="true" outlineLevel="0" collapsed="false">
      <c r="C2620" s="11"/>
      <c r="D2620" s="11"/>
      <c r="E2620" s="11"/>
      <c r="F2620" s="11"/>
      <c r="G2620" s="11"/>
      <c r="H2620" s="11"/>
      <c r="I2620" s="11"/>
      <c r="J2620" s="11"/>
      <c r="K2620" s="11"/>
      <c r="L2620" s="11"/>
      <c r="M2620" s="11"/>
      <c r="N2620" s="44" t="n">
        <v>17.78</v>
      </c>
      <c r="O2620" s="11"/>
    </row>
    <row r="2621" customFormat="false" ht="14.25" hidden="false" customHeight="true" outlineLevel="0" collapsed="false">
      <c r="C2621" s="11"/>
      <c r="D2621" s="11"/>
      <c r="E2621" s="11"/>
      <c r="F2621" s="11"/>
      <c r="G2621" s="11"/>
      <c r="H2621" s="11"/>
      <c r="I2621" s="11"/>
      <c r="J2621" s="11"/>
      <c r="K2621" s="11"/>
      <c r="L2621" s="11"/>
      <c r="M2621" s="11"/>
      <c r="N2621" s="44" t="n">
        <v>17.75</v>
      </c>
      <c r="O2621" s="11"/>
    </row>
    <row r="2622" customFormat="false" ht="14.25" hidden="false" customHeight="true" outlineLevel="0" collapsed="false">
      <c r="C2622" s="11"/>
      <c r="D2622" s="11"/>
      <c r="E2622" s="11"/>
      <c r="F2622" s="11"/>
      <c r="G2622" s="11"/>
      <c r="H2622" s="11"/>
      <c r="I2622" s="11"/>
      <c r="J2622" s="11"/>
      <c r="K2622" s="11"/>
      <c r="L2622" s="11"/>
      <c r="M2622" s="11"/>
      <c r="N2622" s="44" t="n">
        <v>17.88</v>
      </c>
      <c r="O2622" s="11"/>
    </row>
    <row r="2623" customFormat="false" ht="14.25" hidden="false" customHeight="true" outlineLevel="0" collapsed="false">
      <c r="C2623" s="11"/>
      <c r="D2623" s="11"/>
      <c r="E2623" s="11"/>
      <c r="F2623" s="11"/>
      <c r="G2623" s="11"/>
      <c r="H2623" s="11"/>
      <c r="I2623" s="11"/>
      <c r="J2623" s="11"/>
      <c r="K2623" s="11"/>
      <c r="L2623" s="11"/>
      <c r="M2623" s="11"/>
      <c r="N2623" s="44" t="n">
        <v>17.8</v>
      </c>
      <c r="O2623" s="11"/>
    </row>
    <row r="2624" customFormat="false" ht="14.25" hidden="false" customHeight="true" outlineLevel="0" collapsed="false">
      <c r="C2624" s="11"/>
      <c r="D2624" s="11"/>
      <c r="E2624" s="11"/>
      <c r="F2624" s="11"/>
      <c r="G2624" s="11"/>
      <c r="H2624" s="11"/>
      <c r="I2624" s="11"/>
      <c r="J2624" s="11"/>
      <c r="K2624" s="11"/>
      <c r="L2624" s="11"/>
      <c r="M2624" s="11"/>
      <c r="N2624" s="44" t="n">
        <v>17.87</v>
      </c>
      <c r="O2624" s="11"/>
    </row>
    <row r="2625" customFormat="false" ht="14.25" hidden="false" customHeight="true" outlineLevel="0" collapsed="false">
      <c r="C2625" s="11"/>
      <c r="D2625" s="11"/>
      <c r="E2625" s="11"/>
      <c r="F2625" s="11"/>
      <c r="G2625" s="11"/>
      <c r="H2625" s="11"/>
      <c r="I2625" s="11"/>
      <c r="J2625" s="11"/>
      <c r="K2625" s="11"/>
      <c r="L2625" s="11"/>
      <c r="M2625" s="11"/>
      <c r="N2625" s="44" t="n">
        <v>17.87</v>
      </c>
      <c r="O2625" s="11"/>
    </row>
    <row r="2626" customFormat="false" ht="14.25" hidden="false" customHeight="true" outlineLevel="0" collapsed="false">
      <c r="C2626" s="11"/>
      <c r="D2626" s="11"/>
      <c r="E2626" s="11"/>
      <c r="F2626" s="11"/>
      <c r="G2626" s="11"/>
      <c r="H2626" s="11"/>
      <c r="I2626" s="11"/>
      <c r="J2626" s="11"/>
      <c r="K2626" s="11"/>
      <c r="L2626" s="11"/>
      <c r="M2626" s="11"/>
      <c r="N2626" s="44" t="n">
        <v>17.76</v>
      </c>
      <c r="O2626" s="11"/>
    </row>
    <row r="2627" customFormat="false" ht="14.25" hidden="false" customHeight="true" outlineLevel="0" collapsed="false">
      <c r="C2627" s="11"/>
      <c r="D2627" s="11"/>
      <c r="E2627" s="11"/>
      <c r="F2627" s="11"/>
      <c r="G2627" s="11"/>
      <c r="H2627" s="11"/>
      <c r="I2627" s="11"/>
      <c r="J2627" s="11"/>
      <c r="K2627" s="11"/>
      <c r="L2627" s="11"/>
      <c r="M2627" s="11"/>
      <c r="N2627" s="44" t="n">
        <v>17.66</v>
      </c>
      <c r="O2627" s="11"/>
    </row>
    <row r="2628" customFormat="false" ht="14.25" hidden="false" customHeight="true" outlineLevel="0" collapsed="false">
      <c r="C2628" s="11"/>
      <c r="D2628" s="11"/>
      <c r="E2628" s="11"/>
      <c r="F2628" s="11"/>
      <c r="G2628" s="11"/>
      <c r="H2628" s="11"/>
      <c r="I2628" s="11"/>
      <c r="J2628" s="11"/>
      <c r="K2628" s="11"/>
      <c r="L2628" s="11"/>
      <c r="M2628" s="11"/>
      <c r="N2628" s="44" t="n">
        <v>17.61</v>
      </c>
      <c r="O2628" s="11"/>
    </row>
    <row r="2629" customFormat="false" ht="14.25" hidden="false" customHeight="true" outlineLevel="0" collapsed="false">
      <c r="C2629" s="11"/>
      <c r="D2629" s="11"/>
      <c r="E2629" s="11"/>
      <c r="F2629" s="11"/>
      <c r="G2629" s="11"/>
      <c r="H2629" s="11"/>
      <c r="I2629" s="11"/>
      <c r="J2629" s="11"/>
      <c r="K2629" s="11"/>
      <c r="L2629" s="11"/>
      <c r="M2629" s="11"/>
      <c r="N2629" s="44" t="n">
        <v>17.37</v>
      </c>
      <c r="O2629" s="11"/>
    </row>
    <row r="2630" customFormat="false" ht="14.25" hidden="false" customHeight="true" outlineLevel="0" collapsed="false">
      <c r="C2630" s="11"/>
      <c r="D2630" s="11"/>
      <c r="E2630" s="11"/>
      <c r="F2630" s="11"/>
      <c r="G2630" s="11"/>
      <c r="H2630" s="11"/>
      <c r="I2630" s="11"/>
      <c r="J2630" s="11"/>
      <c r="K2630" s="11"/>
      <c r="L2630" s="11"/>
      <c r="M2630" s="11"/>
      <c r="N2630" s="44" t="n">
        <v>17.37</v>
      </c>
      <c r="O2630" s="11"/>
    </row>
    <row r="2631" customFormat="false" ht="14.25" hidden="false" customHeight="true" outlineLevel="0" collapsed="false">
      <c r="C2631" s="11"/>
      <c r="D2631" s="11"/>
      <c r="E2631" s="11"/>
      <c r="F2631" s="11"/>
      <c r="G2631" s="11"/>
      <c r="H2631" s="11"/>
      <c r="I2631" s="11"/>
      <c r="J2631" s="11"/>
      <c r="K2631" s="11"/>
      <c r="L2631" s="11"/>
      <c r="M2631" s="11"/>
      <c r="N2631" s="44" t="n">
        <v>17.49</v>
      </c>
      <c r="O2631" s="11"/>
    </row>
    <row r="2632" customFormat="false" ht="14.25" hidden="false" customHeight="true" outlineLevel="0" collapsed="false">
      <c r="C2632" s="11"/>
      <c r="D2632" s="11"/>
      <c r="E2632" s="11"/>
      <c r="F2632" s="11"/>
      <c r="G2632" s="11"/>
      <c r="H2632" s="11"/>
      <c r="I2632" s="11"/>
      <c r="J2632" s="11"/>
      <c r="K2632" s="11"/>
      <c r="L2632" s="11"/>
      <c r="M2632" s="11"/>
      <c r="N2632" s="44" t="n">
        <v>17.55</v>
      </c>
      <c r="O2632" s="11"/>
    </row>
    <row r="2633" customFormat="false" ht="14.25" hidden="false" customHeight="true" outlineLevel="0" collapsed="false">
      <c r="C2633" s="11"/>
      <c r="D2633" s="11"/>
      <c r="E2633" s="11"/>
      <c r="F2633" s="11"/>
      <c r="G2633" s="11"/>
      <c r="H2633" s="11"/>
      <c r="I2633" s="11"/>
      <c r="J2633" s="11"/>
      <c r="K2633" s="11"/>
      <c r="L2633" s="11"/>
      <c r="M2633" s="11"/>
      <c r="N2633" s="44" t="n">
        <v>17.8</v>
      </c>
      <c r="O2633" s="11"/>
    </row>
    <row r="2634" customFormat="false" ht="14.25" hidden="false" customHeight="true" outlineLevel="0" collapsed="false">
      <c r="C2634" s="11"/>
      <c r="D2634" s="11"/>
      <c r="E2634" s="11"/>
      <c r="F2634" s="11"/>
      <c r="G2634" s="11"/>
      <c r="H2634" s="11"/>
      <c r="I2634" s="11"/>
      <c r="J2634" s="11"/>
      <c r="K2634" s="11"/>
      <c r="L2634" s="11"/>
      <c r="M2634" s="11"/>
      <c r="N2634" s="44" t="n">
        <v>17.71</v>
      </c>
      <c r="O2634" s="11"/>
    </row>
    <row r="2635" customFormat="false" ht="14.25" hidden="false" customHeight="true" outlineLevel="0" collapsed="false">
      <c r="C2635" s="11"/>
      <c r="D2635" s="11"/>
      <c r="E2635" s="11"/>
      <c r="F2635" s="11"/>
      <c r="G2635" s="11"/>
      <c r="H2635" s="11"/>
      <c r="I2635" s="11"/>
      <c r="J2635" s="11"/>
      <c r="K2635" s="11"/>
      <c r="L2635" s="11"/>
      <c r="M2635" s="11"/>
      <c r="N2635" s="44" t="n">
        <v>18.07</v>
      </c>
      <c r="O2635" s="11"/>
    </row>
    <row r="2636" customFormat="false" ht="14.25" hidden="false" customHeight="true" outlineLevel="0" collapsed="false">
      <c r="C2636" s="11"/>
      <c r="D2636" s="11"/>
      <c r="E2636" s="11"/>
      <c r="F2636" s="11"/>
      <c r="G2636" s="11"/>
      <c r="H2636" s="11"/>
      <c r="I2636" s="11"/>
      <c r="J2636" s="11"/>
      <c r="K2636" s="11"/>
      <c r="L2636" s="11"/>
      <c r="M2636" s="11"/>
      <c r="N2636" s="44" t="n">
        <v>17.87</v>
      </c>
      <c r="O2636" s="11"/>
    </row>
    <row r="2637" customFormat="false" ht="14.25" hidden="false" customHeight="true" outlineLevel="0" collapsed="false">
      <c r="C2637" s="11"/>
      <c r="D2637" s="11"/>
      <c r="E2637" s="11"/>
      <c r="F2637" s="11"/>
      <c r="G2637" s="11"/>
      <c r="H2637" s="11"/>
      <c r="I2637" s="11"/>
      <c r="J2637" s="11"/>
      <c r="K2637" s="11"/>
      <c r="L2637" s="11"/>
      <c r="M2637" s="11"/>
      <c r="N2637" s="44" t="n">
        <v>17.88</v>
      </c>
      <c r="O2637" s="11"/>
    </row>
    <row r="2638" customFormat="false" ht="14.25" hidden="false" customHeight="true" outlineLevel="0" collapsed="false">
      <c r="C2638" s="11"/>
      <c r="D2638" s="11"/>
      <c r="E2638" s="11"/>
      <c r="F2638" s="11"/>
      <c r="G2638" s="11"/>
      <c r="H2638" s="11"/>
      <c r="I2638" s="11"/>
      <c r="J2638" s="11"/>
      <c r="K2638" s="11"/>
      <c r="L2638" s="11"/>
      <c r="M2638" s="11"/>
      <c r="N2638" s="44" t="n">
        <v>17.66</v>
      </c>
      <c r="O2638" s="11"/>
    </row>
    <row r="2639" customFormat="false" ht="14.25" hidden="false" customHeight="true" outlineLevel="0" collapsed="false">
      <c r="C2639" s="11"/>
      <c r="D2639" s="11"/>
      <c r="E2639" s="11"/>
      <c r="F2639" s="11"/>
      <c r="G2639" s="11"/>
      <c r="H2639" s="11"/>
      <c r="I2639" s="11"/>
      <c r="J2639" s="11"/>
      <c r="K2639" s="11"/>
      <c r="L2639" s="11"/>
      <c r="M2639" s="11"/>
      <c r="N2639" s="44" t="n">
        <v>17.77</v>
      </c>
      <c r="O2639" s="11"/>
    </row>
    <row r="2640" customFormat="false" ht="14.25" hidden="false" customHeight="true" outlineLevel="0" collapsed="false">
      <c r="C2640" s="11"/>
      <c r="D2640" s="11"/>
      <c r="E2640" s="11"/>
      <c r="F2640" s="11"/>
      <c r="G2640" s="11"/>
      <c r="H2640" s="11"/>
      <c r="I2640" s="11"/>
      <c r="J2640" s="11"/>
      <c r="K2640" s="11"/>
      <c r="L2640" s="11"/>
      <c r="M2640" s="11"/>
      <c r="N2640" s="44" t="n">
        <v>17.68</v>
      </c>
      <c r="O2640" s="11"/>
    </row>
    <row r="2641" customFormat="false" ht="14.25" hidden="false" customHeight="true" outlineLevel="0" collapsed="false">
      <c r="C2641" s="11"/>
      <c r="D2641" s="11"/>
      <c r="E2641" s="11"/>
      <c r="F2641" s="11"/>
      <c r="G2641" s="11"/>
      <c r="H2641" s="11"/>
      <c r="I2641" s="11"/>
      <c r="J2641" s="11"/>
      <c r="K2641" s="11"/>
      <c r="L2641" s="11"/>
      <c r="M2641" s="11"/>
      <c r="N2641" s="44" t="n">
        <v>17.93</v>
      </c>
      <c r="O2641" s="11"/>
    </row>
    <row r="2642" customFormat="false" ht="14.25" hidden="false" customHeight="true" outlineLevel="0" collapsed="false">
      <c r="C2642" s="11"/>
      <c r="D2642" s="11"/>
      <c r="E2642" s="11"/>
      <c r="F2642" s="11"/>
      <c r="G2642" s="11"/>
      <c r="H2642" s="11"/>
      <c r="I2642" s="11"/>
      <c r="J2642" s="11"/>
      <c r="K2642" s="11"/>
      <c r="L2642" s="11"/>
      <c r="M2642" s="11"/>
      <c r="N2642" s="44" t="n">
        <v>17.91</v>
      </c>
      <c r="O2642" s="11"/>
    </row>
    <row r="2643" customFormat="false" ht="14.25" hidden="false" customHeight="true" outlineLevel="0" collapsed="false">
      <c r="C2643" s="11"/>
      <c r="D2643" s="11"/>
      <c r="E2643" s="11"/>
      <c r="F2643" s="11"/>
      <c r="G2643" s="11"/>
      <c r="H2643" s="11"/>
      <c r="I2643" s="11"/>
      <c r="J2643" s="11"/>
      <c r="K2643" s="11"/>
      <c r="L2643" s="11"/>
      <c r="M2643" s="11"/>
      <c r="N2643" s="44" t="n">
        <v>17.86</v>
      </c>
      <c r="O2643" s="11"/>
    </row>
    <row r="2644" customFormat="false" ht="14.25" hidden="false" customHeight="true" outlineLevel="0" collapsed="false">
      <c r="C2644" s="11"/>
      <c r="D2644" s="11"/>
      <c r="E2644" s="11"/>
      <c r="F2644" s="11"/>
      <c r="G2644" s="11"/>
      <c r="H2644" s="11"/>
      <c r="I2644" s="11"/>
      <c r="J2644" s="11"/>
      <c r="K2644" s="11"/>
      <c r="L2644" s="11"/>
      <c r="M2644" s="11"/>
      <c r="N2644" s="44" t="n">
        <v>18.29</v>
      </c>
      <c r="O2644" s="11"/>
    </row>
    <row r="2645" customFormat="false" ht="14.25" hidden="false" customHeight="true" outlineLevel="0" collapsed="false">
      <c r="C2645" s="11"/>
      <c r="D2645" s="11"/>
      <c r="E2645" s="11"/>
      <c r="F2645" s="11"/>
      <c r="G2645" s="11"/>
      <c r="H2645" s="11"/>
      <c r="I2645" s="11"/>
      <c r="J2645" s="11"/>
      <c r="K2645" s="11"/>
      <c r="L2645" s="11"/>
      <c r="M2645" s="11"/>
      <c r="N2645" s="44" t="n">
        <v>18.51</v>
      </c>
      <c r="O2645" s="11"/>
    </row>
    <row r="2646" customFormat="false" ht="14.25" hidden="false" customHeight="true" outlineLevel="0" collapsed="false">
      <c r="C2646" s="11"/>
      <c r="D2646" s="11"/>
      <c r="E2646" s="11"/>
      <c r="F2646" s="11"/>
      <c r="G2646" s="11"/>
      <c r="H2646" s="11"/>
      <c r="I2646" s="11"/>
      <c r="J2646" s="11"/>
      <c r="K2646" s="11"/>
      <c r="L2646" s="11"/>
      <c r="M2646" s="11"/>
      <c r="N2646" s="44" t="n">
        <v>18.2</v>
      </c>
      <c r="O2646" s="11"/>
    </row>
    <row r="2647" customFormat="false" ht="14.25" hidden="false" customHeight="true" outlineLevel="0" collapsed="false">
      <c r="C2647" s="11"/>
      <c r="D2647" s="11"/>
      <c r="E2647" s="11"/>
      <c r="F2647" s="11"/>
      <c r="G2647" s="11"/>
      <c r="H2647" s="11"/>
      <c r="I2647" s="11"/>
      <c r="J2647" s="11"/>
      <c r="K2647" s="11"/>
      <c r="L2647" s="11"/>
      <c r="M2647" s="11"/>
      <c r="N2647" s="44" t="n">
        <v>18.26</v>
      </c>
      <c r="O2647" s="11"/>
    </row>
    <row r="2648" customFormat="false" ht="14.25" hidden="false" customHeight="true" outlineLevel="0" collapsed="false">
      <c r="C2648" s="11"/>
      <c r="D2648" s="11"/>
      <c r="E2648" s="11"/>
      <c r="F2648" s="11"/>
      <c r="G2648" s="11"/>
      <c r="H2648" s="11"/>
      <c r="I2648" s="11"/>
      <c r="J2648" s="11"/>
      <c r="K2648" s="11"/>
      <c r="L2648" s="11"/>
      <c r="M2648" s="11"/>
      <c r="N2648" s="44" t="n">
        <v>18.22</v>
      </c>
      <c r="O2648" s="11"/>
    </row>
    <row r="2649" customFormat="false" ht="14.25" hidden="false" customHeight="true" outlineLevel="0" collapsed="false">
      <c r="C2649" s="11"/>
      <c r="D2649" s="11"/>
      <c r="E2649" s="11"/>
      <c r="F2649" s="11"/>
      <c r="G2649" s="11"/>
      <c r="H2649" s="11"/>
      <c r="I2649" s="11"/>
      <c r="J2649" s="11"/>
      <c r="K2649" s="11"/>
      <c r="L2649" s="11"/>
      <c r="M2649" s="11"/>
      <c r="N2649" s="44" t="n">
        <v>17.86</v>
      </c>
      <c r="O2649" s="11"/>
    </row>
    <row r="2650" customFormat="false" ht="14.25" hidden="false" customHeight="true" outlineLevel="0" collapsed="false">
      <c r="C2650" s="11"/>
      <c r="D2650" s="11"/>
      <c r="E2650" s="11"/>
      <c r="F2650" s="11"/>
      <c r="G2650" s="11"/>
      <c r="H2650" s="11"/>
      <c r="I2650" s="11"/>
      <c r="J2650" s="11"/>
      <c r="K2650" s="11"/>
      <c r="L2650" s="11"/>
      <c r="M2650" s="11"/>
      <c r="N2650" s="44" t="n">
        <v>18.03</v>
      </c>
      <c r="O2650" s="11"/>
    </row>
    <row r="2651" customFormat="false" ht="14.25" hidden="false" customHeight="true" outlineLevel="0" collapsed="false">
      <c r="C2651" s="11"/>
      <c r="D2651" s="11"/>
      <c r="E2651" s="11"/>
      <c r="F2651" s="11"/>
      <c r="G2651" s="11"/>
      <c r="H2651" s="11"/>
      <c r="I2651" s="11"/>
      <c r="J2651" s="11"/>
      <c r="K2651" s="11"/>
      <c r="L2651" s="11"/>
      <c r="M2651" s="11"/>
      <c r="N2651" s="44" t="n">
        <v>18.03</v>
      </c>
      <c r="O2651" s="11"/>
    </row>
    <row r="2652" customFormat="false" ht="14.25" hidden="false" customHeight="true" outlineLevel="0" collapsed="false">
      <c r="C2652" s="11"/>
      <c r="D2652" s="11"/>
      <c r="E2652" s="11"/>
      <c r="F2652" s="11"/>
      <c r="G2652" s="11"/>
      <c r="H2652" s="11"/>
      <c r="I2652" s="11"/>
      <c r="J2652" s="11"/>
      <c r="K2652" s="11"/>
      <c r="L2652" s="11"/>
      <c r="M2652" s="11"/>
      <c r="N2652" s="44" t="n">
        <v>18.03</v>
      </c>
      <c r="O2652" s="11"/>
    </row>
    <row r="2653" customFormat="false" ht="14.25" hidden="false" customHeight="true" outlineLevel="0" collapsed="false">
      <c r="C2653" s="11"/>
      <c r="D2653" s="11"/>
      <c r="E2653" s="11"/>
      <c r="F2653" s="11"/>
      <c r="G2653" s="11"/>
      <c r="H2653" s="11"/>
      <c r="I2653" s="11"/>
      <c r="J2653" s="11"/>
      <c r="K2653" s="11"/>
      <c r="L2653" s="11"/>
      <c r="M2653" s="11"/>
      <c r="N2653" s="44" t="n">
        <v>18.28</v>
      </c>
      <c r="O2653" s="11"/>
    </row>
    <row r="2654" customFormat="false" ht="14.25" hidden="false" customHeight="true" outlineLevel="0" collapsed="false">
      <c r="C2654" s="11"/>
      <c r="D2654" s="11"/>
      <c r="E2654" s="11"/>
      <c r="F2654" s="11"/>
      <c r="G2654" s="11"/>
      <c r="H2654" s="11"/>
      <c r="I2654" s="11"/>
      <c r="J2654" s="11"/>
      <c r="K2654" s="11"/>
      <c r="L2654" s="11"/>
      <c r="M2654" s="11"/>
      <c r="N2654" s="44" t="n">
        <v>18.48</v>
      </c>
      <c r="O2654" s="11"/>
    </row>
    <row r="2655" customFormat="false" ht="14.25" hidden="false" customHeight="true" outlineLevel="0" collapsed="false">
      <c r="C2655" s="11"/>
      <c r="D2655" s="11"/>
      <c r="E2655" s="11"/>
      <c r="F2655" s="11"/>
      <c r="G2655" s="11"/>
      <c r="H2655" s="11"/>
      <c r="I2655" s="11"/>
      <c r="J2655" s="11"/>
      <c r="K2655" s="11"/>
      <c r="L2655" s="11"/>
      <c r="M2655" s="11"/>
      <c r="N2655" s="44" t="n">
        <v>18.63</v>
      </c>
      <c r="O2655" s="11"/>
    </row>
    <row r="2656" customFormat="false" ht="14.25" hidden="false" customHeight="true" outlineLevel="0" collapsed="false">
      <c r="C2656" s="11"/>
      <c r="D2656" s="11"/>
      <c r="E2656" s="11"/>
      <c r="F2656" s="11"/>
      <c r="G2656" s="11"/>
      <c r="H2656" s="11"/>
      <c r="I2656" s="11"/>
      <c r="J2656" s="11"/>
      <c r="K2656" s="11"/>
      <c r="L2656" s="11"/>
      <c r="M2656" s="11"/>
      <c r="N2656" s="44" t="n">
        <v>18.65</v>
      </c>
      <c r="O2656" s="11"/>
    </row>
    <row r="2657" customFormat="false" ht="14.25" hidden="false" customHeight="true" outlineLevel="0" collapsed="false">
      <c r="C2657" s="11"/>
      <c r="D2657" s="11"/>
      <c r="E2657" s="11"/>
      <c r="F2657" s="11"/>
      <c r="G2657" s="11"/>
      <c r="H2657" s="11"/>
      <c r="I2657" s="11"/>
      <c r="J2657" s="11"/>
      <c r="K2657" s="11"/>
      <c r="L2657" s="11"/>
      <c r="M2657" s="11"/>
      <c r="N2657" s="44" t="n">
        <v>18.71</v>
      </c>
      <c r="O2657" s="11"/>
    </row>
    <row r="2658" customFormat="false" ht="14.25" hidden="false" customHeight="true" outlineLevel="0" collapsed="false">
      <c r="C2658" s="11"/>
      <c r="D2658" s="11"/>
      <c r="E2658" s="11"/>
      <c r="F2658" s="11"/>
      <c r="G2658" s="11"/>
      <c r="H2658" s="11"/>
      <c r="I2658" s="11"/>
      <c r="J2658" s="11"/>
      <c r="K2658" s="11"/>
      <c r="L2658" s="11"/>
      <c r="M2658" s="11"/>
      <c r="N2658" s="44" t="n">
        <v>18.75</v>
      </c>
      <c r="O2658" s="11"/>
    </row>
    <row r="2659" customFormat="false" ht="14.25" hidden="false" customHeight="true" outlineLevel="0" collapsed="false">
      <c r="C2659" s="11"/>
      <c r="D2659" s="11"/>
      <c r="E2659" s="11"/>
      <c r="F2659" s="11"/>
      <c r="G2659" s="11"/>
      <c r="H2659" s="11"/>
      <c r="I2659" s="11"/>
      <c r="J2659" s="11"/>
      <c r="K2659" s="11"/>
      <c r="L2659" s="11"/>
      <c r="M2659" s="11"/>
      <c r="N2659" s="44" t="n">
        <v>18.68</v>
      </c>
      <c r="O2659" s="11"/>
    </row>
    <row r="2660" customFormat="false" ht="14.25" hidden="false" customHeight="true" outlineLevel="0" collapsed="false">
      <c r="C2660" s="11"/>
      <c r="D2660" s="11"/>
      <c r="E2660" s="11"/>
      <c r="F2660" s="11"/>
      <c r="G2660" s="11"/>
      <c r="H2660" s="11"/>
      <c r="I2660" s="11"/>
      <c r="J2660" s="11"/>
      <c r="K2660" s="11"/>
      <c r="L2660" s="11"/>
      <c r="M2660" s="11"/>
      <c r="N2660" s="44" t="n">
        <v>18.81</v>
      </c>
      <c r="O2660" s="11"/>
    </row>
    <row r="2661" customFormat="false" ht="14.25" hidden="false" customHeight="true" outlineLevel="0" collapsed="false">
      <c r="C2661" s="11"/>
      <c r="D2661" s="11"/>
      <c r="E2661" s="11"/>
      <c r="F2661" s="11"/>
      <c r="G2661" s="11"/>
      <c r="H2661" s="11"/>
      <c r="I2661" s="11"/>
      <c r="J2661" s="11"/>
      <c r="K2661" s="11"/>
      <c r="L2661" s="11"/>
      <c r="M2661" s="11"/>
      <c r="N2661" s="44" t="n">
        <v>18.99</v>
      </c>
      <c r="O2661" s="11"/>
    </row>
    <row r="2662" customFormat="false" ht="14.25" hidden="false" customHeight="true" outlineLevel="0" collapsed="false">
      <c r="C2662" s="11"/>
      <c r="D2662" s="11"/>
      <c r="E2662" s="11"/>
      <c r="F2662" s="11"/>
      <c r="G2662" s="11"/>
      <c r="H2662" s="11"/>
      <c r="I2662" s="11"/>
      <c r="J2662" s="11"/>
      <c r="K2662" s="11"/>
      <c r="L2662" s="11"/>
      <c r="M2662" s="11"/>
      <c r="N2662" s="44" t="n">
        <v>18.97</v>
      </c>
      <c r="O2662" s="11"/>
    </row>
    <row r="2663" customFormat="false" ht="14.25" hidden="false" customHeight="true" outlineLevel="0" collapsed="false">
      <c r="C2663" s="11"/>
      <c r="D2663" s="11"/>
      <c r="E2663" s="11"/>
      <c r="F2663" s="11"/>
      <c r="G2663" s="11"/>
      <c r="H2663" s="11"/>
      <c r="I2663" s="11"/>
      <c r="J2663" s="11"/>
      <c r="K2663" s="11"/>
      <c r="L2663" s="11"/>
      <c r="M2663" s="11"/>
      <c r="N2663" s="44" t="n">
        <v>19.11</v>
      </c>
      <c r="O2663" s="11"/>
    </row>
    <row r="2664" customFormat="false" ht="14.25" hidden="false" customHeight="true" outlineLevel="0" collapsed="false">
      <c r="C2664" s="11"/>
      <c r="D2664" s="11"/>
      <c r="E2664" s="11"/>
      <c r="F2664" s="11"/>
      <c r="G2664" s="11"/>
      <c r="H2664" s="11"/>
      <c r="I2664" s="11"/>
      <c r="J2664" s="11"/>
      <c r="K2664" s="11"/>
      <c r="L2664" s="11"/>
      <c r="M2664" s="11"/>
      <c r="N2664" s="44" t="n">
        <v>18.79</v>
      </c>
      <c r="O2664" s="11"/>
    </row>
    <row r="2665" customFormat="false" ht="14.25" hidden="false" customHeight="true" outlineLevel="0" collapsed="false">
      <c r="C2665" s="11"/>
      <c r="D2665" s="11"/>
      <c r="E2665" s="11"/>
      <c r="F2665" s="11"/>
      <c r="G2665" s="11"/>
      <c r="H2665" s="11"/>
      <c r="I2665" s="11"/>
      <c r="J2665" s="11"/>
      <c r="K2665" s="11"/>
      <c r="L2665" s="11"/>
      <c r="M2665" s="11"/>
      <c r="N2665" s="44" t="n">
        <v>18.58</v>
      </c>
      <c r="O2665" s="11"/>
    </row>
    <row r="2666" customFormat="false" ht="14.25" hidden="false" customHeight="true" outlineLevel="0" collapsed="false">
      <c r="C2666" s="11"/>
      <c r="D2666" s="11"/>
      <c r="E2666" s="11"/>
      <c r="F2666" s="11"/>
      <c r="G2666" s="11"/>
      <c r="H2666" s="11"/>
      <c r="I2666" s="11"/>
      <c r="J2666" s="11"/>
      <c r="K2666" s="11"/>
      <c r="L2666" s="11"/>
      <c r="M2666" s="11"/>
      <c r="N2666" s="44" t="n">
        <v>19.51</v>
      </c>
      <c r="O2666" s="11"/>
    </row>
    <row r="2667" customFormat="false" ht="14.25" hidden="false" customHeight="true" outlineLevel="0" collapsed="false">
      <c r="C2667" s="11"/>
      <c r="D2667" s="11"/>
      <c r="E2667" s="11"/>
      <c r="F2667" s="11"/>
      <c r="G2667" s="11"/>
      <c r="H2667" s="11"/>
      <c r="I2667" s="11"/>
      <c r="J2667" s="11"/>
      <c r="K2667" s="11"/>
      <c r="L2667" s="11"/>
      <c r="M2667" s="11"/>
      <c r="N2667" s="44" t="n">
        <v>19.24</v>
      </c>
      <c r="O2667" s="11"/>
    </row>
    <row r="2668" customFormat="false" ht="14.25" hidden="false" customHeight="true" outlineLevel="0" collapsed="false">
      <c r="C2668" s="11"/>
      <c r="D2668" s="11"/>
      <c r="E2668" s="11"/>
      <c r="F2668" s="11"/>
      <c r="G2668" s="11"/>
      <c r="H2668" s="11"/>
      <c r="I2668" s="11"/>
      <c r="J2668" s="11"/>
      <c r="K2668" s="11"/>
      <c r="L2668" s="11"/>
      <c r="M2668" s="11"/>
      <c r="N2668" s="44" t="n">
        <v>19.21</v>
      </c>
      <c r="O2668" s="11"/>
    </row>
    <row r="2669" customFormat="false" ht="14.25" hidden="false" customHeight="true" outlineLevel="0" collapsed="false">
      <c r="C2669" s="11"/>
      <c r="D2669" s="11"/>
      <c r="E2669" s="11"/>
      <c r="F2669" s="11"/>
      <c r="G2669" s="11"/>
      <c r="H2669" s="11"/>
      <c r="I2669" s="11"/>
      <c r="J2669" s="11"/>
      <c r="K2669" s="11"/>
      <c r="L2669" s="11"/>
      <c r="M2669" s="11"/>
      <c r="N2669" s="44" t="n">
        <v>18.53</v>
      </c>
      <c r="O2669" s="11"/>
    </row>
    <row r="2670" customFormat="false" ht="14.25" hidden="false" customHeight="true" outlineLevel="0" collapsed="false">
      <c r="C2670" s="11"/>
      <c r="D2670" s="11"/>
      <c r="E2670" s="11"/>
      <c r="F2670" s="11"/>
      <c r="G2670" s="11"/>
      <c r="H2670" s="11"/>
      <c r="I2670" s="11"/>
      <c r="J2670" s="11"/>
      <c r="K2670" s="11"/>
      <c r="L2670" s="11"/>
      <c r="M2670" s="11"/>
      <c r="N2670" s="44" t="n">
        <v>18.41</v>
      </c>
      <c r="O2670" s="11"/>
    </row>
    <row r="2671" customFormat="false" ht="14.25" hidden="false" customHeight="true" outlineLevel="0" collapsed="false">
      <c r="C2671" s="11"/>
      <c r="D2671" s="11"/>
      <c r="E2671" s="11"/>
      <c r="F2671" s="11"/>
      <c r="G2671" s="11"/>
      <c r="H2671" s="11"/>
      <c r="I2671" s="11"/>
      <c r="J2671" s="11"/>
      <c r="K2671" s="11"/>
      <c r="L2671" s="11"/>
      <c r="M2671" s="11"/>
      <c r="N2671" s="44" t="n">
        <v>18.07</v>
      </c>
      <c r="O2671" s="11"/>
    </row>
    <row r="2672" customFormat="false" ht="14.25" hidden="false" customHeight="true" outlineLevel="0" collapsed="false">
      <c r="C2672" s="11"/>
      <c r="D2672" s="11"/>
      <c r="E2672" s="11"/>
      <c r="F2672" s="11"/>
      <c r="G2672" s="11"/>
      <c r="H2672" s="11"/>
      <c r="I2672" s="11"/>
      <c r="J2672" s="11"/>
      <c r="K2672" s="11"/>
      <c r="L2672" s="11"/>
      <c r="M2672" s="11"/>
      <c r="N2672" s="44" t="n">
        <v>18.18</v>
      </c>
      <c r="O2672" s="11"/>
    </row>
    <row r="2673" customFormat="false" ht="14.25" hidden="false" customHeight="true" outlineLevel="0" collapsed="false">
      <c r="C2673" s="11"/>
      <c r="D2673" s="11"/>
      <c r="E2673" s="11"/>
      <c r="F2673" s="11"/>
      <c r="G2673" s="11"/>
      <c r="H2673" s="11"/>
      <c r="I2673" s="11"/>
      <c r="J2673" s="11"/>
      <c r="K2673" s="11"/>
      <c r="L2673" s="11"/>
      <c r="M2673" s="11"/>
      <c r="N2673" s="44" t="n">
        <v>18.05</v>
      </c>
      <c r="O2673" s="11"/>
    </row>
    <row r="2674" customFormat="false" ht="14.25" hidden="false" customHeight="true" outlineLevel="0" collapsed="false">
      <c r="C2674" s="11"/>
      <c r="D2674" s="11"/>
      <c r="E2674" s="11"/>
      <c r="F2674" s="11"/>
      <c r="G2674" s="11"/>
      <c r="H2674" s="11"/>
      <c r="I2674" s="11"/>
      <c r="J2674" s="11"/>
      <c r="K2674" s="11"/>
      <c r="L2674" s="11"/>
      <c r="M2674" s="11"/>
      <c r="N2674" s="44" t="n">
        <v>18.1</v>
      </c>
      <c r="O2674" s="11"/>
    </row>
    <row r="2675" customFormat="false" ht="14.25" hidden="false" customHeight="true" outlineLevel="0" collapsed="false">
      <c r="C2675" s="11"/>
      <c r="D2675" s="11"/>
      <c r="E2675" s="11"/>
      <c r="F2675" s="11"/>
      <c r="G2675" s="11"/>
      <c r="H2675" s="11"/>
      <c r="I2675" s="11"/>
      <c r="J2675" s="11"/>
      <c r="K2675" s="11"/>
      <c r="L2675" s="11"/>
      <c r="M2675" s="11"/>
      <c r="N2675" s="44" t="n">
        <v>17.81</v>
      </c>
      <c r="O2675" s="11"/>
    </row>
    <row r="2676" customFormat="false" ht="14.25" hidden="false" customHeight="true" outlineLevel="0" collapsed="false">
      <c r="C2676" s="11"/>
      <c r="D2676" s="11"/>
      <c r="E2676" s="11"/>
      <c r="F2676" s="11"/>
      <c r="G2676" s="11"/>
      <c r="H2676" s="11"/>
      <c r="I2676" s="11"/>
      <c r="J2676" s="11"/>
      <c r="K2676" s="11"/>
      <c r="L2676" s="11"/>
      <c r="M2676" s="11"/>
      <c r="N2676" s="44" t="n">
        <v>17.52</v>
      </c>
      <c r="O2676" s="11"/>
    </row>
    <row r="2677" customFormat="false" ht="14.25" hidden="false" customHeight="true" outlineLevel="0" collapsed="false">
      <c r="C2677" s="11"/>
      <c r="D2677" s="11"/>
      <c r="E2677" s="11"/>
      <c r="F2677" s="11"/>
      <c r="G2677" s="11"/>
      <c r="H2677" s="11"/>
      <c r="I2677" s="11"/>
      <c r="J2677" s="11"/>
      <c r="K2677" s="11"/>
      <c r="L2677" s="11"/>
      <c r="M2677" s="11"/>
      <c r="N2677" s="44" t="n">
        <v>17.47</v>
      </c>
      <c r="O2677" s="11"/>
    </row>
    <row r="2678" customFormat="false" ht="14.25" hidden="false" customHeight="true" outlineLevel="0" collapsed="false">
      <c r="C2678" s="11"/>
      <c r="D2678" s="11"/>
      <c r="E2678" s="11"/>
      <c r="F2678" s="11"/>
      <c r="G2678" s="11"/>
      <c r="H2678" s="11"/>
      <c r="I2678" s="11"/>
      <c r="J2678" s="11"/>
      <c r="K2678" s="11"/>
      <c r="L2678" s="11"/>
      <c r="M2678" s="11"/>
      <c r="N2678" s="44" t="n">
        <v>17.1</v>
      </c>
      <c r="O2678" s="11"/>
    </row>
    <row r="2679" customFormat="false" ht="14.25" hidden="false" customHeight="true" outlineLevel="0" collapsed="false">
      <c r="C2679" s="11"/>
      <c r="D2679" s="11"/>
      <c r="E2679" s="11"/>
      <c r="F2679" s="11"/>
      <c r="G2679" s="11"/>
      <c r="H2679" s="11"/>
      <c r="I2679" s="11"/>
      <c r="J2679" s="11"/>
      <c r="K2679" s="11"/>
      <c r="L2679" s="11"/>
      <c r="M2679" s="11"/>
      <c r="N2679" s="44" t="n">
        <v>17.07</v>
      </c>
      <c r="O2679" s="11"/>
    </row>
    <row r="2680" customFormat="false" ht="14.25" hidden="false" customHeight="true" outlineLevel="0" collapsed="false">
      <c r="C2680" s="11"/>
      <c r="D2680" s="11"/>
      <c r="E2680" s="11"/>
      <c r="F2680" s="11"/>
      <c r="G2680" s="11"/>
      <c r="H2680" s="11"/>
      <c r="I2680" s="11"/>
      <c r="J2680" s="11"/>
      <c r="K2680" s="11"/>
      <c r="L2680" s="11"/>
      <c r="M2680" s="11"/>
      <c r="N2680" s="44" t="n">
        <v>16.61</v>
      </c>
      <c r="O2680" s="11"/>
    </row>
    <row r="2681" customFormat="false" ht="14.25" hidden="false" customHeight="true" outlineLevel="0" collapsed="false">
      <c r="C2681" s="11"/>
      <c r="D2681" s="11"/>
      <c r="E2681" s="11"/>
      <c r="F2681" s="11"/>
      <c r="G2681" s="11"/>
      <c r="H2681" s="11"/>
      <c r="I2681" s="11"/>
      <c r="J2681" s="11"/>
      <c r="K2681" s="11"/>
      <c r="L2681" s="11"/>
      <c r="M2681" s="11"/>
      <c r="N2681" s="44" t="n">
        <v>16.46</v>
      </c>
      <c r="O2681" s="11"/>
    </row>
    <row r="2682" customFormat="false" ht="14.25" hidden="false" customHeight="true" outlineLevel="0" collapsed="false">
      <c r="C2682" s="11"/>
      <c r="D2682" s="11"/>
      <c r="E2682" s="11"/>
      <c r="F2682" s="11"/>
      <c r="G2682" s="11"/>
      <c r="H2682" s="11"/>
      <c r="I2682" s="11"/>
      <c r="J2682" s="11"/>
      <c r="K2682" s="11"/>
      <c r="L2682" s="11"/>
      <c r="M2682" s="11"/>
      <c r="N2682" s="44" t="n">
        <v>16.33</v>
      </c>
      <c r="O2682" s="11"/>
    </row>
    <row r="2683" customFormat="false" ht="14.25" hidden="false" customHeight="true" outlineLevel="0" collapsed="false">
      <c r="C2683" s="11"/>
      <c r="D2683" s="11"/>
      <c r="E2683" s="11"/>
      <c r="F2683" s="11"/>
      <c r="G2683" s="11"/>
      <c r="H2683" s="11"/>
      <c r="I2683" s="11"/>
      <c r="J2683" s="11"/>
      <c r="K2683" s="11"/>
      <c r="L2683" s="11"/>
      <c r="M2683" s="11"/>
      <c r="N2683" s="44" t="n">
        <v>16.34</v>
      </c>
      <c r="O2683" s="11"/>
    </row>
    <row r="2684" customFormat="false" ht="14.25" hidden="false" customHeight="true" outlineLevel="0" collapsed="false">
      <c r="C2684" s="11"/>
      <c r="D2684" s="11"/>
      <c r="E2684" s="11"/>
      <c r="F2684" s="11"/>
      <c r="G2684" s="11"/>
      <c r="H2684" s="11"/>
      <c r="I2684" s="11"/>
      <c r="J2684" s="11"/>
      <c r="K2684" s="11"/>
      <c r="L2684" s="11"/>
      <c r="M2684" s="11"/>
      <c r="N2684" s="44" t="n">
        <v>16.08</v>
      </c>
      <c r="O2684" s="11"/>
    </row>
    <row r="2685" customFormat="false" ht="14.25" hidden="false" customHeight="true" outlineLevel="0" collapsed="false">
      <c r="C2685" s="11"/>
      <c r="D2685" s="11"/>
      <c r="E2685" s="11"/>
      <c r="F2685" s="11"/>
      <c r="G2685" s="11"/>
      <c r="H2685" s="11"/>
      <c r="I2685" s="11"/>
      <c r="J2685" s="11"/>
      <c r="K2685" s="11"/>
      <c r="L2685" s="11"/>
      <c r="M2685" s="11"/>
      <c r="N2685" s="44" t="n">
        <v>16.12</v>
      </c>
      <c r="O2685" s="11"/>
    </row>
    <row r="2686" customFormat="false" ht="14.25" hidden="false" customHeight="true" outlineLevel="0" collapsed="false">
      <c r="C2686" s="11"/>
      <c r="D2686" s="11"/>
      <c r="E2686" s="11"/>
      <c r="F2686" s="11"/>
      <c r="G2686" s="11"/>
      <c r="H2686" s="11"/>
      <c r="I2686" s="11"/>
      <c r="J2686" s="11"/>
      <c r="K2686" s="11"/>
      <c r="L2686" s="11"/>
      <c r="M2686" s="11"/>
      <c r="N2686" s="44" t="n">
        <v>16.06</v>
      </c>
      <c r="O2686" s="11"/>
    </row>
    <row r="2687" customFormat="false" ht="14.25" hidden="false" customHeight="true" outlineLevel="0" collapsed="false">
      <c r="C2687" s="11"/>
      <c r="D2687" s="11"/>
      <c r="E2687" s="11"/>
      <c r="F2687" s="11"/>
      <c r="G2687" s="11"/>
      <c r="H2687" s="11"/>
      <c r="I2687" s="11"/>
      <c r="J2687" s="11"/>
      <c r="K2687" s="11"/>
      <c r="L2687" s="11"/>
      <c r="M2687" s="11"/>
      <c r="N2687" s="44" t="n">
        <v>16.47</v>
      </c>
      <c r="O2687" s="11"/>
    </row>
    <row r="2688" customFormat="false" ht="14.25" hidden="false" customHeight="true" outlineLevel="0" collapsed="false">
      <c r="C2688" s="11"/>
      <c r="D2688" s="11"/>
      <c r="E2688" s="11"/>
      <c r="F2688" s="11"/>
      <c r="G2688" s="11"/>
      <c r="H2688" s="11"/>
      <c r="I2688" s="11"/>
      <c r="J2688" s="11"/>
      <c r="K2688" s="11"/>
      <c r="L2688" s="11"/>
      <c r="M2688" s="11"/>
      <c r="N2688" s="44" t="n">
        <v>16.49</v>
      </c>
      <c r="O2688" s="11"/>
    </row>
    <row r="2689" customFormat="false" ht="14.25" hidden="false" customHeight="true" outlineLevel="0" collapsed="false">
      <c r="C2689" s="11"/>
      <c r="D2689" s="11"/>
      <c r="E2689" s="11"/>
      <c r="F2689" s="11"/>
      <c r="G2689" s="11"/>
      <c r="H2689" s="11"/>
      <c r="I2689" s="11"/>
      <c r="J2689" s="11"/>
      <c r="K2689" s="11"/>
      <c r="L2689" s="11"/>
      <c r="M2689" s="11"/>
      <c r="N2689" s="44" t="n">
        <v>16.55</v>
      </c>
      <c r="O2689" s="11"/>
    </row>
    <row r="2690" customFormat="false" ht="14.25" hidden="false" customHeight="true" outlineLevel="0" collapsed="false">
      <c r="C2690" s="11"/>
      <c r="D2690" s="11"/>
      <c r="E2690" s="11"/>
      <c r="F2690" s="11"/>
      <c r="G2690" s="11"/>
      <c r="H2690" s="11"/>
      <c r="I2690" s="11"/>
      <c r="J2690" s="11"/>
      <c r="K2690" s="11"/>
      <c r="L2690" s="11"/>
      <c r="M2690" s="11"/>
      <c r="N2690" s="44" t="n">
        <v>16.39</v>
      </c>
      <c r="O2690" s="11"/>
    </row>
    <row r="2691" customFormat="false" ht="14.25" hidden="false" customHeight="true" outlineLevel="0" collapsed="false">
      <c r="C2691" s="11"/>
      <c r="D2691" s="11"/>
      <c r="E2691" s="11"/>
      <c r="F2691" s="11"/>
      <c r="G2691" s="11"/>
      <c r="H2691" s="11"/>
      <c r="I2691" s="11"/>
      <c r="J2691" s="11"/>
      <c r="K2691" s="11"/>
      <c r="L2691" s="11"/>
      <c r="M2691" s="11"/>
      <c r="N2691" s="44" t="n">
        <v>16.31</v>
      </c>
      <c r="O2691" s="11"/>
    </row>
    <row r="2692" customFormat="false" ht="14.25" hidden="false" customHeight="true" outlineLevel="0" collapsed="false">
      <c r="C2692" s="11"/>
      <c r="D2692" s="11"/>
      <c r="E2692" s="11"/>
      <c r="F2692" s="11"/>
      <c r="G2692" s="11"/>
      <c r="H2692" s="11"/>
      <c r="I2692" s="11"/>
      <c r="J2692" s="11"/>
      <c r="K2692" s="11"/>
      <c r="L2692" s="11"/>
      <c r="M2692" s="11"/>
      <c r="N2692" s="44" t="n">
        <v>16.25</v>
      </c>
      <c r="O2692" s="11"/>
    </row>
    <row r="2693" customFormat="false" ht="14.25" hidden="false" customHeight="true" outlineLevel="0" collapsed="false">
      <c r="C2693" s="11"/>
      <c r="D2693" s="11"/>
      <c r="E2693" s="11"/>
      <c r="F2693" s="11"/>
      <c r="G2693" s="11"/>
      <c r="H2693" s="11"/>
      <c r="I2693" s="11"/>
      <c r="J2693" s="11"/>
      <c r="K2693" s="11"/>
      <c r="L2693" s="11"/>
      <c r="M2693" s="11"/>
      <c r="N2693" s="44" t="n">
        <v>16.59</v>
      </c>
      <c r="O2693" s="11"/>
    </row>
    <row r="2694" customFormat="false" ht="14.25" hidden="false" customHeight="true" outlineLevel="0" collapsed="false">
      <c r="C2694" s="11"/>
      <c r="D2694" s="11"/>
      <c r="E2694" s="11"/>
      <c r="F2694" s="11"/>
      <c r="G2694" s="11"/>
      <c r="H2694" s="11"/>
      <c r="I2694" s="11"/>
      <c r="J2694" s="11"/>
      <c r="K2694" s="11"/>
      <c r="L2694" s="11"/>
      <c r="M2694" s="11"/>
      <c r="N2694" s="44" t="n">
        <v>16.67</v>
      </c>
      <c r="O2694" s="11"/>
    </row>
    <row r="2695" customFormat="false" ht="14.25" hidden="false" customHeight="true" outlineLevel="0" collapsed="false">
      <c r="C2695" s="11"/>
      <c r="D2695" s="11"/>
      <c r="E2695" s="11"/>
      <c r="F2695" s="11"/>
      <c r="G2695" s="11"/>
      <c r="H2695" s="11"/>
      <c r="I2695" s="11"/>
      <c r="J2695" s="11"/>
      <c r="K2695" s="11"/>
      <c r="L2695" s="11"/>
      <c r="M2695" s="11"/>
      <c r="N2695" s="44" t="n">
        <v>16.93</v>
      </c>
      <c r="O2695" s="11"/>
    </row>
    <row r="2696" customFormat="false" ht="14.25" hidden="false" customHeight="true" outlineLevel="0" collapsed="false">
      <c r="C2696" s="11"/>
      <c r="D2696" s="11"/>
      <c r="E2696" s="11"/>
      <c r="F2696" s="11"/>
      <c r="G2696" s="11"/>
      <c r="H2696" s="11"/>
      <c r="I2696" s="11"/>
      <c r="J2696" s="11"/>
      <c r="K2696" s="11"/>
      <c r="L2696" s="11"/>
      <c r="M2696" s="11"/>
      <c r="N2696" s="44" t="n">
        <v>16.92</v>
      </c>
      <c r="O2696" s="11"/>
    </row>
    <row r="2697" customFormat="false" ht="14.25" hidden="false" customHeight="true" outlineLevel="0" collapsed="false">
      <c r="C2697" s="11"/>
      <c r="D2697" s="11"/>
      <c r="E2697" s="11"/>
      <c r="F2697" s="11"/>
      <c r="G2697" s="11"/>
      <c r="H2697" s="11"/>
      <c r="I2697" s="11"/>
      <c r="J2697" s="11"/>
      <c r="K2697" s="11"/>
      <c r="L2697" s="11"/>
      <c r="M2697" s="11"/>
      <c r="N2697" s="44" t="n">
        <v>16.77</v>
      </c>
      <c r="O2697" s="11"/>
    </row>
    <row r="2698" customFormat="false" ht="14.25" hidden="false" customHeight="true" outlineLevel="0" collapsed="false">
      <c r="C2698" s="11"/>
      <c r="D2698" s="11"/>
      <c r="E2698" s="11"/>
      <c r="F2698" s="11"/>
      <c r="G2698" s="11"/>
      <c r="H2698" s="11"/>
      <c r="I2698" s="11"/>
      <c r="J2698" s="11"/>
      <c r="K2698" s="11"/>
      <c r="L2698" s="11"/>
      <c r="M2698" s="11"/>
      <c r="N2698" s="44" t="n">
        <v>17.11</v>
      </c>
      <c r="O2698" s="11"/>
    </row>
    <row r="2699" customFormat="false" ht="14.25" hidden="false" customHeight="true" outlineLevel="0" collapsed="false">
      <c r="C2699" s="11"/>
      <c r="D2699" s="11"/>
      <c r="E2699" s="11"/>
      <c r="F2699" s="11"/>
      <c r="G2699" s="11"/>
      <c r="H2699" s="11"/>
      <c r="I2699" s="11"/>
      <c r="J2699" s="11"/>
      <c r="K2699" s="11"/>
      <c r="L2699" s="11"/>
      <c r="M2699" s="11"/>
      <c r="N2699" s="44" t="n">
        <v>17.91</v>
      </c>
      <c r="O2699" s="11"/>
    </row>
    <row r="2700" customFormat="false" ht="14.25" hidden="false" customHeight="true" outlineLevel="0" collapsed="false">
      <c r="C2700" s="11"/>
      <c r="D2700" s="11"/>
      <c r="E2700" s="11"/>
      <c r="F2700" s="11"/>
      <c r="G2700" s="11"/>
      <c r="H2700" s="11"/>
      <c r="I2700" s="11"/>
      <c r="J2700" s="11"/>
      <c r="K2700" s="11"/>
      <c r="L2700" s="11"/>
      <c r="M2700" s="11"/>
      <c r="N2700" s="44" t="n">
        <v>18.61</v>
      </c>
      <c r="O2700" s="11"/>
    </row>
    <row r="2701" customFormat="false" ht="14.25" hidden="false" customHeight="true" outlineLevel="0" collapsed="false">
      <c r="C2701" s="11"/>
      <c r="D2701" s="11"/>
      <c r="E2701" s="11"/>
      <c r="F2701" s="11"/>
      <c r="G2701" s="11"/>
      <c r="H2701" s="11"/>
      <c r="I2701" s="11"/>
      <c r="J2701" s="11"/>
      <c r="K2701" s="11"/>
      <c r="L2701" s="11"/>
      <c r="M2701" s="11"/>
      <c r="N2701" s="44" t="n">
        <v>18.7</v>
      </c>
      <c r="O2701" s="11"/>
    </row>
    <row r="2702" customFormat="false" ht="14.25" hidden="false" customHeight="true" outlineLevel="0" collapsed="false">
      <c r="C2702" s="11"/>
      <c r="D2702" s="11"/>
      <c r="E2702" s="11"/>
      <c r="F2702" s="11"/>
      <c r="G2702" s="11"/>
      <c r="H2702" s="11"/>
      <c r="I2702" s="11"/>
      <c r="J2702" s="11"/>
      <c r="K2702" s="11"/>
      <c r="L2702" s="11"/>
      <c r="M2702" s="11"/>
      <c r="N2702" s="44" t="n">
        <v>18.77</v>
      </c>
      <c r="O2702" s="11"/>
    </row>
    <row r="2703" customFormat="false" ht="14.25" hidden="false" customHeight="true" outlineLevel="0" collapsed="false">
      <c r="C2703" s="11"/>
      <c r="D2703" s="11"/>
      <c r="E2703" s="11"/>
      <c r="F2703" s="11"/>
      <c r="G2703" s="11"/>
      <c r="H2703" s="11"/>
      <c r="I2703" s="11"/>
      <c r="J2703" s="11"/>
      <c r="K2703" s="11"/>
      <c r="L2703" s="11"/>
      <c r="M2703" s="11"/>
      <c r="N2703" s="44" t="n">
        <v>18.92</v>
      </c>
      <c r="O2703" s="11"/>
    </row>
    <row r="2704" customFormat="false" ht="14.25" hidden="false" customHeight="true" outlineLevel="0" collapsed="false">
      <c r="C2704" s="11"/>
      <c r="D2704" s="11"/>
      <c r="E2704" s="11"/>
      <c r="F2704" s="11"/>
      <c r="G2704" s="11"/>
      <c r="H2704" s="11"/>
      <c r="I2704" s="11"/>
      <c r="J2704" s="11"/>
      <c r="K2704" s="11"/>
      <c r="L2704" s="11"/>
      <c r="M2704" s="11"/>
      <c r="N2704" s="44" t="n">
        <v>18.88</v>
      </c>
      <c r="O2704" s="11"/>
    </row>
    <row r="2705" customFormat="false" ht="14.25" hidden="false" customHeight="true" outlineLevel="0" collapsed="false">
      <c r="C2705" s="11"/>
      <c r="D2705" s="11"/>
      <c r="E2705" s="11"/>
      <c r="F2705" s="11"/>
      <c r="G2705" s="11"/>
      <c r="H2705" s="11"/>
      <c r="I2705" s="11"/>
      <c r="J2705" s="11"/>
      <c r="K2705" s="11"/>
      <c r="L2705" s="11"/>
      <c r="M2705" s="11"/>
      <c r="N2705" s="44" t="n">
        <v>19</v>
      </c>
      <c r="O2705" s="11"/>
    </row>
    <row r="2706" customFormat="false" ht="14.25" hidden="false" customHeight="true" outlineLevel="0" collapsed="false">
      <c r="C2706" s="11"/>
      <c r="D2706" s="11"/>
      <c r="E2706" s="11"/>
      <c r="F2706" s="11"/>
      <c r="G2706" s="11"/>
      <c r="H2706" s="11"/>
      <c r="I2706" s="11"/>
      <c r="J2706" s="11"/>
      <c r="K2706" s="11"/>
      <c r="L2706" s="11"/>
      <c r="M2706" s="11"/>
      <c r="N2706" s="44" t="n">
        <v>19.14</v>
      </c>
      <c r="O2706" s="11"/>
    </row>
    <row r="2707" customFormat="false" ht="14.25" hidden="false" customHeight="true" outlineLevel="0" collapsed="false">
      <c r="C2707" s="11"/>
      <c r="D2707" s="11"/>
      <c r="E2707" s="11"/>
      <c r="F2707" s="11"/>
      <c r="G2707" s="11"/>
      <c r="H2707" s="11"/>
      <c r="I2707" s="11"/>
      <c r="J2707" s="11"/>
      <c r="K2707" s="11"/>
      <c r="L2707" s="11"/>
      <c r="M2707" s="11"/>
      <c r="N2707" s="44" t="n">
        <v>19.34</v>
      </c>
      <c r="O2707" s="11"/>
    </row>
    <row r="2708" customFormat="false" ht="14.25" hidden="false" customHeight="true" outlineLevel="0" collapsed="false">
      <c r="C2708" s="11"/>
      <c r="D2708" s="11"/>
      <c r="E2708" s="11"/>
      <c r="F2708" s="11"/>
      <c r="G2708" s="11"/>
      <c r="H2708" s="11"/>
      <c r="I2708" s="11"/>
      <c r="J2708" s="11"/>
      <c r="K2708" s="11"/>
      <c r="L2708" s="11"/>
      <c r="M2708" s="11"/>
      <c r="N2708" s="44" t="n">
        <v>19.27</v>
      </c>
      <c r="O2708" s="11"/>
    </row>
    <row r="2709" customFormat="false" ht="14.25" hidden="false" customHeight="true" outlineLevel="0" collapsed="false">
      <c r="C2709" s="11"/>
      <c r="D2709" s="11"/>
      <c r="E2709" s="11"/>
      <c r="F2709" s="11"/>
      <c r="G2709" s="11"/>
      <c r="H2709" s="11"/>
      <c r="I2709" s="11"/>
      <c r="J2709" s="11"/>
      <c r="K2709" s="11"/>
      <c r="L2709" s="11"/>
      <c r="M2709" s="11"/>
      <c r="N2709" s="44" t="n">
        <v>18.92</v>
      </c>
      <c r="O2709" s="11"/>
    </row>
    <row r="2710" customFormat="false" ht="14.25" hidden="false" customHeight="true" outlineLevel="0" collapsed="false">
      <c r="C2710" s="11"/>
      <c r="D2710" s="11"/>
      <c r="E2710" s="11"/>
      <c r="F2710" s="11"/>
      <c r="G2710" s="11"/>
      <c r="H2710" s="11"/>
      <c r="I2710" s="11"/>
      <c r="J2710" s="11"/>
      <c r="K2710" s="11"/>
      <c r="L2710" s="11"/>
      <c r="M2710" s="11"/>
      <c r="N2710" s="44" t="n">
        <v>19.14</v>
      </c>
      <c r="O2710" s="11"/>
    </row>
    <row r="2711" customFormat="false" ht="14.25" hidden="false" customHeight="true" outlineLevel="0" collapsed="false">
      <c r="C2711" s="11"/>
      <c r="D2711" s="11"/>
      <c r="E2711" s="11"/>
      <c r="F2711" s="11"/>
      <c r="G2711" s="11"/>
      <c r="H2711" s="11"/>
      <c r="I2711" s="11"/>
      <c r="J2711" s="11"/>
      <c r="K2711" s="11"/>
      <c r="L2711" s="11"/>
      <c r="M2711" s="11"/>
      <c r="N2711" s="44" t="n">
        <v>19.06</v>
      </c>
      <c r="O2711" s="11"/>
    </row>
    <row r="2712" customFormat="false" ht="14.25" hidden="false" customHeight="true" outlineLevel="0" collapsed="false">
      <c r="C2712" s="11"/>
      <c r="D2712" s="11"/>
      <c r="E2712" s="11"/>
      <c r="F2712" s="11"/>
      <c r="G2712" s="11"/>
      <c r="H2712" s="11"/>
      <c r="I2712" s="11"/>
      <c r="J2712" s="11"/>
      <c r="K2712" s="11"/>
      <c r="L2712" s="11"/>
      <c r="M2712" s="11"/>
      <c r="N2712" s="44" t="n">
        <v>18.99</v>
      </c>
      <c r="O2712" s="11"/>
    </row>
    <row r="2713" customFormat="false" ht="14.25" hidden="false" customHeight="true" outlineLevel="0" collapsed="false">
      <c r="C2713" s="11"/>
      <c r="D2713" s="11"/>
      <c r="E2713" s="11"/>
      <c r="F2713" s="11"/>
      <c r="G2713" s="11"/>
      <c r="H2713" s="11"/>
      <c r="I2713" s="11"/>
      <c r="J2713" s="11"/>
      <c r="K2713" s="11"/>
      <c r="L2713" s="11"/>
      <c r="M2713" s="11"/>
      <c r="N2713" s="44" t="n">
        <v>18.97</v>
      </c>
      <c r="O2713" s="11"/>
    </row>
    <row r="2714" customFormat="false" ht="14.25" hidden="false" customHeight="true" outlineLevel="0" collapsed="false">
      <c r="C2714" s="11"/>
      <c r="D2714" s="11"/>
      <c r="E2714" s="11"/>
      <c r="F2714" s="11"/>
      <c r="G2714" s="11"/>
      <c r="H2714" s="11"/>
      <c r="I2714" s="11"/>
      <c r="J2714" s="11"/>
      <c r="K2714" s="11"/>
      <c r="L2714" s="11"/>
      <c r="M2714" s="11"/>
      <c r="N2714" s="44" t="n">
        <v>18.61</v>
      </c>
      <c r="O2714" s="11"/>
    </row>
    <row r="2715" customFormat="false" ht="14.25" hidden="false" customHeight="true" outlineLevel="0" collapsed="false">
      <c r="C2715" s="11"/>
      <c r="D2715" s="11"/>
      <c r="E2715" s="11"/>
      <c r="F2715" s="11"/>
      <c r="G2715" s="11"/>
      <c r="H2715" s="11"/>
      <c r="I2715" s="11"/>
      <c r="J2715" s="11"/>
      <c r="K2715" s="11"/>
      <c r="L2715" s="11"/>
      <c r="M2715" s="11"/>
      <c r="N2715" s="44" t="n">
        <v>18.81</v>
      </c>
      <c r="O2715" s="11"/>
    </row>
    <row r="2716" customFormat="false" ht="14.25" hidden="false" customHeight="true" outlineLevel="0" collapsed="false">
      <c r="C2716" s="11"/>
      <c r="D2716" s="11"/>
      <c r="E2716" s="11"/>
      <c r="F2716" s="11"/>
      <c r="G2716" s="11"/>
      <c r="H2716" s="11"/>
      <c r="I2716" s="11"/>
      <c r="J2716" s="11"/>
      <c r="K2716" s="11"/>
      <c r="L2716" s="11"/>
      <c r="M2716" s="11"/>
      <c r="N2716" s="44" t="n">
        <v>18.85</v>
      </c>
      <c r="O2716" s="11"/>
    </row>
    <row r="2717" customFormat="false" ht="14.25" hidden="false" customHeight="true" outlineLevel="0" collapsed="false">
      <c r="C2717" s="11"/>
      <c r="D2717" s="11"/>
      <c r="E2717" s="11"/>
      <c r="F2717" s="11"/>
      <c r="G2717" s="11"/>
      <c r="H2717" s="11"/>
      <c r="I2717" s="11"/>
      <c r="J2717" s="11"/>
      <c r="K2717" s="11"/>
      <c r="L2717" s="11"/>
      <c r="M2717" s="11"/>
      <c r="N2717" s="44" t="n">
        <v>18.53</v>
      </c>
      <c r="O2717" s="11"/>
    </row>
    <row r="2718" customFormat="false" ht="14.25" hidden="false" customHeight="true" outlineLevel="0" collapsed="false">
      <c r="C2718" s="11"/>
      <c r="D2718" s="11"/>
      <c r="E2718" s="11"/>
      <c r="F2718" s="11"/>
      <c r="G2718" s="11"/>
      <c r="H2718" s="11"/>
      <c r="I2718" s="11"/>
      <c r="J2718" s="11"/>
      <c r="K2718" s="11"/>
      <c r="L2718" s="11"/>
      <c r="M2718" s="11"/>
      <c r="N2718" s="44" t="n">
        <v>18.71</v>
      </c>
      <c r="O2718" s="11"/>
    </row>
    <row r="2719" customFormat="false" ht="14.25" hidden="false" customHeight="true" outlineLevel="0" collapsed="false">
      <c r="C2719" s="11"/>
      <c r="D2719" s="11"/>
      <c r="E2719" s="11"/>
      <c r="F2719" s="11"/>
      <c r="G2719" s="11"/>
      <c r="H2719" s="11"/>
      <c r="I2719" s="11"/>
      <c r="J2719" s="11"/>
      <c r="K2719" s="11"/>
      <c r="L2719" s="11"/>
      <c r="M2719" s="11"/>
      <c r="N2719" s="44" t="n">
        <v>19.12</v>
      </c>
      <c r="O2719" s="11"/>
    </row>
    <row r="2720" customFormat="false" ht="14.25" hidden="false" customHeight="true" outlineLevel="0" collapsed="false">
      <c r="C2720" s="11"/>
      <c r="D2720" s="11"/>
      <c r="E2720" s="11"/>
      <c r="F2720" s="11"/>
      <c r="G2720" s="11"/>
      <c r="H2720" s="11"/>
      <c r="I2720" s="11"/>
      <c r="J2720" s="11"/>
      <c r="K2720" s="11"/>
      <c r="L2720" s="11"/>
      <c r="M2720" s="11"/>
      <c r="N2720" s="44" t="n">
        <v>17.54</v>
      </c>
      <c r="O2720" s="11"/>
    </row>
    <row r="2721" customFormat="false" ht="14.25" hidden="false" customHeight="true" outlineLevel="0" collapsed="false">
      <c r="C2721" s="11"/>
      <c r="D2721" s="11"/>
      <c r="E2721" s="11"/>
      <c r="F2721" s="11"/>
      <c r="G2721" s="11"/>
      <c r="H2721" s="11"/>
      <c r="I2721" s="11"/>
      <c r="J2721" s="11"/>
      <c r="K2721" s="11"/>
      <c r="L2721" s="11"/>
      <c r="M2721" s="11"/>
      <c r="N2721" s="44" t="n">
        <v>17.86</v>
      </c>
      <c r="O2721" s="11"/>
    </row>
    <row r="2722" customFormat="false" ht="14.25" hidden="false" customHeight="true" outlineLevel="0" collapsed="false">
      <c r="C2722" s="11"/>
      <c r="D2722" s="11"/>
      <c r="E2722" s="11"/>
      <c r="F2722" s="11"/>
      <c r="G2722" s="11"/>
      <c r="H2722" s="11"/>
      <c r="I2722" s="11"/>
      <c r="J2722" s="11"/>
      <c r="K2722" s="11"/>
      <c r="L2722" s="11"/>
      <c r="M2722" s="11"/>
      <c r="N2722" s="44" t="n">
        <v>17.88</v>
      </c>
      <c r="O2722" s="11"/>
    </row>
    <row r="2723" customFormat="false" ht="14.25" hidden="false" customHeight="true" outlineLevel="0" collapsed="false">
      <c r="C2723" s="11"/>
      <c r="D2723" s="11"/>
      <c r="E2723" s="11"/>
      <c r="F2723" s="11"/>
      <c r="G2723" s="11"/>
      <c r="H2723" s="11"/>
      <c r="I2723" s="11"/>
      <c r="J2723" s="11"/>
      <c r="K2723" s="11"/>
      <c r="L2723" s="11"/>
      <c r="M2723" s="11"/>
      <c r="N2723" s="44" t="n">
        <v>17.59</v>
      </c>
      <c r="O2723" s="11"/>
    </row>
    <row r="2724" customFormat="false" ht="14.25" hidden="false" customHeight="true" outlineLevel="0" collapsed="false">
      <c r="C2724" s="11"/>
      <c r="D2724" s="11"/>
      <c r="E2724" s="11"/>
      <c r="F2724" s="11"/>
      <c r="G2724" s="11"/>
      <c r="H2724" s="11"/>
      <c r="I2724" s="11"/>
      <c r="J2724" s="11"/>
      <c r="K2724" s="11"/>
      <c r="L2724" s="11"/>
      <c r="M2724" s="11"/>
      <c r="N2724" s="44" t="n">
        <v>17.19</v>
      </c>
      <c r="O2724" s="11"/>
    </row>
    <row r="2725" customFormat="false" ht="14.25" hidden="false" customHeight="true" outlineLevel="0" collapsed="false">
      <c r="C2725" s="11"/>
      <c r="D2725" s="11"/>
      <c r="E2725" s="11"/>
      <c r="F2725" s="11"/>
      <c r="G2725" s="11"/>
      <c r="H2725" s="11"/>
      <c r="I2725" s="11"/>
      <c r="J2725" s="11"/>
      <c r="K2725" s="11"/>
      <c r="L2725" s="11"/>
      <c r="M2725" s="11"/>
      <c r="N2725" s="44" t="n">
        <v>16.86</v>
      </c>
      <c r="O2725" s="11"/>
    </row>
    <row r="2726" customFormat="false" ht="14.25" hidden="false" customHeight="true" outlineLevel="0" collapsed="false">
      <c r="C2726" s="11"/>
      <c r="D2726" s="11"/>
      <c r="E2726" s="11"/>
      <c r="F2726" s="11"/>
      <c r="G2726" s="11"/>
      <c r="H2726" s="11"/>
      <c r="I2726" s="11"/>
      <c r="J2726" s="11"/>
      <c r="K2726" s="11"/>
      <c r="L2726" s="11"/>
      <c r="M2726" s="11"/>
      <c r="N2726" s="44" t="n">
        <v>16.51</v>
      </c>
      <c r="O2726" s="11"/>
    </row>
    <row r="2727" customFormat="false" ht="14.25" hidden="false" customHeight="true" outlineLevel="0" collapsed="false">
      <c r="C2727" s="11"/>
      <c r="D2727" s="11"/>
      <c r="E2727" s="11"/>
      <c r="F2727" s="11"/>
      <c r="G2727" s="11"/>
      <c r="H2727" s="11"/>
      <c r="I2727" s="11"/>
      <c r="J2727" s="11"/>
      <c r="K2727" s="11"/>
      <c r="L2727" s="11"/>
      <c r="M2727" s="11"/>
      <c r="N2727" s="44" t="n">
        <v>16.36</v>
      </c>
      <c r="O2727" s="11"/>
    </row>
    <row r="2728" customFormat="false" ht="14.25" hidden="false" customHeight="true" outlineLevel="0" collapsed="false">
      <c r="C2728" s="11"/>
      <c r="D2728" s="11"/>
      <c r="E2728" s="11"/>
      <c r="F2728" s="11"/>
      <c r="G2728" s="11"/>
      <c r="H2728" s="11"/>
      <c r="I2728" s="11"/>
      <c r="J2728" s="11"/>
      <c r="K2728" s="11"/>
      <c r="L2728" s="11"/>
      <c r="M2728" s="11"/>
      <c r="N2728" s="44" t="n">
        <v>16.23</v>
      </c>
      <c r="O2728" s="11"/>
    </row>
    <row r="2729" customFormat="false" ht="14.25" hidden="false" customHeight="true" outlineLevel="0" collapsed="false">
      <c r="C2729" s="11"/>
      <c r="D2729" s="11"/>
      <c r="E2729" s="11"/>
      <c r="F2729" s="11"/>
      <c r="G2729" s="11"/>
      <c r="H2729" s="11"/>
      <c r="I2729" s="11"/>
      <c r="J2729" s="11"/>
      <c r="K2729" s="11"/>
      <c r="L2729" s="11"/>
      <c r="M2729" s="11"/>
      <c r="N2729" s="44" t="n">
        <v>16.31</v>
      </c>
      <c r="O2729" s="11"/>
    </row>
    <row r="2730" customFormat="false" ht="14.25" hidden="false" customHeight="true" outlineLevel="0" collapsed="false">
      <c r="C2730" s="11"/>
      <c r="D2730" s="11"/>
      <c r="E2730" s="11"/>
      <c r="F2730" s="11"/>
      <c r="G2730" s="11"/>
      <c r="H2730" s="11"/>
      <c r="I2730" s="11"/>
      <c r="J2730" s="11"/>
      <c r="K2730" s="11"/>
      <c r="L2730" s="11"/>
      <c r="M2730" s="11"/>
      <c r="N2730" s="44" t="n">
        <v>16.5</v>
      </c>
      <c r="O2730" s="11"/>
    </row>
    <row r="2731" customFormat="false" ht="14.25" hidden="false" customHeight="true" outlineLevel="0" collapsed="false">
      <c r="C2731" s="11"/>
      <c r="D2731" s="11"/>
      <c r="E2731" s="11"/>
      <c r="F2731" s="11"/>
      <c r="G2731" s="11"/>
      <c r="H2731" s="11"/>
      <c r="I2731" s="11"/>
      <c r="J2731" s="11"/>
      <c r="K2731" s="11"/>
      <c r="L2731" s="11"/>
      <c r="M2731" s="11"/>
      <c r="N2731" s="44" t="n">
        <v>16.19</v>
      </c>
      <c r="O2731" s="11"/>
    </row>
    <row r="2732" customFormat="false" ht="14.25" hidden="false" customHeight="true" outlineLevel="0" collapsed="false">
      <c r="C2732" s="11"/>
      <c r="D2732" s="11"/>
      <c r="E2732" s="11"/>
      <c r="F2732" s="11"/>
      <c r="G2732" s="11"/>
      <c r="H2732" s="11"/>
      <c r="I2732" s="11"/>
      <c r="J2732" s="11"/>
      <c r="K2732" s="11"/>
      <c r="L2732" s="11"/>
      <c r="M2732" s="11"/>
      <c r="N2732" s="44" t="n">
        <v>16.18</v>
      </c>
      <c r="O2732" s="11"/>
    </row>
    <row r="2733" customFormat="false" ht="14.25" hidden="false" customHeight="true" outlineLevel="0" collapsed="false">
      <c r="C2733" s="11"/>
      <c r="D2733" s="11"/>
      <c r="E2733" s="11"/>
      <c r="F2733" s="11"/>
      <c r="G2733" s="11"/>
      <c r="H2733" s="11"/>
      <c r="I2733" s="11"/>
      <c r="J2733" s="11"/>
      <c r="K2733" s="11"/>
      <c r="L2733" s="11"/>
      <c r="M2733" s="11"/>
      <c r="N2733" s="44" t="n">
        <v>16.38</v>
      </c>
      <c r="O2733" s="11"/>
    </row>
    <row r="2734" customFormat="false" ht="14.25" hidden="false" customHeight="true" outlineLevel="0" collapsed="false">
      <c r="C2734" s="11"/>
      <c r="D2734" s="11"/>
      <c r="E2734" s="11"/>
      <c r="F2734" s="11"/>
      <c r="G2734" s="11"/>
      <c r="H2734" s="11"/>
      <c r="I2734" s="11"/>
      <c r="J2734" s="11"/>
      <c r="K2734" s="11"/>
      <c r="L2734" s="11"/>
      <c r="M2734" s="11"/>
      <c r="N2734" s="44" t="n">
        <v>16.42</v>
      </c>
      <c r="O2734" s="11"/>
    </row>
    <row r="2735" customFormat="false" ht="14.25" hidden="false" customHeight="true" outlineLevel="0" collapsed="false">
      <c r="C2735" s="11"/>
      <c r="D2735" s="11"/>
      <c r="E2735" s="11"/>
      <c r="F2735" s="11"/>
      <c r="G2735" s="11"/>
      <c r="H2735" s="11"/>
      <c r="I2735" s="11"/>
      <c r="J2735" s="11"/>
      <c r="K2735" s="11"/>
      <c r="L2735" s="11"/>
      <c r="M2735" s="11"/>
      <c r="N2735" s="44" t="n">
        <v>16.24</v>
      </c>
      <c r="O2735" s="11"/>
    </row>
    <row r="2736" customFormat="false" ht="14.25" hidden="false" customHeight="true" outlineLevel="0" collapsed="false">
      <c r="C2736" s="11"/>
      <c r="D2736" s="11"/>
      <c r="E2736" s="11"/>
      <c r="F2736" s="11"/>
      <c r="G2736" s="11"/>
      <c r="H2736" s="11"/>
      <c r="I2736" s="11"/>
      <c r="J2736" s="11"/>
      <c r="K2736" s="11"/>
      <c r="L2736" s="11"/>
      <c r="M2736" s="11"/>
      <c r="N2736" s="44" t="n">
        <v>16.1</v>
      </c>
      <c r="O2736" s="11"/>
    </row>
    <row r="2737" customFormat="false" ht="14.25" hidden="false" customHeight="true" outlineLevel="0" collapsed="false">
      <c r="C2737" s="11"/>
      <c r="D2737" s="11"/>
      <c r="E2737" s="11"/>
      <c r="F2737" s="11"/>
      <c r="G2737" s="11"/>
      <c r="H2737" s="11"/>
      <c r="I2737" s="11"/>
      <c r="J2737" s="11"/>
      <c r="K2737" s="11"/>
      <c r="L2737" s="11"/>
      <c r="M2737" s="11"/>
      <c r="N2737" s="44" t="n">
        <v>15.65</v>
      </c>
      <c r="O2737" s="11"/>
    </row>
    <row r="2738" customFormat="false" ht="14.25" hidden="false" customHeight="true" outlineLevel="0" collapsed="false">
      <c r="C2738" s="11"/>
      <c r="D2738" s="11"/>
      <c r="E2738" s="11"/>
      <c r="F2738" s="11"/>
      <c r="G2738" s="11"/>
      <c r="H2738" s="11"/>
      <c r="I2738" s="11"/>
      <c r="J2738" s="11"/>
      <c r="K2738" s="11"/>
      <c r="L2738" s="11"/>
      <c r="M2738" s="11"/>
      <c r="N2738" s="44" t="n">
        <v>15.94</v>
      </c>
      <c r="O2738" s="11"/>
    </row>
    <row r="2739" customFormat="false" ht="14.25" hidden="false" customHeight="true" outlineLevel="0" collapsed="false">
      <c r="C2739" s="11"/>
      <c r="D2739" s="11"/>
      <c r="E2739" s="11"/>
      <c r="F2739" s="11"/>
      <c r="G2739" s="11"/>
      <c r="H2739" s="11"/>
      <c r="I2739" s="11"/>
      <c r="J2739" s="11"/>
      <c r="K2739" s="11"/>
      <c r="L2739" s="11"/>
      <c r="M2739" s="11"/>
      <c r="N2739" s="44" t="n">
        <v>15.86</v>
      </c>
      <c r="O2739" s="11"/>
    </row>
    <row r="2740" customFormat="false" ht="14.25" hidden="false" customHeight="true" outlineLevel="0" collapsed="false">
      <c r="C2740" s="11"/>
      <c r="D2740" s="11"/>
      <c r="E2740" s="11"/>
      <c r="F2740" s="11"/>
      <c r="G2740" s="11"/>
      <c r="H2740" s="11"/>
      <c r="I2740" s="11"/>
      <c r="J2740" s="11"/>
      <c r="K2740" s="11"/>
      <c r="L2740" s="11"/>
      <c r="M2740" s="11"/>
      <c r="N2740" s="44" t="n">
        <v>16.46</v>
      </c>
      <c r="O2740" s="11"/>
    </row>
    <row r="2741" customFormat="false" ht="14.25" hidden="false" customHeight="true" outlineLevel="0" collapsed="false">
      <c r="C2741" s="11"/>
      <c r="D2741" s="11"/>
      <c r="E2741" s="11"/>
      <c r="F2741" s="11"/>
      <c r="G2741" s="11"/>
      <c r="H2741" s="11"/>
      <c r="I2741" s="11"/>
      <c r="J2741" s="11"/>
      <c r="K2741" s="11"/>
      <c r="L2741" s="11"/>
      <c r="M2741" s="11"/>
      <c r="N2741" s="44" t="n">
        <v>16.26</v>
      </c>
      <c r="O2741" s="11"/>
    </row>
    <row r="2742" customFormat="false" ht="14.25" hidden="false" customHeight="true" outlineLevel="0" collapsed="false">
      <c r="C2742" s="11"/>
      <c r="D2742" s="11"/>
      <c r="E2742" s="11"/>
      <c r="F2742" s="11"/>
      <c r="G2742" s="11"/>
      <c r="H2742" s="11"/>
      <c r="I2742" s="11"/>
      <c r="J2742" s="11"/>
      <c r="K2742" s="11"/>
      <c r="L2742" s="11"/>
      <c r="M2742" s="11"/>
      <c r="N2742" s="44" t="n">
        <v>16.37</v>
      </c>
      <c r="O2742" s="11"/>
    </row>
    <row r="2743" customFormat="false" ht="14.25" hidden="false" customHeight="true" outlineLevel="0" collapsed="false">
      <c r="C2743" s="11"/>
      <c r="D2743" s="11"/>
      <c r="E2743" s="11"/>
      <c r="F2743" s="11"/>
      <c r="G2743" s="11"/>
      <c r="H2743" s="11"/>
      <c r="I2743" s="11"/>
      <c r="J2743" s="11"/>
      <c r="K2743" s="11"/>
      <c r="L2743" s="11"/>
      <c r="M2743" s="11"/>
      <c r="N2743" s="44" t="n">
        <v>16.62</v>
      </c>
      <c r="O2743" s="11"/>
    </row>
    <row r="2744" customFormat="false" ht="14.25" hidden="false" customHeight="true" outlineLevel="0" collapsed="false">
      <c r="C2744" s="11"/>
      <c r="D2744" s="11"/>
      <c r="E2744" s="11"/>
      <c r="F2744" s="11"/>
      <c r="G2744" s="11"/>
      <c r="H2744" s="11"/>
      <c r="I2744" s="11"/>
      <c r="J2744" s="11"/>
      <c r="K2744" s="11"/>
      <c r="L2744" s="11"/>
      <c r="M2744" s="11"/>
      <c r="N2744" s="44" t="n">
        <v>16.29</v>
      </c>
      <c r="O2744" s="11"/>
    </row>
    <row r="2745" customFormat="false" ht="14.25" hidden="false" customHeight="true" outlineLevel="0" collapsed="false">
      <c r="C2745" s="11"/>
      <c r="D2745" s="11"/>
      <c r="E2745" s="11"/>
      <c r="F2745" s="11"/>
      <c r="G2745" s="11"/>
      <c r="H2745" s="11"/>
      <c r="I2745" s="11"/>
      <c r="J2745" s="11"/>
      <c r="K2745" s="11"/>
      <c r="L2745" s="11"/>
      <c r="M2745" s="11"/>
      <c r="N2745" s="44" t="n">
        <v>16.34</v>
      </c>
      <c r="O2745" s="11"/>
    </row>
    <row r="2746" customFormat="false" ht="14.25" hidden="false" customHeight="true" outlineLevel="0" collapsed="false">
      <c r="C2746" s="11"/>
      <c r="D2746" s="11"/>
      <c r="E2746" s="11"/>
      <c r="F2746" s="11"/>
      <c r="G2746" s="11"/>
      <c r="H2746" s="11"/>
      <c r="I2746" s="11"/>
      <c r="J2746" s="11"/>
      <c r="K2746" s="11"/>
      <c r="L2746" s="11"/>
      <c r="M2746" s="11"/>
      <c r="N2746" s="44" t="n">
        <v>16.56</v>
      </c>
      <c r="O2746" s="11"/>
    </row>
    <row r="2747" customFormat="false" ht="14.25" hidden="false" customHeight="true" outlineLevel="0" collapsed="false">
      <c r="C2747" s="11"/>
      <c r="D2747" s="11"/>
      <c r="E2747" s="11"/>
      <c r="F2747" s="11"/>
      <c r="G2747" s="11"/>
      <c r="H2747" s="11"/>
      <c r="I2747" s="11"/>
      <c r="J2747" s="11"/>
      <c r="K2747" s="11"/>
      <c r="L2747" s="11"/>
      <c r="M2747" s="11"/>
      <c r="N2747" s="44" t="n">
        <v>16.66</v>
      </c>
      <c r="O2747" s="11"/>
    </row>
    <row r="2748" customFormat="false" ht="14.25" hidden="false" customHeight="true" outlineLevel="0" collapsed="false">
      <c r="C2748" s="11"/>
      <c r="D2748" s="11"/>
      <c r="E2748" s="11"/>
      <c r="F2748" s="11"/>
      <c r="G2748" s="11"/>
      <c r="H2748" s="11"/>
      <c r="I2748" s="11"/>
      <c r="J2748" s="11"/>
      <c r="K2748" s="11"/>
      <c r="L2748" s="11"/>
      <c r="M2748" s="11"/>
      <c r="N2748" s="44" t="n">
        <v>16.83</v>
      </c>
      <c r="O2748" s="11"/>
    </row>
    <row r="2749" customFormat="false" ht="14.25" hidden="false" customHeight="true" outlineLevel="0" collapsed="false">
      <c r="C2749" s="11"/>
      <c r="D2749" s="11"/>
      <c r="E2749" s="11"/>
      <c r="F2749" s="11"/>
      <c r="G2749" s="11"/>
      <c r="H2749" s="11"/>
      <c r="I2749" s="11"/>
      <c r="J2749" s="11"/>
      <c r="K2749" s="11"/>
      <c r="L2749" s="11"/>
      <c r="M2749" s="11"/>
      <c r="N2749" s="44" t="n">
        <v>16.41</v>
      </c>
      <c r="O2749" s="11"/>
    </row>
    <row r="2750" customFormat="false" ht="14.25" hidden="false" customHeight="true" outlineLevel="0" collapsed="false">
      <c r="C2750" s="11"/>
      <c r="D2750" s="11"/>
      <c r="E2750" s="11"/>
      <c r="F2750" s="11"/>
      <c r="G2750" s="11"/>
      <c r="H2750" s="11"/>
      <c r="I2750" s="11"/>
      <c r="J2750" s="11"/>
      <c r="K2750" s="11"/>
      <c r="L2750" s="11"/>
      <c r="M2750" s="11"/>
      <c r="N2750" s="44" t="n">
        <v>16.77</v>
      </c>
      <c r="O2750" s="11"/>
    </row>
    <row r="2751" customFormat="false" ht="14.25" hidden="false" customHeight="true" outlineLevel="0" collapsed="false">
      <c r="C2751" s="11"/>
      <c r="D2751" s="11"/>
      <c r="E2751" s="11"/>
      <c r="F2751" s="11"/>
      <c r="G2751" s="11"/>
      <c r="H2751" s="11"/>
      <c r="I2751" s="11"/>
      <c r="J2751" s="11"/>
      <c r="K2751" s="11"/>
      <c r="L2751" s="11"/>
      <c r="M2751" s="11"/>
      <c r="N2751" s="44" t="n">
        <v>16.77</v>
      </c>
      <c r="O2751" s="11"/>
    </row>
    <row r="2752" customFormat="false" ht="14.25" hidden="false" customHeight="true" outlineLevel="0" collapsed="false">
      <c r="C2752" s="11"/>
      <c r="D2752" s="11"/>
      <c r="E2752" s="11"/>
      <c r="F2752" s="11"/>
      <c r="G2752" s="11"/>
      <c r="H2752" s="11"/>
      <c r="I2752" s="11"/>
      <c r="J2752" s="11"/>
      <c r="K2752" s="11"/>
      <c r="L2752" s="11"/>
      <c r="M2752" s="11"/>
      <c r="N2752" s="44" t="n">
        <v>17</v>
      </c>
      <c r="O2752" s="11"/>
    </row>
    <row r="2753" customFormat="false" ht="14.25" hidden="false" customHeight="true" outlineLevel="0" collapsed="false">
      <c r="C2753" s="11"/>
      <c r="D2753" s="11"/>
      <c r="E2753" s="11"/>
      <c r="F2753" s="11"/>
      <c r="G2753" s="11"/>
      <c r="H2753" s="11"/>
      <c r="I2753" s="11"/>
      <c r="J2753" s="11"/>
      <c r="K2753" s="11"/>
      <c r="L2753" s="11"/>
      <c r="M2753" s="11"/>
      <c r="N2753" s="44" t="n">
        <v>16.82</v>
      </c>
      <c r="O2753" s="11"/>
    </row>
    <row r="2754" customFormat="false" ht="14.25" hidden="false" customHeight="true" outlineLevel="0" collapsed="false">
      <c r="C2754" s="11"/>
      <c r="D2754" s="11"/>
      <c r="E2754" s="11"/>
      <c r="F2754" s="11"/>
      <c r="G2754" s="11"/>
      <c r="H2754" s="11"/>
      <c r="I2754" s="11"/>
      <c r="J2754" s="11"/>
      <c r="K2754" s="11"/>
      <c r="L2754" s="11"/>
      <c r="M2754" s="11"/>
      <c r="N2754" s="44" t="n">
        <v>16.96</v>
      </c>
      <c r="O2754" s="11"/>
    </row>
    <row r="2755" customFormat="false" ht="14.25" hidden="false" customHeight="true" outlineLevel="0" collapsed="false">
      <c r="C2755" s="11"/>
      <c r="D2755" s="11"/>
      <c r="E2755" s="11"/>
      <c r="F2755" s="11"/>
      <c r="G2755" s="11"/>
      <c r="H2755" s="11"/>
      <c r="I2755" s="11"/>
      <c r="J2755" s="11"/>
      <c r="K2755" s="11"/>
      <c r="L2755" s="11"/>
      <c r="M2755" s="11"/>
      <c r="N2755" s="44" t="n">
        <v>17.16</v>
      </c>
      <c r="O2755" s="11"/>
    </row>
    <row r="2756" customFormat="false" ht="14.25" hidden="false" customHeight="true" outlineLevel="0" collapsed="false">
      <c r="C2756" s="11"/>
      <c r="D2756" s="11"/>
      <c r="E2756" s="11"/>
      <c r="F2756" s="11"/>
      <c r="G2756" s="11"/>
      <c r="H2756" s="11"/>
      <c r="I2756" s="11"/>
      <c r="J2756" s="11"/>
      <c r="K2756" s="11"/>
      <c r="L2756" s="11"/>
      <c r="M2756" s="11"/>
      <c r="N2756" s="44" t="n">
        <v>17.21</v>
      </c>
      <c r="O2756" s="11"/>
    </row>
    <row r="2757" customFormat="false" ht="14.25" hidden="false" customHeight="true" outlineLevel="0" collapsed="false">
      <c r="C2757" s="11"/>
      <c r="D2757" s="11"/>
      <c r="E2757" s="11"/>
      <c r="F2757" s="11"/>
      <c r="G2757" s="11"/>
      <c r="H2757" s="11"/>
      <c r="I2757" s="11"/>
      <c r="J2757" s="11"/>
      <c r="K2757" s="11"/>
      <c r="L2757" s="11"/>
      <c r="M2757" s="11"/>
      <c r="N2757" s="44" t="n">
        <v>16.83</v>
      </c>
      <c r="O2757" s="11"/>
    </row>
    <row r="2758" customFormat="false" ht="14.25" hidden="false" customHeight="true" outlineLevel="0" collapsed="false">
      <c r="C2758" s="11"/>
      <c r="D2758" s="11"/>
      <c r="E2758" s="11"/>
      <c r="F2758" s="11"/>
      <c r="G2758" s="11"/>
      <c r="H2758" s="11"/>
      <c r="I2758" s="11"/>
      <c r="J2758" s="11"/>
      <c r="K2758" s="11"/>
      <c r="L2758" s="11"/>
      <c r="M2758" s="11"/>
      <c r="N2758" s="44" t="n">
        <v>16.72</v>
      </c>
      <c r="O2758" s="11"/>
    </row>
    <row r="2759" customFormat="false" ht="14.25" hidden="false" customHeight="true" outlineLevel="0" collapsed="false">
      <c r="C2759" s="11"/>
      <c r="D2759" s="11"/>
      <c r="E2759" s="11"/>
      <c r="F2759" s="11"/>
      <c r="G2759" s="11"/>
      <c r="H2759" s="11"/>
      <c r="I2759" s="11"/>
      <c r="J2759" s="11"/>
      <c r="K2759" s="11"/>
      <c r="L2759" s="11"/>
      <c r="M2759" s="11"/>
      <c r="N2759" s="44" t="n">
        <v>16.2</v>
      </c>
      <c r="O2759" s="11"/>
    </row>
    <row r="2760" customFormat="false" ht="14.25" hidden="false" customHeight="true" outlineLevel="0" collapsed="false">
      <c r="C2760" s="11"/>
      <c r="D2760" s="11"/>
      <c r="E2760" s="11"/>
      <c r="F2760" s="11"/>
      <c r="G2760" s="11"/>
      <c r="H2760" s="11"/>
      <c r="I2760" s="11"/>
      <c r="J2760" s="11"/>
      <c r="K2760" s="11"/>
      <c r="L2760" s="11"/>
      <c r="M2760" s="11"/>
      <c r="N2760" s="44" t="n">
        <v>16.37</v>
      </c>
      <c r="O2760" s="11"/>
    </row>
    <row r="2761" customFormat="false" ht="14.25" hidden="false" customHeight="true" outlineLevel="0" collapsed="false">
      <c r="C2761" s="11"/>
      <c r="D2761" s="11"/>
      <c r="E2761" s="11"/>
      <c r="F2761" s="11"/>
      <c r="G2761" s="11"/>
      <c r="H2761" s="11"/>
      <c r="I2761" s="11"/>
      <c r="J2761" s="11"/>
      <c r="K2761" s="11"/>
      <c r="L2761" s="11"/>
      <c r="M2761" s="11"/>
      <c r="N2761" s="44" t="n">
        <v>16.37</v>
      </c>
      <c r="O2761" s="11"/>
    </row>
    <row r="2762" customFormat="false" ht="14.25" hidden="false" customHeight="true" outlineLevel="0" collapsed="false">
      <c r="C2762" s="11"/>
      <c r="D2762" s="11"/>
      <c r="E2762" s="11"/>
      <c r="F2762" s="11"/>
      <c r="G2762" s="11"/>
      <c r="H2762" s="11"/>
      <c r="I2762" s="11"/>
      <c r="J2762" s="11"/>
      <c r="K2762" s="11"/>
      <c r="L2762" s="11"/>
      <c r="M2762" s="11"/>
      <c r="N2762" s="44" t="n">
        <v>16.74</v>
      </c>
      <c r="O2762" s="11"/>
    </row>
    <row r="2763" customFormat="false" ht="14.25" hidden="false" customHeight="true" outlineLevel="0" collapsed="false">
      <c r="C2763" s="11"/>
      <c r="D2763" s="11"/>
      <c r="E2763" s="11"/>
      <c r="F2763" s="11"/>
      <c r="G2763" s="11"/>
      <c r="H2763" s="11"/>
      <c r="I2763" s="11"/>
      <c r="J2763" s="11"/>
      <c r="K2763" s="11"/>
      <c r="L2763" s="11"/>
      <c r="M2763" s="11"/>
      <c r="N2763" s="44" t="n">
        <v>16.4</v>
      </c>
      <c r="O2763" s="11"/>
    </row>
    <row r="2764" customFormat="false" ht="14.25" hidden="false" customHeight="true" outlineLevel="0" collapsed="false">
      <c r="C2764" s="11"/>
      <c r="D2764" s="11"/>
      <c r="E2764" s="11"/>
      <c r="F2764" s="11"/>
      <c r="G2764" s="11"/>
      <c r="H2764" s="11"/>
      <c r="I2764" s="11"/>
      <c r="J2764" s="11"/>
      <c r="K2764" s="11"/>
      <c r="L2764" s="11"/>
      <c r="M2764" s="11"/>
      <c r="N2764" s="44" t="n">
        <v>16.34</v>
      </c>
      <c r="O2764" s="11"/>
    </row>
    <row r="2765" customFormat="false" ht="14.25" hidden="false" customHeight="true" outlineLevel="0" collapsed="false">
      <c r="C2765" s="11"/>
      <c r="D2765" s="11"/>
      <c r="E2765" s="11"/>
      <c r="F2765" s="11"/>
      <c r="G2765" s="11"/>
      <c r="H2765" s="11"/>
      <c r="I2765" s="11"/>
      <c r="J2765" s="11"/>
      <c r="K2765" s="11"/>
      <c r="L2765" s="11"/>
      <c r="M2765" s="11"/>
      <c r="N2765" s="44" t="n">
        <v>16.46</v>
      </c>
      <c r="O2765" s="11"/>
    </row>
    <row r="2766" customFormat="false" ht="14.25" hidden="false" customHeight="true" outlineLevel="0" collapsed="false">
      <c r="C2766" s="11"/>
      <c r="D2766" s="11"/>
      <c r="E2766" s="11"/>
      <c r="F2766" s="11"/>
      <c r="G2766" s="11"/>
      <c r="H2766" s="11"/>
      <c r="I2766" s="11"/>
      <c r="J2766" s="11"/>
      <c r="K2766" s="11"/>
      <c r="L2766" s="11"/>
      <c r="M2766" s="11"/>
      <c r="N2766" s="44" t="n">
        <v>16.95</v>
      </c>
      <c r="O2766" s="11"/>
    </row>
    <row r="2767" customFormat="false" ht="14.25" hidden="false" customHeight="true" outlineLevel="0" collapsed="false">
      <c r="C2767" s="11"/>
      <c r="D2767" s="11"/>
      <c r="E2767" s="11"/>
      <c r="F2767" s="11"/>
      <c r="G2767" s="11"/>
      <c r="H2767" s="11"/>
      <c r="I2767" s="11"/>
      <c r="J2767" s="11"/>
      <c r="K2767" s="11"/>
      <c r="L2767" s="11"/>
      <c r="M2767" s="11"/>
      <c r="N2767" s="44" t="n">
        <v>16.94</v>
      </c>
      <c r="O2767" s="11"/>
    </row>
    <row r="2768" customFormat="false" ht="14.25" hidden="false" customHeight="true" outlineLevel="0" collapsed="false">
      <c r="C2768" s="11"/>
      <c r="D2768" s="11"/>
      <c r="E2768" s="11"/>
      <c r="F2768" s="11"/>
      <c r="G2768" s="11"/>
      <c r="H2768" s="11"/>
      <c r="I2768" s="11"/>
      <c r="J2768" s="11"/>
      <c r="K2768" s="11"/>
      <c r="L2768" s="11"/>
      <c r="M2768" s="11"/>
      <c r="N2768" s="44" t="n">
        <v>16.7</v>
      </c>
      <c r="O2768" s="11"/>
    </row>
    <row r="2769" customFormat="false" ht="14.25" hidden="false" customHeight="true" outlineLevel="0" collapsed="false">
      <c r="C2769" s="11"/>
      <c r="D2769" s="11"/>
      <c r="E2769" s="11"/>
      <c r="F2769" s="11"/>
      <c r="G2769" s="11"/>
      <c r="H2769" s="11"/>
      <c r="I2769" s="11"/>
      <c r="J2769" s="11"/>
      <c r="K2769" s="11"/>
      <c r="L2769" s="11"/>
      <c r="M2769" s="11"/>
      <c r="N2769" s="44" t="n">
        <v>16.63</v>
      </c>
      <c r="O2769" s="11"/>
    </row>
    <row r="2770" customFormat="false" ht="14.25" hidden="false" customHeight="true" outlineLevel="0" collapsed="false">
      <c r="C2770" s="11"/>
      <c r="D2770" s="11"/>
      <c r="E2770" s="11"/>
      <c r="F2770" s="11"/>
      <c r="G2770" s="11"/>
      <c r="H2770" s="11"/>
      <c r="I2770" s="11"/>
      <c r="J2770" s="11"/>
      <c r="K2770" s="11"/>
      <c r="L2770" s="11"/>
      <c r="M2770" s="11"/>
      <c r="N2770" s="44" t="n">
        <v>17.01</v>
      </c>
      <c r="O2770" s="11"/>
    </row>
    <row r="2771" customFormat="false" ht="14.25" hidden="false" customHeight="true" outlineLevel="0" collapsed="false">
      <c r="C2771" s="11"/>
      <c r="D2771" s="11"/>
      <c r="E2771" s="11"/>
      <c r="F2771" s="11"/>
      <c r="G2771" s="11"/>
      <c r="H2771" s="11"/>
      <c r="I2771" s="11"/>
      <c r="J2771" s="11"/>
      <c r="K2771" s="11"/>
      <c r="L2771" s="11"/>
      <c r="M2771" s="11"/>
      <c r="N2771" s="44" t="n">
        <v>16.76</v>
      </c>
      <c r="O2771" s="11"/>
    </row>
    <row r="2772" customFormat="false" ht="14.25" hidden="false" customHeight="true" outlineLevel="0" collapsed="false">
      <c r="C2772" s="11"/>
      <c r="D2772" s="11"/>
      <c r="E2772" s="11"/>
      <c r="F2772" s="11"/>
      <c r="G2772" s="11"/>
      <c r="H2772" s="11"/>
      <c r="I2772" s="11"/>
      <c r="J2772" s="11"/>
      <c r="K2772" s="11"/>
      <c r="L2772" s="11"/>
      <c r="M2772" s="11"/>
      <c r="N2772" s="44" t="n">
        <v>16.71</v>
      </c>
      <c r="O2772" s="11"/>
    </row>
    <row r="2773" customFormat="false" ht="14.25" hidden="false" customHeight="true" outlineLevel="0" collapsed="false">
      <c r="C2773" s="11"/>
      <c r="D2773" s="11"/>
      <c r="E2773" s="11"/>
      <c r="F2773" s="11"/>
      <c r="G2773" s="11"/>
      <c r="H2773" s="11"/>
      <c r="I2773" s="11"/>
      <c r="J2773" s="11"/>
      <c r="K2773" s="11"/>
      <c r="L2773" s="11"/>
      <c r="M2773" s="11"/>
      <c r="N2773" s="44" t="n">
        <v>16.79</v>
      </c>
      <c r="O2773" s="11"/>
    </row>
    <row r="2774" customFormat="false" ht="14.25" hidden="false" customHeight="true" outlineLevel="0" collapsed="false">
      <c r="C2774" s="11"/>
      <c r="D2774" s="11"/>
      <c r="E2774" s="11"/>
      <c r="F2774" s="11"/>
      <c r="G2774" s="11"/>
      <c r="H2774" s="11"/>
      <c r="I2774" s="11"/>
      <c r="J2774" s="11"/>
      <c r="K2774" s="11"/>
      <c r="L2774" s="11"/>
      <c r="M2774" s="11"/>
      <c r="N2774" s="44" t="n">
        <v>16.91</v>
      </c>
      <c r="O2774" s="11"/>
    </row>
    <row r="2775" customFormat="false" ht="14.25" hidden="false" customHeight="true" outlineLevel="0" collapsed="false">
      <c r="C2775" s="11"/>
      <c r="D2775" s="11"/>
      <c r="E2775" s="11"/>
      <c r="F2775" s="11"/>
      <c r="G2775" s="11"/>
      <c r="H2775" s="11"/>
      <c r="I2775" s="11"/>
      <c r="J2775" s="11"/>
      <c r="K2775" s="11"/>
      <c r="L2775" s="11"/>
      <c r="M2775" s="11"/>
      <c r="N2775" s="44" t="n">
        <v>17.19</v>
      </c>
      <c r="O2775" s="11"/>
    </row>
    <row r="2776" customFormat="false" ht="14.25" hidden="false" customHeight="true" outlineLevel="0" collapsed="false">
      <c r="C2776" s="11"/>
      <c r="D2776" s="11"/>
      <c r="E2776" s="11"/>
      <c r="F2776" s="11"/>
      <c r="G2776" s="11"/>
      <c r="H2776" s="11"/>
      <c r="I2776" s="11"/>
      <c r="J2776" s="11"/>
      <c r="K2776" s="11"/>
      <c r="L2776" s="11"/>
      <c r="M2776" s="11"/>
      <c r="N2776" s="44" t="n">
        <v>17.3</v>
      </c>
      <c r="O2776" s="11"/>
    </row>
    <row r="2777" customFormat="false" ht="14.25" hidden="false" customHeight="true" outlineLevel="0" collapsed="false">
      <c r="C2777" s="11"/>
      <c r="D2777" s="11"/>
      <c r="E2777" s="11"/>
      <c r="F2777" s="11"/>
      <c r="G2777" s="11"/>
      <c r="H2777" s="11"/>
      <c r="I2777" s="11"/>
      <c r="J2777" s="11"/>
      <c r="K2777" s="11"/>
      <c r="L2777" s="11"/>
      <c r="M2777" s="11"/>
      <c r="N2777" s="44" t="n">
        <v>17.19</v>
      </c>
      <c r="O2777" s="11"/>
    </row>
    <row r="2778" customFormat="false" ht="14.25" hidden="false" customHeight="true" outlineLevel="0" collapsed="false">
      <c r="C2778" s="11"/>
      <c r="D2778" s="11"/>
      <c r="E2778" s="11"/>
      <c r="F2778" s="11"/>
      <c r="G2778" s="11"/>
      <c r="H2778" s="11"/>
      <c r="I2778" s="11"/>
      <c r="J2778" s="11"/>
      <c r="K2778" s="11"/>
      <c r="L2778" s="11"/>
      <c r="M2778" s="11"/>
      <c r="N2778" s="44" t="n">
        <v>17.39</v>
      </c>
      <c r="O2778" s="11"/>
    </row>
    <row r="2779" customFormat="false" ht="14.25" hidden="false" customHeight="true" outlineLevel="0" collapsed="false">
      <c r="C2779" s="11"/>
      <c r="D2779" s="11"/>
      <c r="E2779" s="11"/>
      <c r="F2779" s="11"/>
      <c r="G2779" s="11"/>
      <c r="H2779" s="11"/>
      <c r="I2779" s="11"/>
      <c r="J2779" s="11"/>
      <c r="K2779" s="11"/>
      <c r="L2779" s="11"/>
      <c r="M2779" s="11"/>
      <c r="N2779" s="44" t="n">
        <v>16.99</v>
      </c>
      <c r="O2779" s="11"/>
    </row>
    <row r="2780" customFormat="false" ht="14.25" hidden="false" customHeight="true" outlineLevel="0" collapsed="false">
      <c r="C2780" s="11"/>
      <c r="D2780" s="11"/>
      <c r="E2780" s="11"/>
      <c r="F2780" s="11"/>
      <c r="G2780" s="11"/>
      <c r="H2780" s="11"/>
      <c r="I2780" s="11"/>
      <c r="J2780" s="11"/>
      <c r="K2780" s="11"/>
      <c r="L2780" s="11"/>
      <c r="M2780" s="11"/>
      <c r="N2780" s="44" t="n">
        <v>16.81</v>
      </c>
      <c r="O2780" s="11"/>
    </row>
    <row r="2781" customFormat="false" ht="14.25" hidden="false" customHeight="true" outlineLevel="0" collapsed="false">
      <c r="C2781" s="11"/>
      <c r="D2781" s="11"/>
      <c r="E2781" s="11"/>
      <c r="F2781" s="11"/>
      <c r="G2781" s="11"/>
      <c r="H2781" s="11"/>
      <c r="I2781" s="11"/>
      <c r="J2781" s="11"/>
      <c r="K2781" s="11"/>
      <c r="L2781" s="11"/>
      <c r="M2781" s="11"/>
      <c r="N2781" s="44" t="n">
        <v>16.51</v>
      </c>
      <c r="O2781" s="11"/>
    </row>
    <row r="2782" customFormat="false" ht="14.25" hidden="false" customHeight="true" outlineLevel="0" collapsed="false">
      <c r="C2782" s="11"/>
      <c r="D2782" s="11"/>
      <c r="E2782" s="11"/>
      <c r="F2782" s="11"/>
      <c r="G2782" s="11"/>
      <c r="H2782" s="11"/>
      <c r="I2782" s="11"/>
      <c r="J2782" s="11"/>
      <c r="K2782" s="11"/>
      <c r="L2782" s="11"/>
      <c r="M2782" s="11"/>
      <c r="N2782" s="44" t="n">
        <v>16.64</v>
      </c>
      <c r="O2782" s="11"/>
    </row>
    <row r="2783" customFormat="false" ht="14.25" hidden="false" customHeight="true" outlineLevel="0" collapsed="false">
      <c r="C2783" s="11"/>
      <c r="D2783" s="11"/>
      <c r="E2783" s="11"/>
      <c r="F2783" s="11"/>
      <c r="G2783" s="11"/>
      <c r="H2783" s="11"/>
      <c r="I2783" s="11"/>
      <c r="J2783" s="11"/>
      <c r="K2783" s="11"/>
      <c r="L2783" s="11"/>
      <c r="M2783" s="11"/>
      <c r="N2783" s="44" t="n">
        <v>16.76</v>
      </c>
      <c r="O2783" s="11"/>
    </row>
    <row r="2784" customFormat="false" ht="14.25" hidden="false" customHeight="true" outlineLevel="0" collapsed="false">
      <c r="C2784" s="11"/>
      <c r="D2784" s="11"/>
      <c r="E2784" s="11"/>
      <c r="F2784" s="11"/>
      <c r="G2784" s="11"/>
      <c r="H2784" s="11"/>
      <c r="I2784" s="11"/>
      <c r="J2784" s="11"/>
      <c r="K2784" s="11"/>
      <c r="L2784" s="11"/>
      <c r="M2784" s="11"/>
      <c r="N2784" s="44" t="n">
        <v>16.55</v>
      </c>
      <c r="O2784" s="11"/>
    </row>
    <row r="2785" customFormat="false" ht="14.25" hidden="false" customHeight="true" outlineLevel="0" collapsed="false">
      <c r="C2785" s="11"/>
      <c r="D2785" s="11"/>
      <c r="E2785" s="11"/>
      <c r="F2785" s="11"/>
      <c r="G2785" s="11"/>
      <c r="H2785" s="11"/>
      <c r="I2785" s="11"/>
      <c r="J2785" s="11"/>
      <c r="K2785" s="11"/>
      <c r="L2785" s="11"/>
      <c r="M2785" s="11"/>
      <c r="N2785" s="44" t="n">
        <v>16.48</v>
      </c>
      <c r="O2785" s="11"/>
    </row>
    <row r="2786" customFormat="false" ht="14.25" hidden="false" customHeight="true" outlineLevel="0" collapsed="false">
      <c r="C2786" s="11"/>
      <c r="D2786" s="11"/>
      <c r="E2786" s="11"/>
      <c r="F2786" s="11"/>
      <c r="G2786" s="11"/>
      <c r="H2786" s="11"/>
      <c r="I2786" s="11"/>
      <c r="J2786" s="11"/>
      <c r="K2786" s="11"/>
      <c r="L2786" s="11"/>
      <c r="M2786" s="11"/>
      <c r="N2786" s="44" t="n">
        <v>16.37</v>
      </c>
      <c r="O2786" s="11"/>
    </row>
    <row r="2787" customFormat="false" ht="14.25" hidden="false" customHeight="true" outlineLevel="0" collapsed="false">
      <c r="C2787" s="11"/>
      <c r="D2787" s="11"/>
      <c r="E2787" s="11"/>
      <c r="F2787" s="11"/>
      <c r="G2787" s="11"/>
      <c r="H2787" s="11"/>
      <c r="I2787" s="11"/>
      <c r="J2787" s="11"/>
      <c r="K2787" s="11"/>
      <c r="L2787" s="11"/>
      <c r="M2787" s="11"/>
      <c r="N2787" s="44" t="n">
        <v>16.23</v>
      </c>
      <c r="O2787" s="11"/>
    </row>
    <row r="2788" customFormat="false" ht="14.25" hidden="false" customHeight="true" outlineLevel="0" collapsed="false">
      <c r="C2788" s="11"/>
      <c r="D2788" s="11"/>
      <c r="E2788" s="11"/>
      <c r="F2788" s="11"/>
      <c r="G2788" s="11"/>
      <c r="H2788" s="11"/>
      <c r="I2788" s="11"/>
      <c r="J2788" s="11"/>
      <c r="K2788" s="11"/>
      <c r="L2788" s="11"/>
      <c r="M2788" s="11"/>
      <c r="N2788" s="44" t="n">
        <v>16.34</v>
      </c>
      <c r="O2788" s="11"/>
    </row>
    <row r="2789" customFormat="false" ht="14.25" hidden="false" customHeight="true" outlineLevel="0" collapsed="false">
      <c r="C2789" s="11"/>
      <c r="D2789" s="11"/>
      <c r="E2789" s="11"/>
      <c r="F2789" s="11"/>
      <c r="G2789" s="11"/>
      <c r="H2789" s="11"/>
      <c r="I2789" s="11"/>
      <c r="J2789" s="11"/>
      <c r="K2789" s="11"/>
      <c r="L2789" s="11"/>
      <c r="M2789" s="11"/>
      <c r="N2789" s="44" t="n">
        <v>16.52</v>
      </c>
      <c r="O2789" s="11"/>
    </row>
    <row r="2790" customFormat="false" ht="14.25" hidden="false" customHeight="true" outlineLevel="0" collapsed="false">
      <c r="C2790" s="11"/>
      <c r="D2790" s="11"/>
      <c r="E2790" s="11"/>
      <c r="F2790" s="11"/>
      <c r="G2790" s="11"/>
      <c r="H2790" s="11"/>
      <c r="I2790" s="11"/>
      <c r="J2790" s="11"/>
      <c r="K2790" s="11"/>
      <c r="L2790" s="11"/>
      <c r="M2790" s="11"/>
      <c r="N2790" s="44" t="n">
        <v>16.49</v>
      </c>
      <c r="O2790" s="11"/>
    </row>
    <row r="2791" customFormat="false" ht="14.25" hidden="false" customHeight="true" outlineLevel="0" collapsed="false">
      <c r="C2791" s="11"/>
      <c r="D2791" s="11"/>
      <c r="E2791" s="11"/>
      <c r="F2791" s="11"/>
      <c r="G2791" s="11"/>
      <c r="H2791" s="11"/>
      <c r="I2791" s="11"/>
      <c r="J2791" s="11"/>
      <c r="K2791" s="11"/>
      <c r="L2791" s="11"/>
      <c r="M2791" s="11"/>
      <c r="N2791" s="44" t="n">
        <v>16.61</v>
      </c>
      <c r="O2791" s="11"/>
    </row>
    <row r="2792" customFormat="false" ht="14.25" hidden="false" customHeight="true" outlineLevel="0" collapsed="false">
      <c r="C2792" s="11"/>
      <c r="D2792" s="11"/>
      <c r="E2792" s="11"/>
      <c r="F2792" s="11"/>
      <c r="G2792" s="11"/>
      <c r="H2792" s="11"/>
      <c r="I2792" s="11"/>
      <c r="J2792" s="11"/>
      <c r="K2792" s="11"/>
      <c r="L2792" s="11"/>
      <c r="M2792" s="11"/>
      <c r="N2792" s="44" t="n">
        <v>16.6</v>
      </c>
      <c r="O2792" s="11"/>
    </row>
    <row r="2793" customFormat="false" ht="14.25" hidden="false" customHeight="true" outlineLevel="0" collapsed="false">
      <c r="C2793" s="11"/>
      <c r="D2793" s="11"/>
      <c r="E2793" s="11"/>
      <c r="F2793" s="11"/>
      <c r="G2793" s="11"/>
      <c r="H2793" s="11"/>
      <c r="I2793" s="11"/>
      <c r="J2793" s="11"/>
      <c r="K2793" s="11"/>
      <c r="L2793" s="11"/>
      <c r="M2793" s="11"/>
      <c r="N2793" s="44" t="n">
        <v>16.38</v>
      </c>
      <c r="O2793" s="11"/>
    </row>
    <row r="2794" customFormat="false" ht="14.25" hidden="false" customHeight="true" outlineLevel="0" collapsed="false">
      <c r="C2794" s="11"/>
      <c r="D2794" s="11"/>
      <c r="E2794" s="11"/>
      <c r="F2794" s="11"/>
      <c r="G2794" s="11"/>
      <c r="H2794" s="11"/>
      <c r="I2794" s="11"/>
      <c r="J2794" s="11"/>
      <c r="K2794" s="11"/>
      <c r="L2794" s="11"/>
      <c r="M2794" s="11"/>
      <c r="N2794" s="44" t="n">
        <v>16.18</v>
      </c>
      <c r="O2794" s="11"/>
    </row>
    <row r="2795" customFormat="false" ht="14.25" hidden="false" customHeight="true" outlineLevel="0" collapsed="false">
      <c r="C2795" s="11"/>
      <c r="D2795" s="11"/>
      <c r="E2795" s="11"/>
      <c r="F2795" s="11"/>
      <c r="G2795" s="11"/>
      <c r="H2795" s="11"/>
      <c r="I2795" s="11"/>
      <c r="J2795" s="11"/>
      <c r="K2795" s="11"/>
      <c r="L2795" s="11"/>
      <c r="M2795" s="11"/>
      <c r="N2795" s="44" t="n">
        <v>16.22</v>
      </c>
      <c r="O2795" s="11"/>
    </row>
    <row r="2796" customFormat="false" ht="14.25" hidden="false" customHeight="true" outlineLevel="0" collapsed="false">
      <c r="C2796" s="11"/>
      <c r="D2796" s="11"/>
      <c r="E2796" s="11"/>
      <c r="F2796" s="11"/>
      <c r="G2796" s="11"/>
      <c r="H2796" s="11"/>
      <c r="I2796" s="11"/>
      <c r="J2796" s="11"/>
      <c r="K2796" s="11"/>
      <c r="L2796" s="11"/>
      <c r="M2796" s="11"/>
      <c r="N2796" s="44" t="n">
        <v>16.24</v>
      </c>
      <c r="O2796" s="11"/>
    </row>
    <row r="2797" customFormat="false" ht="14.25" hidden="false" customHeight="true" outlineLevel="0" collapsed="false">
      <c r="C2797" s="11"/>
      <c r="D2797" s="11"/>
      <c r="E2797" s="11"/>
      <c r="F2797" s="11"/>
      <c r="G2797" s="11"/>
      <c r="H2797" s="11"/>
      <c r="I2797" s="11"/>
      <c r="J2797" s="11"/>
      <c r="K2797" s="11"/>
      <c r="L2797" s="11"/>
      <c r="M2797" s="11"/>
      <c r="N2797" s="44" t="n">
        <v>16.37</v>
      </c>
      <c r="O2797" s="11"/>
    </row>
    <row r="2798" customFormat="false" ht="14.25" hidden="false" customHeight="true" outlineLevel="0" collapsed="false">
      <c r="C2798" s="11"/>
      <c r="D2798" s="11"/>
      <c r="E2798" s="11"/>
      <c r="F2798" s="11"/>
      <c r="G2798" s="11"/>
      <c r="H2798" s="11"/>
      <c r="I2798" s="11"/>
      <c r="J2798" s="11"/>
      <c r="K2798" s="11"/>
      <c r="L2798" s="11"/>
      <c r="M2798" s="11"/>
      <c r="N2798" s="44" t="n">
        <v>16.44</v>
      </c>
      <c r="O2798" s="11"/>
    </row>
    <row r="2799" customFormat="false" ht="14.25" hidden="false" customHeight="true" outlineLevel="0" collapsed="false">
      <c r="C2799" s="11"/>
      <c r="D2799" s="11"/>
      <c r="E2799" s="11"/>
      <c r="F2799" s="11"/>
      <c r="G2799" s="11"/>
      <c r="H2799" s="11"/>
      <c r="I2799" s="11"/>
      <c r="J2799" s="11"/>
      <c r="K2799" s="11"/>
      <c r="L2799" s="11"/>
      <c r="M2799" s="11"/>
      <c r="N2799" s="44" t="n">
        <v>16.36</v>
      </c>
      <c r="O2799" s="11"/>
    </row>
    <row r="2800" customFormat="false" ht="14.25" hidden="false" customHeight="true" outlineLevel="0" collapsed="false">
      <c r="C2800" s="11"/>
      <c r="D2800" s="11"/>
      <c r="E2800" s="11"/>
      <c r="F2800" s="11"/>
      <c r="G2800" s="11"/>
      <c r="H2800" s="11"/>
      <c r="I2800" s="11"/>
      <c r="J2800" s="11"/>
      <c r="K2800" s="11"/>
      <c r="L2800" s="11"/>
      <c r="M2800" s="11"/>
      <c r="N2800" s="44" t="n">
        <v>16.35</v>
      </c>
      <c r="O2800" s="11"/>
    </row>
    <row r="2801" customFormat="false" ht="14.25" hidden="false" customHeight="true" outlineLevel="0" collapsed="false">
      <c r="C2801" s="11"/>
      <c r="D2801" s="11"/>
      <c r="E2801" s="11"/>
      <c r="F2801" s="11"/>
      <c r="G2801" s="11"/>
      <c r="H2801" s="11"/>
      <c r="I2801" s="11"/>
      <c r="J2801" s="11"/>
      <c r="K2801" s="11"/>
      <c r="L2801" s="11"/>
      <c r="M2801" s="11"/>
      <c r="N2801" s="44" t="n">
        <v>16.27</v>
      </c>
      <c r="O2801" s="11"/>
    </row>
    <row r="2802" customFormat="false" ht="14.25" hidden="false" customHeight="true" outlineLevel="0" collapsed="false">
      <c r="C2802" s="11"/>
      <c r="D2802" s="11"/>
      <c r="E2802" s="11"/>
      <c r="F2802" s="11"/>
      <c r="G2802" s="11"/>
      <c r="H2802" s="11"/>
      <c r="I2802" s="11"/>
      <c r="J2802" s="11"/>
      <c r="K2802" s="11"/>
      <c r="L2802" s="11"/>
      <c r="M2802" s="11"/>
      <c r="N2802" s="44" t="n">
        <v>16.02</v>
      </c>
      <c r="O2802" s="11"/>
    </row>
    <row r="2803" customFormat="false" ht="14.25" hidden="false" customHeight="true" outlineLevel="0" collapsed="false">
      <c r="C2803" s="11"/>
      <c r="D2803" s="11"/>
      <c r="E2803" s="11"/>
      <c r="F2803" s="11"/>
      <c r="G2803" s="11"/>
      <c r="H2803" s="11"/>
      <c r="I2803" s="11"/>
      <c r="J2803" s="11"/>
      <c r="K2803" s="11"/>
      <c r="L2803" s="11"/>
      <c r="M2803" s="11"/>
      <c r="N2803" s="44" t="n">
        <v>15.88</v>
      </c>
      <c r="O2803" s="11"/>
    </row>
    <row r="2804" customFormat="false" ht="14.25" hidden="false" customHeight="true" outlineLevel="0" collapsed="false">
      <c r="C2804" s="11"/>
      <c r="D2804" s="11"/>
      <c r="E2804" s="11"/>
      <c r="F2804" s="11"/>
      <c r="G2804" s="11"/>
      <c r="H2804" s="11"/>
      <c r="I2804" s="11"/>
      <c r="J2804" s="11"/>
      <c r="K2804" s="11"/>
      <c r="L2804" s="11"/>
      <c r="M2804" s="11"/>
      <c r="N2804" s="44" t="n">
        <v>16.09</v>
      </c>
      <c r="O2804" s="11"/>
    </row>
    <row r="2805" customFormat="false" ht="14.25" hidden="false" customHeight="true" outlineLevel="0" collapsed="false">
      <c r="C2805" s="11"/>
      <c r="D2805" s="11"/>
      <c r="E2805" s="11"/>
      <c r="F2805" s="11"/>
      <c r="G2805" s="11"/>
      <c r="H2805" s="11"/>
      <c r="I2805" s="11"/>
      <c r="J2805" s="11"/>
      <c r="K2805" s="11"/>
      <c r="L2805" s="11"/>
      <c r="M2805" s="11"/>
      <c r="N2805" s="44" t="n">
        <v>16.22</v>
      </c>
      <c r="O2805" s="11"/>
    </row>
    <row r="2806" customFormat="false" ht="14.25" hidden="false" customHeight="true" outlineLevel="0" collapsed="false">
      <c r="C2806" s="11"/>
      <c r="D2806" s="11"/>
      <c r="E2806" s="11"/>
      <c r="F2806" s="11"/>
      <c r="G2806" s="11"/>
      <c r="H2806" s="11"/>
      <c r="I2806" s="11"/>
      <c r="J2806" s="11"/>
      <c r="K2806" s="11"/>
      <c r="L2806" s="11"/>
      <c r="M2806" s="11"/>
      <c r="N2806" s="44" t="n">
        <v>16.29</v>
      </c>
      <c r="O2806" s="11"/>
    </row>
    <row r="2807" customFormat="false" ht="14.25" hidden="false" customHeight="true" outlineLevel="0" collapsed="false">
      <c r="C2807" s="11"/>
      <c r="D2807" s="11"/>
      <c r="E2807" s="11"/>
      <c r="F2807" s="11"/>
      <c r="G2807" s="11"/>
      <c r="H2807" s="11"/>
      <c r="I2807" s="11"/>
      <c r="J2807" s="11"/>
      <c r="K2807" s="11"/>
      <c r="L2807" s="11"/>
      <c r="M2807" s="11"/>
      <c r="N2807" s="44" t="n">
        <v>16.28</v>
      </c>
      <c r="O2807" s="11"/>
    </row>
    <row r="2808" customFormat="false" ht="14.25" hidden="false" customHeight="true" outlineLevel="0" collapsed="false">
      <c r="C2808" s="11"/>
      <c r="D2808" s="11"/>
      <c r="E2808" s="11"/>
      <c r="F2808" s="11"/>
      <c r="G2808" s="11"/>
      <c r="H2808" s="11"/>
      <c r="I2808" s="11"/>
      <c r="J2808" s="11"/>
      <c r="K2808" s="11"/>
      <c r="L2808" s="11"/>
      <c r="M2808" s="11"/>
      <c r="N2808" s="44" t="n">
        <v>16.11</v>
      </c>
      <c r="O2808" s="11"/>
    </row>
    <row r="2809" customFormat="false" ht="14.25" hidden="false" customHeight="true" outlineLevel="0" collapsed="false">
      <c r="C2809" s="11"/>
      <c r="D2809" s="11"/>
      <c r="E2809" s="11"/>
      <c r="F2809" s="11"/>
      <c r="G2809" s="11"/>
      <c r="H2809" s="11"/>
      <c r="I2809" s="11"/>
      <c r="J2809" s="11"/>
      <c r="K2809" s="11"/>
      <c r="L2809" s="11"/>
      <c r="M2809" s="11"/>
      <c r="N2809" s="44" t="n">
        <v>16.17</v>
      </c>
      <c r="O2809" s="11"/>
    </row>
    <row r="2810" customFormat="false" ht="14.25" hidden="false" customHeight="true" outlineLevel="0" collapsed="false">
      <c r="C2810" s="11"/>
      <c r="D2810" s="11"/>
      <c r="E2810" s="11"/>
      <c r="F2810" s="11"/>
      <c r="G2810" s="11"/>
      <c r="H2810" s="11"/>
      <c r="I2810" s="11"/>
      <c r="J2810" s="11"/>
      <c r="K2810" s="11"/>
      <c r="L2810" s="11"/>
      <c r="M2810" s="11"/>
      <c r="N2810" s="44" t="n">
        <v>16.15</v>
      </c>
      <c r="O2810" s="11"/>
    </row>
    <row r="2811" customFormat="false" ht="14.25" hidden="false" customHeight="true" outlineLevel="0" collapsed="false">
      <c r="C2811" s="11"/>
      <c r="D2811" s="11"/>
      <c r="E2811" s="11"/>
      <c r="F2811" s="11"/>
      <c r="G2811" s="11"/>
      <c r="H2811" s="11"/>
      <c r="I2811" s="11"/>
      <c r="J2811" s="11"/>
      <c r="K2811" s="11"/>
      <c r="L2811" s="11"/>
      <c r="M2811" s="11"/>
      <c r="N2811" s="44" t="n">
        <v>16.3</v>
      </c>
      <c r="O2811" s="11"/>
    </row>
    <row r="2812" customFormat="false" ht="14.25" hidden="false" customHeight="true" outlineLevel="0" collapsed="false">
      <c r="C2812" s="11"/>
      <c r="D2812" s="11"/>
      <c r="E2812" s="11"/>
      <c r="F2812" s="11"/>
      <c r="G2812" s="11"/>
      <c r="H2812" s="11"/>
      <c r="I2812" s="11"/>
      <c r="J2812" s="11"/>
      <c r="K2812" s="11"/>
      <c r="L2812" s="11"/>
      <c r="M2812" s="11"/>
      <c r="N2812" s="44" t="n">
        <v>16.06</v>
      </c>
      <c r="O2812" s="11"/>
    </row>
    <row r="2813" customFormat="false" ht="14.25" hidden="false" customHeight="true" outlineLevel="0" collapsed="false">
      <c r="C2813" s="11"/>
      <c r="D2813" s="11"/>
      <c r="E2813" s="11"/>
      <c r="F2813" s="11"/>
      <c r="G2813" s="11"/>
      <c r="H2813" s="11"/>
      <c r="I2813" s="11"/>
      <c r="J2813" s="11"/>
      <c r="K2813" s="11"/>
      <c r="L2813" s="11"/>
      <c r="M2813" s="11"/>
      <c r="N2813" s="44" t="n">
        <v>16.26</v>
      </c>
      <c r="O2813" s="11"/>
    </row>
    <row r="2814" customFormat="false" ht="14.25" hidden="false" customHeight="true" outlineLevel="0" collapsed="false">
      <c r="C2814" s="11"/>
      <c r="D2814" s="11"/>
      <c r="E2814" s="11"/>
      <c r="F2814" s="11"/>
      <c r="G2814" s="11"/>
      <c r="H2814" s="11"/>
      <c r="I2814" s="11"/>
      <c r="J2814" s="11"/>
      <c r="K2814" s="11"/>
      <c r="L2814" s="11"/>
      <c r="M2814" s="11"/>
      <c r="N2814" s="44" t="n">
        <v>16.2</v>
      </c>
      <c r="O2814" s="11"/>
    </row>
    <row r="2815" customFormat="false" ht="14.25" hidden="false" customHeight="true" outlineLevel="0" collapsed="false">
      <c r="C2815" s="11"/>
      <c r="D2815" s="11"/>
      <c r="E2815" s="11"/>
      <c r="F2815" s="11"/>
      <c r="G2815" s="11"/>
      <c r="H2815" s="11"/>
      <c r="I2815" s="11"/>
      <c r="J2815" s="11"/>
      <c r="K2815" s="11"/>
      <c r="L2815" s="11"/>
      <c r="M2815" s="11"/>
      <c r="N2815" s="44" t="n">
        <v>16.43</v>
      </c>
      <c r="O2815" s="11"/>
    </row>
    <row r="2816" customFormat="false" ht="14.25" hidden="false" customHeight="true" outlineLevel="0" collapsed="false">
      <c r="C2816" s="11"/>
      <c r="D2816" s="11"/>
      <c r="E2816" s="11"/>
      <c r="F2816" s="11"/>
      <c r="G2816" s="11"/>
      <c r="H2816" s="11"/>
      <c r="I2816" s="11"/>
      <c r="J2816" s="11"/>
      <c r="K2816" s="11"/>
      <c r="L2816" s="11"/>
      <c r="M2816" s="11"/>
      <c r="N2816" s="44" t="n">
        <v>16.21</v>
      </c>
      <c r="O2816" s="11"/>
    </row>
    <row r="2817" customFormat="false" ht="14.25" hidden="false" customHeight="true" outlineLevel="0" collapsed="false">
      <c r="C2817" s="11"/>
      <c r="D2817" s="11"/>
      <c r="E2817" s="11"/>
      <c r="F2817" s="11"/>
      <c r="G2817" s="11"/>
      <c r="H2817" s="11"/>
      <c r="I2817" s="11"/>
      <c r="J2817" s="11"/>
      <c r="K2817" s="11"/>
      <c r="L2817" s="11"/>
      <c r="M2817" s="11"/>
      <c r="N2817" s="44" t="n">
        <v>16.45</v>
      </c>
      <c r="O2817" s="11"/>
    </row>
  </sheetData>
  <mergeCells count="5">
    <mergeCell ref="C14:L14"/>
    <mergeCell ref="D18:L18"/>
    <mergeCell ref="C55:J55"/>
    <mergeCell ref="D59:J59"/>
    <mergeCell ref="C77:L77"/>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J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3" topLeftCell="D14" activePane="bottomRight" state="frozen"/>
      <selection pane="topLeft" activeCell="A1" activeCellId="0" sqref="A1"/>
      <selection pane="topRight" activeCell="D1" activeCellId="0" sqref="D1"/>
      <selection pane="bottomLeft" activeCell="A14" activeCellId="0" sqref="A14"/>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1" width="1.7"/>
    <col collapsed="false" customWidth="true" hidden="false" outlineLevel="0" max="3" min="3" style="1" width="46"/>
    <col collapsed="false" customWidth="true" hidden="false" outlineLevel="0" max="9" min="4" style="1" width="12.3"/>
    <col collapsed="false" customWidth="true" hidden="false" outlineLevel="0" max="10" min="10" style="1" width="26"/>
  </cols>
  <sheetData>
    <row r="2" customFormat="false" ht="21.75" hidden="false" customHeight="true" outlineLevel="0" collapsed="false">
      <c r="C2" s="46" t="str">
        <f aca="false">"Financial Statement Model - "&amp;Cover!$D$5</f>
        <v>Financial Statement Model - GATX Corporation</v>
      </c>
      <c r="D2" s="47"/>
      <c r="E2" s="47"/>
      <c r="F2" s="47"/>
      <c r="G2" s="47"/>
      <c r="H2" s="47"/>
      <c r="I2" s="47"/>
      <c r="J2" s="47"/>
    </row>
    <row r="3" customFormat="false" ht="15" hidden="false" customHeight="true" outlineLevel="0" collapsed="false">
      <c r="C3" s="48" t="s">
        <v>1</v>
      </c>
    </row>
    <row r="5" customFormat="false" ht="15" hidden="false" customHeight="true" outlineLevel="0" collapsed="false">
      <c r="C5" s="4" t="s">
        <v>2</v>
      </c>
      <c r="D5" s="49" t="str">
        <f aca="false">Cover!$D$5</f>
        <v>GATX Corporation</v>
      </c>
    </row>
    <row r="6" customFormat="false" ht="15" hidden="false" customHeight="true" outlineLevel="0" collapsed="false">
      <c r="C6" s="4" t="s">
        <v>4</v>
      </c>
      <c r="D6" s="49" t="str">
        <f aca="false">Cover!$D$6</f>
        <v>GATX</v>
      </c>
    </row>
    <row r="7" customFormat="false" ht="15" hidden="false" customHeight="true" outlineLevel="0" collapsed="false">
      <c r="C7" s="4" t="s">
        <v>1551</v>
      </c>
      <c r="D7" s="49" t="n">
        <f aca="false">Cover!$D$7</f>
        <v>1</v>
      </c>
    </row>
    <row r="8" customFormat="false" ht="15" hidden="false" customHeight="true" outlineLevel="0" collapsed="false">
      <c r="C8" s="4" t="s">
        <v>7</v>
      </c>
      <c r="D8" s="6" t="n">
        <f aca="false">Cover!$D$8</f>
        <v>162.78</v>
      </c>
    </row>
    <row r="9" customFormat="false" ht="15" hidden="false" customHeight="true" outlineLevel="0" collapsed="false">
      <c r="C9" s="4" t="s">
        <v>8</v>
      </c>
      <c r="D9" s="50" t="n">
        <f aca="false">Cover!$D$9</f>
        <v>46303</v>
      </c>
    </row>
    <row r="10" customFormat="false" ht="15" hidden="false" customHeight="true" outlineLevel="0" collapsed="false">
      <c r="C10" s="4" t="s">
        <v>9</v>
      </c>
      <c r="D10" s="50" t="n">
        <f aca="false">Cover!$D$10</f>
        <v>46022</v>
      </c>
    </row>
    <row r="11" customFormat="false" ht="15" hidden="false" customHeight="true" outlineLevel="0" collapsed="false">
      <c r="C11" s="4" t="s">
        <v>1552</v>
      </c>
      <c r="D11" s="8" t="n">
        <f aca="false">Cover!$D$11</f>
        <v>35.8</v>
      </c>
    </row>
    <row r="13" customFormat="false" ht="15" hidden="false" customHeight="true" outlineLevel="0" collapsed="false">
      <c r="C13" s="10" t="s">
        <v>2210</v>
      </c>
      <c r="D13" s="11"/>
      <c r="E13" s="11"/>
      <c r="F13" s="11"/>
      <c r="G13" s="11"/>
      <c r="H13" s="11"/>
      <c r="I13" s="11"/>
      <c r="J13" s="11"/>
    </row>
    <row r="14" customFormat="false" ht="14.25" hidden="false" customHeight="true" outlineLevel="0" collapsed="false">
      <c r="C14" s="3" t="s">
        <v>2211</v>
      </c>
      <c r="D14" s="11"/>
      <c r="E14" s="11"/>
      <c r="F14" s="11"/>
      <c r="G14" s="11"/>
      <c r="H14" s="11"/>
      <c r="I14" s="11"/>
      <c r="J14" s="11"/>
    </row>
    <row r="15" customFormat="false" ht="14.25" hidden="false" customHeight="true" outlineLevel="0" collapsed="false">
      <c r="C15" s="11"/>
      <c r="D15" s="11"/>
      <c r="E15" s="11"/>
      <c r="F15" s="11"/>
      <c r="G15" s="11"/>
      <c r="H15" s="11"/>
      <c r="I15" s="11"/>
      <c r="J15" s="11"/>
    </row>
    <row r="16" customFormat="false" ht="14.25" hidden="false" customHeight="true" outlineLevel="0" collapsed="false">
      <c r="C16" s="10" t="s">
        <v>2212</v>
      </c>
      <c r="D16" s="10" t="s">
        <v>2213</v>
      </c>
      <c r="E16" s="10" t="s">
        <v>2214</v>
      </c>
      <c r="F16" s="10" t="s">
        <v>2215</v>
      </c>
      <c r="G16" s="10" t="s">
        <v>2216</v>
      </c>
      <c r="H16" s="10" t="s">
        <v>2217</v>
      </c>
      <c r="I16" s="10" t="s">
        <v>2218</v>
      </c>
      <c r="J16" s="10" t="s">
        <v>2219</v>
      </c>
    </row>
    <row r="17" customFormat="false" ht="14.25" hidden="false" customHeight="true" outlineLevel="0" collapsed="false">
      <c r="C17" s="11" t="s">
        <v>2220</v>
      </c>
      <c r="D17" s="42" t="n">
        <f aca="false">Drivers!C328</f>
        <v>583.7</v>
      </c>
      <c r="E17" s="42" t="n">
        <f aca="false">Drivers!C326</f>
        <v>580.1</v>
      </c>
      <c r="F17" s="42" t="n">
        <f aca="false">(H17-D17-E17)*Drivers!C360</f>
        <v>610.827326924144</v>
      </c>
      <c r="G17" s="32" t="n">
        <f aca="false">(H17-D17-E17)-F17</f>
        <v>610.827326924144</v>
      </c>
      <c r="H17" s="42" t="n">
        <f aca="false">'3 Statement Forecast'!E17</f>
        <v>2385.45465384829</v>
      </c>
      <c r="I17" s="32" t="n">
        <f aca="false">D17+E17+F17+G17</f>
        <v>2385.45465384829</v>
      </c>
      <c r="J17" s="32" t="n">
        <f aca="false">I17-H17</f>
        <v>0</v>
      </c>
    </row>
    <row r="18" customFormat="false" ht="14.25" hidden="false" customHeight="true" outlineLevel="0" collapsed="false">
      <c r="C18" s="11" t="s">
        <v>1643</v>
      </c>
      <c r="D18" s="42" t="n">
        <f aca="false">Drivers!C331</f>
        <v>-140.7</v>
      </c>
      <c r="E18" s="42" t="n">
        <f aca="false">Drivers!C329</f>
        <v>-151.8</v>
      </c>
      <c r="F18" s="42" t="n">
        <f aca="false">(H18-D18-E18)*Drivers!C360</f>
        <v>-153.520358416663</v>
      </c>
      <c r="G18" s="32" t="n">
        <f aca="false">(H18-D18-E18)-F18</f>
        <v>-153.520358416663</v>
      </c>
      <c r="H18" s="42" t="n">
        <f aca="false">'3 Statement Forecast'!E18</f>
        <v>-599.540716833325</v>
      </c>
      <c r="I18" s="32" t="n">
        <f aca="false">D18+E18+F18+G18</f>
        <v>-599.540716833325</v>
      </c>
      <c r="J18" s="32" t="n">
        <f aca="false">I18-H18</f>
        <v>0</v>
      </c>
    </row>
    <row r="19" customFormat="false" ht="14.25" hidden="false" customHeight="true" outlineLevel="0" collapsed="false">
      <c r="C19" s="11" t="s">
        <v>1644</v>
      </c>
      <c r="D19" s="42" t="n">
        <f aca="false">Drivers!C334</f>
        <v>-169.2</v>
      </c>
      <c r="E19" s="42" t="n">
        <f aca="false">Drivers!C332</f>
        <v>-166.5</v>
      </c>
      <c r="F19" s="42" t="n">
        <f aca="false">(H19-D19-E19)*Drivers!C360</f>
        <v>-167.85</v>
      </c>
      <c r="G19" s="32" t="n">
        <f aca="false">(H19-D19-E19)-F19</f>
        <v>-167.85</v>
      </c>
      <c r="H19" s="42" t="n">
        <f aca="false">'3 Statement Forecast'!E19</f>
        <v>-671.4</v>
      </c>
      <c r="I19" s="32" t="n">
        <f aca="false">D19+E19+F19+G19</f>
        <v>-671.4</v>
      </c>
      <c r="J19" s="32" t="n">
        <f aca="false">I19-H19</f>
        <v>0</v>
      </c>
    </row>
    <row r="20" customFormat="false" ht="14.25" hidden="false" customHeight="true" outlineLevel="0" collapsed="false">
      <c r="C20" s="11" t="s">
        <v>1571</v>
      </c>
      <c r="D20" s="42" t="n">
        <f aca="false">Drivers!C337</f>
        <v>-71.3</v>
      </c>
      <c r="E20" s="42" t="n">
        <f aca="false">Drivers!C335</f>
        <v>-69.2</v>
      </c>
      <c r="F20" s="42" t="n">
        <f aca="false">(H20-D20-E20)*Drivers!C360</f>
        <v>-74.0700065578214</v>
      </c>
      <c r="G20" s="32" t="n">
        <f aca="false">(H20-D20-E20)-F20</f>
        <v>-74.0700065578214</v>
      </c>
      <c r="H20" s="42" t="n">
        <f aca="false">'3 Statement Forecast'!E22</f>
        <v>-288.640013115643</v>
      </c>
      <c r="I20" s="32" t="n">
        <f aca="false">D20+E20+F20+G20</f>
        <v>-288.640013115643</v>
      </c>
      <c r="J20" s="32" t="n">
        <f aca="false">I20-H20</f>
        <v>0</v>
      </c>
    </row>
    <row r="21" customFormat="false" ht="14.25" hidden="false" customHeight="true" outlineLevel="0" collapsed="false">
      <c r="C21" s="11" t="s">
        <v>2221</v>
      </c>
      <c r="D21" s="42" t="n">
        <f aca="false">Drivers!C340</f>
        <v>51</v>
      </c>
      <c r="E21" s="42" t="n">
        <f aca="false">Drivers!C338</f>
        <v>69.7</v>
      </c>
      <c r="F21" s="42" t="n">
        <f aca="false">(H21-D21-E21)*Drivers!C361</f>
        <v>49.39</v>
      </c>
      <c r="G21" s="32" t="n">
        <f aca="false">(H21-D21-E21)-F21</f>
        <v>40.41</v>
      </c>
      <c r="H21" s="42" t="n">
        <f aca="false">'3 Statement Forecast'!E23</f>
        <v>210.5</v>
      </c>
      <c r="I21" s="32" t="n">
        <f aca="false">D21+E21+F21+G21</f>
        <v>210.5</v>
      </c>
      <c r="J21" s="32" t="n">
        <f aca="false">I21-H21</f>
        <v>0</v>
      </c>
    </row>
    <row r="22" customFormat="false" ht="14.25" hidden="false" customHeight="true" outlineLevel="0" collapsed="false">
      <c r="C22" s="11" t="s">
        <v>2222</v>
      </c>
      <c r="D22" s="42" t="n">
        <f aca="false">Drivers!C343</f>
        <v>-151</v>
      </c>
      <c r="E22" s="42" t="n">
        <f aca="false">Drivers!C341</f>
        <v>-143</v>
      </c>
      <c r="F22" s="42" t="n">
        <f aca="false">(H22-D22-E22)*Drivers!C360</f>
        <v>-147.412995</v>
      </c>
      <c r="G22" s="32" t="n">
        <f aca="false">(H22-D22-E22)-F22</f>
        <v>-147.412995</v>
      </c>
      <c r="H22" s="42" t="n">
        <f aca="false">'3 Statement Forecast'!E24</f>
        <v>-588.82599</v>
      </c>
      <c r="I22" s="32" t="n">
        <f aca="false">D22+E22+F22+G22</f>
        <v>-588.82599</v>
      </c>
      <c r="J22" s="32" t="n">
        <f aca="false">I22-H22</f>
        <v>0</v>
      </c>
    </row>
    <row r="23" customFormat="false" ht="14.25" hidden="false" customHeight="true" outlineLevel="0" collapsed="false">
      <c r="C23" s="11" t="s">
        <v>2223</v>
      </c>
      <c r="D23" s="42" t="n">
        <f aca="false">Drivers!C346</f>
        <v>6.2</v>
      </c>
      <c r="E23" s="42" t="n">
        <f aca="false">Drivers!C344</f>
        <v>12.7</v>
      </c>
      <c r="F23" s="42" t="n">
        <f aca="false">(H23-D23-E23)*Drivers!C362</f>
        <v>-4.25</v>
      </c>
      <c r="G23" s="32" t="n">
        <f aca="false">(H23-D23-E23)-F23</f>
        <v>-4.25</v>
      </c>
      <c r="H23" s="42" t="n">
        <f aca="false">'3 Statement Forecast'!E25</f>
        <v>10.4</v>
      </c>
      <c r="I23" s="32" t="n">
        <f aca="false">D23+E23+F23+G23</f>
        <v>10.4</v>
      </c>
      <c r="J23" s="32" t="n">
        <f aca="false">I23-H23</f>
        <v>0</v>
      </c>
    </row>
    <row r="24" customFormat="false" ht="14.25" hidden="false" customHeight="true" outlineLevel="0" collapsed="false">
      <c r="C24" s="11" t="s">
        <v>2224</v>
      </c>
      <c r="D24" s="42" t="n">
        <f aca="false">Drivers!C349</f>
        <v>-21.2</v>
      </c>
      <c r="E24" s="42" t="n">
        <f aca="false">Drivers!C347</f>
        <v>-26</v>
      </c>
      <c r="F24" s="42" t="n">
        <f aca="false">(H24-D24-E24)*Drivers!C360</f>
        <v>-20.1802618285185</v>
      </c>
      <c r="G24" s="32" t="n">
        <f aca="false">(H24-D24-E24)-F24</f>
        <v>-20.1802618285185</v>
      </c>
      <c r="H24" s="42" t="n">
        <f aca="false">'3 Statement Forecast'!E27</f>
        <v>-87.5605236570369</v>
      </c>
      <c r="I24" s="32" t="n">
        <f aca="false">D24+E24+F24+G24</f>
        <v>-87.5605236570369</v>
      </c>
      <c r="J24" s="32" t="n">
        <f aca="false">I24-H24</f>
        <v>0</v>
      </c>
    </row>
    <row r="25" customFormat="false" ht="14.25" hidden="false" customHeight="true" outlineLevel="0" collapsed="false">
      <c r="C25" s="35" t="s">
        <v>2225</v>
      </c>
      <c r="D25" s="42" t="n">
        <f aca="false">Drivers!C352</f>
        <v>20.8</v>
      </c>
      <c r="E25" s="42" t="n">
        <f aca="false">Drivers!C350</f>
        <v>37.2</v>
      </c>
      <c r="F25" s="42" t="n">
        <f aca="false">(H25-D25-E25)*Drivers!C360</f>
        <v>41</v>
      </c>
      <c r="G25" s="32" t="n">
        <f aca="false">(H25-D25-E25)-F25</f>
        <v>41</v>
      </c>
      <c r="H25" s="42" t="n">
        <f aca="false">'3 Statement Forecast'!E28</f>
        <v>140</v>
      </c>
      <c r="I25" s="32" t="n">
        <f aca="false">D25+E25+F25+G25</f>
        <v>140</v>
      </c>
      <c r="J25" s="32" t="n">
        <f aca="false">I25-H25</f>
        <v>0</v>
      </c>
    </row>
    <row r="26" customFormat="false" ht="14.25" hidden="false" customHeight="true" outlineLevel="0" collapsed="false">
      <c r="C26" s="11" t="s">
        <v>2226</v>
      </c>
      <c r="D26" s="42" t="n">
        <f aca="false">Drivers!C355</f>
        <v>6.4</v>
      </c>
      <c r="E26" s="42" t="n">
        <f aca="false">Drivers!C353</f>
        <v>-7.6</v>
      </c>
      <c r="F26" s="42" t="n">
        <f aca="false">(H26-D26-E26)*Drivers!C360</f>
        <v>-7.90751999999997</v>
      </c>
      <c r="G26" s="32" t="n">
        <f aca="false">(H26-D26-E26)-F26</f>
        <v>-7.90751999999997</v>
      </c>
      <c r="H26" s="42" t="n">
        <f aca="false">'3 Statement Forecast'!E30</f>
        <v>-17.0150399999999</v>
      </c>
      <c r="I26" s="32" t="n">
        <f aca="false">D26+E26+F26+G26</f>
        <v>-17.0150399999999</v>
      </c>
      <c r="J26" s="32" t="n">
        <f aca="false">I26-H26</f>
        <v>0</v>
      </c>
    </row>
    <row r="27" customFormat="false" ht="14.25" hidden="false" customHeight="true" outlineLevel="0" collapsed="false">
      <c r="C27" s="11" t="s">
        <v>1581</v>
      </c>
      <c r="D27" s="14" t="n">
        <f aca="false">Drivers!C358</f>
        <v>2.35</v>
      </c>
      <c r="E27" s="14" t="n">
        <f aca="false">Drivers!C356</f>
        <v>2.84</v>
      </c>
      <c r="F27" s="14" t="n">
        <f aca="false">(H27-D27-E27)*Drivers!C360</f>
        <v>2.54961150961384</v>
      </c>
      <c r="G27" s="64" t="n">
        <f aca="false">(H27-D27-E27)-F27</f>
        <v>2.54961150961384</v>
      </c>
      <c r="H27" s="14" t="n">
        <f aca="false">'3 Statement Forecast'!E33</f>
        <v>10.2892230192277</v>
      </c>
      <c r="I27" s="64" t="n">
        <f aca="false">D27+E27+F27+G27</f>
        <v>10.2892230192277</v>
      </c>
      <c r="J27" s="64" t="n">
        <f aca="false">I27-H27</f>
        <v>0</v>
      </c>
    </row>
    <row r="28" customFormat="false" ht="14.25" hidden="false" customHeight="true" outlineLevel="0" collapsed="false">
      <c r="C28" s="11" t="s">
        <v>2227</v>
      </c>
      <c r="D28" s="11" t="n">
        <f aca="false">'Segment P&amp;L'!$E$21/4</f>
        <v>444.516413462072</v>
      </c>
      <c r="E28" s="11" t="n">
        <f aca="false">'Segment P&amp;L'!$E$21/4</f>
        <v>444.516413462072</v>
      </c>
      <c r="F28" s="11" t="n">
        <f aca="false">'Segment P&amp;L'!$E$21/4</f>
        <v>444.516413462072</v>
      </c>
      <c r="G28" s="11" t="n">
        <f aca="false">'Segment P&amp;L'!$E$21/4</f>
        <v>444.516413462072</v>
      </c>
      <c r="H28" s="112" t="n">
        <f aca="false">'Segment P&amp;L'!$E$21</f>
        <v>1778.06565384829</v>
      </c>
      <c r="I28" s="11"/>
      <c r="J28" s="11" t="s">
        <v>2228</v>
      </c>
    </row>
    <row r="29" customFormat="false" ht="14.25" hidden="false" customHeight="true" outlineLevel="0" collapsed="false">
      <c r="C29" s="10" t="s">
        <v>2229</v>
      </c>
      <c r="D29" s="11"/>
      <c r="E29" s="11"/>
      <c r="F29" s="11"/>
      <c r="G29" s="11"/>
      <c r="H29" s="11"/>
      <c r="I29" s="11"/>
      <c r="J29" s="11"/>
    </row>
    <row r="30" customFormat="false" ht="14.25" hidden="false" customHeight="true" outlineLevel="0" collapsed="false">
      <c r="C30" s="11" t="s">
        <v>2230</v>
      </c>
      <c r="D30" s="64" t="n">
        <f aca="false">F27</f>
        <v>2.54961150961384</v>
      </c>
      <c r="E30" s="11"/>
      <c r="F30" s="11"/>
      <c r="G30" s="11"/>
      <c r="H30" s="11"/>
      <c r="I30" s="11"/>
      <c r="J30" s="11"/>
    </row>
    <row r="31" customFormat="false" ht="14.25" hidden="false" customHeight="true" outlineLevel="0" collapsed="false">
      <c r="C31" s="11" t="s">
        <v>2231</v>
      </c>
      <c r="D31" s="14" t="n">
        <f aca="false">Drivers!C364</f>
        <v>2.458</v>
      </c>
      <c r="E31" s="11"/>
      <c r="F31" s="11"/>
      <c r="G31" s="11"/>
      <c r="H31" s="11"/>
      <c r="I31" s="11"/>
      <c r="J31" s="11"/>
    </row>
    <row r="32" customFormat="false" ht="14.25" hidden="false" customHeight="true" outlineLevel="0" collapsed="false">
      <c r="C32" s="11" t="s">
        <v>2232</v>
      </c>
      <c r="D32" s="14" t="n">
        <f aca="false">Drivers!C365</f>
        <v>2.458</v>
      </c>
      <c r="E32" s="11"/>
      <c r="F32" s="11"/>
      <c r="G32" s="11"/>
      <c r="H32" s="11"/>
      <c r="I32" s="11"/>
      <c r="J32" s="11"/>
    </row>
    <row r="33" customFormat="false" ht="14.25" hidden="false" customHeight="true" outlineLevel="0" collapsed="false">
      <c r="C33" s="11" t="s">
        <v>2233</v>
      </c>
      <c r="D33" s="14" t="n">
        <f aca="false">Drivers!C366</f>
        <v>2.458</v>
      </c>
      <c r="E33" s="11"/>
      <c r="F33" s="11"/>
      <c r="G33" s="11"/>
      <c r="H33" s="11"/>
      <c r="I33" s="11"/>
      <c r="J33" s="11"/>
    </row>
    <row r="34" customFormat="false" ht="14.25" hidden="false" customHeight="true" outlineLevel="0" collapsed="false">
      <c r="C34" s="11" t="s">
        <v>2234</v>
      </c>
      <c r="D34" s="34" t="n">
        <f aca="false">D30-D33</f>
        <v>0.0916115096138364</v>
      </c>
      <c r="E34" s="11"/>
      <c r="F34" s="11"/>
      <c r="G34" s="11"/>
      <c r="H34" s="11"/>
      <c r="I34" s="11"/>
      <c r="J34" s="11"/>
    </row>
    <row r="35" customFormat="false" ht="14.25" hidden="false" customHeight="true" outlineLevel="0" collapsed="false">
      <c r="C35" s="11" t="s">
        <v>2235</v>
      </c>
      <c r="D35" s="34" t="n">
        <f aca="false">D34/D33</f>
        <v>0.0372707524873215</v>
      </c>
      <c r="E35" s="11"/>
      <c r="F35" s="11"/>
      <c r="G35" s="11"/>
      <c r="H35" s="11"/>
      <c r="I35" s="11"/>
      <c r="J35" s="11"/>
    </row>
    <row r="36" customFormat="false" ht="14.25" hidden="false" customHeight="true" outlineLevel="0" collapsed="false">
      <c r="C36" s="11"/>
      <c r="D36" s="11"/>
      <c r="E36" s="11"/>
      <c r="F36" s="11"/>
      <c r="G36" s="11"/>
      <c r="H36" s="11"/>
      <c r="I36" s="11"/>
      <c r="J36" s="11"/>
    </row>
    <row r="37" customFormat="false" ht="14.25" hidden="false" customHeight="true" outlineLevel="0" collapsed="false">
      <c r="C37" s="10" t="s">
        <v>2236</v>
      </c>
      <c r="D37" s="11"/>
      <c r="E37" s="11"/>
      <c r="F37" s="11"/>
      <c r="G37" s="11"/>
      <c r="H37" s="11"/>
      <c r="I37" s="11"/>
      <c r="J37" s="11"/>
    </row>
    <row r="38" customFormat="false" ht="14.25" hidden="false" customHeight="true" outlineLevel="0" collapsed="false">
      <c r="C38" s="11" t="s">
        <v>2237</v>
      </c>
      <c r="D38" s="11"/>
      <c r="E38" s="11"/>
      <c r="F38" s="11"/>
      <c r="G38" s="11"/>
      <c r="H38" s="11"/>
      <c r="I38" s="11"/>
      <c r="J38" s="11"/>
    </row>
    <row r="39" customFormat="false" ht="14.25" hidden="false" customHeight="true" outlineLevel="0" collapsed="false">
      <c r="C39" s="11" t="s">
        <v>2238</v>
      </c>
      <c r="D39" s="11"/>
      <c r="E39" s="11"/>
      <c r="F39" s="11"/>
      <c r="G39" s="11"/>
      <c r="H39" s="11"/>
      <c r="I39" s="11"/>
      <c r="J39" s="11"/>
    </row>
    <row r="40" customFormat="false" ht="14.25" hidden="false" customHeight="true" outlineLevel="0" collapsed="false">
      <c r="C40" s="11" t="s">
        <v>2239</v>
      </c>
      <c r="D40" s="11"/>
      <c r="E40" s="11"/>
      <c r="F40" s="11"/>
      <c r="G40" s="11"/>
      <c r="H40" s="11"/>
      <c r="I40" s="11"/>
      <c r="J40" s="11"/>
    </row>
    <row r="41" customFormat="false" ht="14.25" hidden="false" customHeight="true" outlineLevel="0" collapsed="false">
      <c r="C41" s="11" t="s">
        <v>2240</v>
      </c>
      <c r="D41" s="11"/>
      <c r="E41" s="11"/>
      <c r="F41" s="11"/>
      <c r="G41" s="11"/>
      <c r="H41" s="11"/>
      <c r="I41" s="11"/>
      <c r="J41" s="11"/>
    </row>
    <row r="42" customFormat="false" ht="14.25" hidden="false" customHeight="true" outlineLevel="0" collapsed="false">
      <c r="C42" s="11"/>
      <c r="D42" s="11"/>
      <c r="E42" s="11"/>
      <c r="F42" s="11"/>
      <c r="G42" s="11"/>
      <c r="H42" s="11"/>
      <c r="I42" s="11"/>
      <c r="J42" s="11"/>
    </row>
    <row r="43" customFormat="false" ht="14.25" hidden="false" customHeight="true" outlineLevel="0" collapsed="false">
      <c r="C43" s="10" t="s">
        <v>2241</v>
      </c>
      <c r="D43" s="11"/>
      <c r="E43" s="11"/>
      <c r="F43" s="11"/>
      <c r="G43" s="11"/>
      <c r="H43" s="11"/>
      <c r="I43" s="11"/>
      <c r="J43" s="11"/>
    </row>
    <row r="44" customFormat="false" ht="14.25" hidden="false" customHeight="true" outlineLevel="0" collapsed="false">
      <c r="A44" s="22" t="s">
        <v>11</v>
      </c>
      <c r="C44" s="71" t="s">
        <v>2242</v>
      </c>
      <c r="D44" s="107" t="n">
        <f aca="false">I27</f>
        <v>10.2892230192277</v>
      </c>
      <c r="E44" s="54"/>
      <c r="F44" s="54"/>
      <c r="G44" s="54"/>
      <c r="H44" s="54"/>
      <c r="I44" s="54"/>
      <c r="J44" s="54"/>
    </row>
    <row r="45" customFormat="false" ht="14.25" hidden="false" customHeight="true" outlineLevel="0" collapsed="false">
      <c r="C45" s="11" t="s">
        <v>2243</v>
      </c>
      <c r="D45" s="64" t="n">
        <f aca="false">H27</f>
        <v>10.2892230192277</v>
      </c>
      <c r="E45" s="11"/>
      <c r="F45" s="11"/>
      <c r="G45" s="11"/>
      <c r="H45" s="11"/>
      <c r="I45" s="11"/>
      <c r="J45" s="11"/>
    </row>
    <row r="46" customFormat="false" ht="14.25" hidden="false" customHeight="true" outlineLevel="0" collapsed="false">
      <c r="C46" s="11" t="s">
        <v>2244</v>
      </c>
      <c r="D46" s="65" t="n">
        <f aca="false">D44-D45</f>
        <v>0</v>
      </c>
      <c r="E46" s="11"/>
      <c r="F46" s="11"/>
      <c r="G46" s="11"/>
      <c r="H46" s="11"/>
      <c r="I46" s="11"/>
      <c r="J46" s="11"/>
    </row>
    <row r="47" customFormat="false" ht="14.25" hidden="false" customHeight="true" outlineLevel="0" collapsed="false">
      <c r="C47" s="11" t="s">
        <v>2245</v>
      </c>
      <c r="D47" s="76" t="str">
        <f aca="false">IF(ABS(D46)&lt;=Drivers!C380,"PASS","FAIL")</f>
        <v>PASS</v>
      </c>
      <c r="E47" s="11"/>
      <c r="F47" s="11"/>
      <c r="G47" s="11"/>
      <c r="H47" s="11"/>
      <c r="I47" s="11"/>
      <c r="J47" s="11"/>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K6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3" topLeftCell="D14" activePane="bottomRight" state="frozen"/>
      <selection pane="topLeft" activeCell="A1" activeCellId="0" sqref="A1"/>
      <selection pane="topRight" activeCell="D1" activeCellId="0" sqref="D1"/>
      <selection pane="bottomLeft" activeCell="A14" activeCellId="0" sqref="A14"/>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1" width="1.7"/>
    <col collapsed="false" customWidth="true" hidden="false" outlineLevel="0" max="3" min="3" style="1" width="46"/>
    <col collapsed="false" customWidth="true" hidden="false" outlineLevel="0" max="8" min="4" style="1" width="12.3"/>
    <col collapsed="false" customWidth="true" hidden="false" outlineLevel="0" max="9" min="9" style="1" width="26"/>
  </cols>
  <sheetData>
    <row r="2" customFormat="false" ht="21.75" hidden="false" customHeight="true" outlineLevel="0" collapsed="false">
      <c r="C2" s="46" t="str">
        <f aca="false">"Financial Statement Model - "&amp;Cover!$D$5</f>
        <v>Financial Statement Model - GATX Corporation</v>
      </c>
      <c r="D2" s="47"/>
      <c r="E2" s="47"/>
      <c r="F2" s="47"/>
      <c r="G2" s="47"/>
      <c r="H2" s="47"/>
      <c r="I2" s="47"/>
    </row>
    <row r="3" customFormat="false" ht="15" hidden="false" customHeight="true" outlineLevel="0" collapsed="false">
      <c r="C3" s="48" t="s">
        <v>1</v>
      </c>
    </row>
    <row r="5" customFormat="false" ht="15" hidden="false" customHeight="true" outlineLevel="0" collapsed="false">
      <c r="C5" s="4" t="s">
        <v>2</v>
      </c>
      <c r="D5" s="49" t="str">
        <f aca="false">Cover!$D$5</f>
        <v>GATX Corporation</v>
      </c>
    </row>
    <row r="6" customFormat="false" ht="15" hidden="false" customHeight="true" outlineLevel="0" collapsed="false">
      <c r="C6" s="4" t="s">
        <v>4</v>
      </c>
      <c r="D6" s="49" t="str">
        <f aca="false">Cover!$D$6</f>
        <v>GATX</v>
      </c>
    </row>
    <row r="7" customFormat="false" ht="15" hidden="false" customHeight="true" outlineLevel="0" collapsed="false">
      <c r="C7" s="4" t="s">
        <v>1551</v>
      </c>
      <c r="D7" s="49" t="n">
        <f aca="false">Cover!$D$7</f>
        <v>1</v>
      </c>
    </row>
    <row r="8" customFormat="false" ht="15" hidden="false" customHeight="true" outlineLevel="0" collapsed="false">
      <c r="C8" s="4" t="s">
        <v>7</v>
      </c>
      <c r="D8" s="6" t="n">
        <f aca="false">Cover!$D$8</f>
        <v>162.78</v>
      </c>
    </row>
    <row r="9" customFormat="false" ht="15" hidden="false" customHeight="true" outlineLevel="0" collapsed="false">
      <c r="C9" s="4" t="s">
        <v>8</v>
      </c>
      <c r="D9" s="50" t="n">
        <f aca="false">Cover!$D$9</f>
        <v>46303</v>
      </c>
    </row>
    <row r="10" customFormat="false" ht="15" hidden="false" customHeight="true" outlineLevel="0" collapsed="false">
      <c r="C10" s="4" t="s">
        <v>9</v>
      </c>
      <c r="D10" s="50" t="n">
        <f aca="false">Cover!$D$10</f>
        <v>46022</v>
      </c>
    </row>
    <row r="11" customFormat="false" ht="15" hidden="false" customHeight="true" outlineLevel="0" collapsed="false">
      <c r="C11" s="4" t="s">
        <v>1552</v>
      </c>
      <c r="D11" s="8" t="n">
        <f aca="false">Cover!$D$11</f>
        <v>35.8</v>
      </c>
    </row>
    <row r="13" customFormat="false" ht="15" hidden="false" customHeight="true" outlineLevel="0" collapsed="false">
      <c r="C13" s="10" t="s">
        <v>2246</v>
      </c>
      <c r="D13" s="11"/>
      <c r="E13" s="11"/>
      <c r="F13" s="11"/>
      <c r="G13" s="11"/>
      <c r="H13" s="11"/>
      <c r="I13" s="11"/>
    </row>
    <row r="14" customFormat="false" ht="14.25" hidden="false" customHeight="true" outlineLevel="0" collapsed="false">
      <c r="C14" s="3" t="s">
        <v>2247</v>
      </c>
      <c r="D14" s="11"/>
      <c r="E14" s="11"/>
      <c r="F14" s="11"/>
      <c r="G14" s="11"/>
      <c r="H14" s="11"/>
      <c r="I14" s="11"/>
    </row>
    <row r="15" customFormat="false" ht="14.25" hidden="false" customHeight="true" outlineLevel="0" collapsed="false">
      <c r="C15" s="11"/>
      <c r="D15" s="11"/>
      <c r="E15" s="11"/>
      <c r="F15" s="11"/>
      <c r="G15" s="11"/>
      <c r="H15" s="11"/>
      <c r="I15" s="11"/>
    </row>
    <row r="16" customFormat="false" ht="14.25" hidden="false" customHeight="true" outlineLevel="0" collapsed="false">
      <c r="C16" s="10" t="s">
        <v>2248</v>
      </c>
      <c r="D16" s="11"/>
      <c r="E16" s="11"/>
      <c r="F16" s="11"/>
      <c r="G16" s="11"/>
      <c r="H16" s="11"/>
      <c r="I16" s="11"/>
    </row>
    <row r="17" customFormat="false" ht="14.25" hidden="false" customHeight="true" outlineLevel="0" collapsed="false">
      <c r="C17" s="11" t="s">
        <v>1971</v>
      </c>
      <c r="D17" s="14" t="n">
        <f aca="false">'3 Statement Forecast'!F33</f>
        <v>10.1760599616912</v>
      </c>
      <c r="E17" s="11"/>
      <c r="F17" s="11"/>
      <c r="G17" s="11"/>
      <c r="H17" s="11"/>
      <c r="I17" s="11"/>
    </row>
    <row r="18" customFormat="false" ht="14.25" hidden="false" customHeight="true" outlineLevel="0" collapsed="false">
      <c r="C18" s="11" t="s">
        <v>2249</v>
      </c>
      <c r="D18" s="14" t="n">
        <f aca="false">Drivers!C194</f>
        <v>11.2706</v>
      </c>
      <c r="E18" s="11"/>
      <c r="F18" s="11"/>
      <c r="G18" s="11"/>
      <c r="H18" s="11"/>
      <c r="I18" s="11"/>
    </row>
    <row r="19" customFormat="false" ht="14.25" hidden="false" customHeight="true" outlineLevel="0" collapsed="false">
      <c r="C19" s="11" t="s">
        <v>2250</v>
      </c>
      <c r="D19" s="64" t="n">
        <f aca="false">D18-D17</f>
        <v>1.09454003830884</v>
      </c>
      <c r="E19" s="11"/>
      <c r="F19" s="11"/>
      <c r="G19" s="11"/>
      <c r="H19" s="11"/>
      <c r="I19" s="11"/>
    </row>
    <row r="20" customFormat="false" ht="14.25" hidden="false" customHeight="true" outlineLevel="0" collapsed="false">
      <c r="C20" s="11" t="s">
        <v>2251</v>
      </c>
      <c r="D20" s="42" t="n">
        <f aca="false">Drivers!C78</f>
        <v>35.2265200268053</v>
      </c>
      <c r="E20" s="11"/>
      <c r="F20" s="11"/>
      <c r="G20" s="11"/>
      <c r="H20" s="11"/>
      <c r="I20" s="11"/>
    </row>
    <row r="21" customFormat="false" ht="14.25" hidden="false" customHeight="true" outlineLevel="0" collapsed="false">
      <c r="C21" s="11" t="s">
        <v>2252</v>
      </c>
      <c r="D21" s="41" t="n">
        <f aca="false">Drivers!C76</f>
        <v>0.24</v>
      </c>
      <c r="E21" s="11"/>
      <c r="F21" s="11"/>
      <c r="G21" s="11"/>
      <c r="H21" s="11"/>
      <c r="I21" s="11"/>
    </row>
    <row r="22" customFormat="false" ht="14.25" hidden="false" customHeight="true" outlineLevel="0" collapsed="false">
      <c r="C22" s="11" t="s">
        <v>2253</v>
      </c>
      <c r="D22" s="34" t="n">
        <f aca="false">1-D21</f>
        <v>0.76</v>
      </c>
      <c r="E22" s="11"/>
      <c r="F22" s="11"/>
      <c r="G22" s="11"/>
      <c r="H22" s="11"/>
      <c r="I22" s="11"/>
    </row>
    <row r="23" customFormat="false" ht="14.25" hidden="false" customHeight="true" outlineLevel="0" collapsed="false">
      <c r="C23" s="11"/>
      <c r="D23" s="11"/>
      <c r="E23" s="11"/>
      <c r="F23" s="11"/>
      <c r="G23" s="11"/>
      <c r="H23" s="11"/>
      <c r="I23" s="11"/>
    </row>
    <row r="24" customFormat="false" ht="14.25" hidden="false" customHeight="true" outlineLevel="0" collapsed="false">
      <c r="C24" s="10" t="s">
        <v>2254</v>
      </c>
      <c r="D24" s="11"/>
      <c r="E24" s="11"/>
      <c r="F24" s="11"/>
      <c r="G24" s="11"/>
      <c r="H24" s="11"/>
      <c r="I24" s="11"/>
    </row>
    <row r="25" customFormat="false" ht="14.25" hidden="false" customHeight="true" outlineLevel="0" collapsed="false">
      <c r="C25" s="10" t="s">
        <v>169</v>
      </c>
      <c r="D25" s="10" t="s">
        <v>2255</v>
      </c>
      <c r="E25" s="10" t="s">
        <v>2256</v>
      </c>
      <c r="F25" s="10" t="s">
        <v>2257</v>
      </c>
      <c r="G25" s="10" t="s">
        <v>2258</v>
      </c>
      <c r="H25" s="10" t="s">
        <v>2259</v>
      </c>
      <c r="I25" s="10" t="s">
        <v>2260</v>
      </c>
    </row>
    <row r="26" customFormat="false" ht="14.25" hidden="false" customHeight="true" outlineLevel="0" collapsed="false">
      <c r="C26" s="11" t="s">
        <v>2261</v>
      </c>
      <c r="D26" s="42" t="n">
        <f aca="false">'Disposition Engine'!E44</f>
        <v>140.5</v>
      </c>
      <c r="E26" s="42" t="n">
        <f aca="false">Drivers!C368</f>
        <v>150</v>
      </c>
      <c r="F26" s="32" t="n">
        <f aca="false">E26-D26</f>
        <v>9.5</v>
      </c>
      <c r="G26" s="32" t="n">
        <f aca="false">F26</f>
        <v>9.5</v>
      </c>
      <c r="H26" s="32" t="n">
        <f aca="false">G26*$D$22</f>
        <v>7.22</v>
      </c>
      <c r="I26" s="34" t="n">
        <f aca="false">H26/$D$20</f>
        <v>0.204959218069398</v>
      </c>
    </row>
    <row r="27" customFormat="false" ht="14.25" hidden="false" customHeight="true" outlineLevel="0" collapsed="false">
      <c r="C27" s="11" t="s">
        <v>2262</v>
      </c>
      <c r="D27" s="42" t="n">
        <f aca="false">'GABX Mini P&amp;L'!H22</f>
        <v>70</v>
      </c>
      <c r="E27" s="42" t="n">
        <f aca="false">Drivers!C369</f>
        <v>75</v>
      </c>
      <c r="F27" s="32" t="n">
        <f aca="false">E27-D27</f>
        <v>5</v>
      </c>
      <c r="G27" s="42" t="n">
        <f aca="false">F27*Drivers!C252</f>
        <v>2.02675</v>
      </c>
      <c r="H27" s="32" t="n">
        <f aca="false">G27*$D$22</f>
        <v>1.54033</v>
      </c>
      <c r="I27" s="34" t="n">
        <f aca="false">H27/$D$20</f>
        <v>0.0437264310760161</v>
      </c>
    </row>
    <row r="28" customFormat="false" ht="14.25" hidden="false" customHeight="true" outlineLevel="0" collapsed="false">
      <c r="C28" s="11" t="s">
        <v>2263</v>
      </c>
      <c r="D28" s="41" t="n">
        <f aca="false">Drivers!C33</f>
        <v>0.15</v>
      </c>
      <c r="E28" s="41" t="n">
        <f aca="false">Drivers!C370</f>
        <v>0.18</v>
      </c>
      <c r="F28" s="34" t="n">
        <f aca="false">E28-D28</f>
        <v>0.03</v>
      </c>
      <c r="G28" s="41" t="n">
        <f aca="false">F28*100*('Thesis Test'!E36-'Thesis Test'!E35)/Drivers!C322*$D$20</f>
        <v>3.167504940384</v>
      </c>
      <c r="H28" s="34" t="n">
        <f aca="false">G28*$D$22</f>
        <v>2.40730375469184</v>
      </c>
      <c r="I28" s="34" t="n">
        <f aca="false">H28/$D$20</f>
        <v>0.0683378248223221</v>
      </c>
    </row>
    <row r="29" customFormat="false" ht="14.25" hidden="false" customHeight="true" outlineLevel="0" collapsed="false">
      <c r="C29" s="11" t="s">
        <v>2264</v>
      </c>
      <c r="D29" s="31" t="n">
        <v>0</v>
      </c>
      <c r="E29" s="41" t="n">
        <f aca="false">Drivers!C371</f>
        <v>0.3</v>
      </c>
      <c r="F29" s="34" t="n">
        <f aca="false">E29-D29</f>
        <v>0.3</v>
      </c>
      <c r="G29" s="32" t="n">
        <f aca="false">H29/$D$22</f>
        <v>13.9052052737389</v>
      </c>
      <c r="H29" s="32" t="n">
        <f aca="false">F29*$D$20</f>
        <v>10.5679560080416</v>
      </c>
      <c r="I29" s="34" t="n">
        <f aca="false">H29/$D$20</f>
        <v>0.3</v>
      </c>
    </row>
    <row r="30" customFormat="false" ht="14.25" hidden="false" customHeight="true" outlineLevel="0" collapsed="false">
      <c r="C30" s="11" t="s">
        <v>2265</v>
      </c>
      <c r="D30" s="42" t="n">
        <f aca="false">'Debt &amp; Interest'!F31</f>
        <v>-615.70826</v>
      </c>
      <c r="E30" s="42" t="n">
        <f aca="false">Drivers!C372</f>
        <v>-590</v>
      </c>
      <c r="F30" s="32" t="n">
        <f aca="false">E30-D30</f>
        <v>25.70826</v>
      </c>
      <c r="G30" s="32" t="n">
        <f aca="false">F30</f>
        <v>25.70826</v>
      </c>
      <c r="H30" s="32" t="n">
        <f aca="false">G30*$D$22</f>
        <v>19.5382776</v>
      </c>
      <c r="I30" s="34" t="n">
        <f aca="false">H30/$D$20</f>
        <v>0.554646828160504</v>
      </c>
    </row>
    <row r="31" customFormat="false" ht="14.25" hidden="false" customHeight="true" outlineLevel="0" collapsed="false">
      <c r="C31" s="35" t="s">
        <v>2266</v>
      </c>
      <c r="D31" s="42" t="n">
        <f aca="false">Drivers!C114</f>
        <v>150</v>
      </c>
      <c r="E31" s="42" t="n">
        <f aca="false">Drivers!C373</f>
        <v>160</v>
      </c>
      <c r="F31" s="32" t="n">
        <f aca="false">E31-D31</f>
        <v>10</v>
      </c>
      <c r="G31" s="32" t="n">
        <f aca="false">F31</f>
        <v>10</v>
      </c>
      <c r="H31" s="32" t="n">
        <f aca="false">G31</f>
        <v>10</v>
      </c>
      <c r="I31" s="34" t="n">
        <f aca="false">H31/$D$20</f>
        <v>0.283877033337117</v>
      </c>
    </row>
    <row r="32" customFormat="false" ht="14.25" hidden="false" customHeight="true" outlineLevel="0" collapsed="false">
      <c r="C32" s="11" t="s">
        <v>2267</v>
      </c>
      <c r="D32" s="42" t="n">
        <f aca="false">Drivers!C78</f>
        <v>35.2265200268053</v>
      </c>
      <c r="E32" s="42" t="n">
        <f aca="false">Drivers!C374</f>
        <v>35.5</v>
      </c>
      <c r="F32" s="34" t="n">
        <f aca="false">E32-D32</f>
        <v>0.273479973194746</v>
      </c>
      <c r="G32" s="42" t="n">
        <f aca="false">-'3 Statement Forecast'!F31*F32/E32</f>
        <v>-2.76150971231062</v>
      </c>
      <c r="H32" s="32" t="n">
        <f aca="false">G32</f>
        <v>-2.76150971231062</v>
      </c>
      <c r="I32" s="41" t="n">
        <f aca="false">-'3 Statement Forecast'!F31*F32/(D32*E32)</f>
        <v>-0.0783929184662374</v>
      </c>
    </row>
    <row r="33" customFormat="false" ht="14.25" hidden="false" customHeight="true" outlineLevel="0" collapsed="false">
      <c r="C33" s="11" t="s">
        <v>2268</v>
      </c>
      <c r="D33" s="41" t="n">
        <f aca="false">Drivers!C76</f>
        <v>0.24</v>
      </c>
      <c r="E33" s="41" t="n">
        <f aca="false">Drivers!C375</f>
        <v>0.24</v>
      </c>
      <c r="F33" s="34" t="n">
        <f aca="false">E33-D33</f>
        <v>0</v>
      </c>
      <c r="G33" s="41" t="n">
        <f aca="false">-'3 Statement Forecast'!F26*F33</f>
        <v>-0</v>
      </c>
      <c r="H33" s="34" t="n">
        <f aca="false">G33</f>
        <v>-0</v>
      </c>
      <c r="I33" s="34" t="n">
        <f aca="false">H33/$D$20</f>
        <v>-0</v>
      </c>
    </row>
    <row r="34" customFormat="false" ht="14.25" hidden="false" customHeight="true" outlineLevel="0" collapsed="false">
      <c r="C34" s="11" t="s">
        <v>2269</v>
      </c>
      <c r="D34" s="42" t="n">
        <f aca="false">Drivers!C143</f>
        <v>10</v>
      </c>
      <c r="E34" s="42" t="n">
        <f aca="false">Drivers!C376</f>
        <v>12</v>
      </c>
      <c r="F34" s="32" t="n">
        <f aca="false">E34-D34</f>
        <v>2</v>
      </c>
      <c r="G34" s="32" t="n">
        <f aca="false">F34</f>
        <v>2</v>
      </c>
      <c r="H34" s="32" t="n">
        <f aca="false">G34*$D$22</f>
        <v>1.52</v>
      </c>
      <c r="I34" s="34" t="n">
        <f aca="false">H34/$D$20</f>
        <v>0.0431493090672417</v>
      </c>
    </row>
    <row r="35" customFormat="false" ht="14.25" hidden="false" customHeight="true" outlineLevel="0" collapsed="false">
      <c r="C35" s="11"/>
      <c r="D35" s="11"/>
      <c r="E35" s="11"/>
      <c r="F35" s="11"/>
      <c r="G35" s="11"/>
      <c r="H35" s="11"/>
      <c r="I35" s="11"/>
    </row>
    <row r="36" customFormat="false" ht="14.25" hidden="false" customHeight="true" outlineLevel="0" collapsed="false">
      <c r="C36" s="10" t="s">
        <v>2270</v>
      </c>
      <c r="D36" s="11"/>
      <c r="E36" s="11"/>
      <c r="F36" s="11"/>
      <c r="G36" s="11"/>
      <c r="H36" s="11"/>
      <c r="I36" s="32" t="n">
        <f aca="false">SUM(I26:I34)</f>
        <v>1.42030372606636</v>
      </c>
    </row>
    <row r="37" customFormat="false" ht="14.25" hidden="false" customHeight="true" outlineLevel="0" collapsed="false">
      <c r="C37" s="11" t="s">
        <v>2271</v>
      </c>
      <c r="D37" s="11"/>
      <c r="E37" s="11"/>
      <c r="F37" s="11"/>
      <c r="G37" s="11"/>
      <c r="H37" s="11"/>
      <c r="I37" s="34" t="n">
        <f aca="false">D19-I36</f>
        <v>-0.325763687757522</v>
      </c>
    </row>
    <row r="38" customFormat="false" ht="14.25" hidden="false" customHeight="true" outlineLevel="0" collapsed="false">
      <c r="C38" s="10" t="s">
        <v>2272</v>
      </c>
      <c r="D38" s="11"/>
      <c r="E38" s="11"/>
      <c r="F38" s="11"/>
      <c r="G38" s="11"/>
      <c r="H38" s="11"/>
      <c r="I38" s="34" t="n">
        <f aca="false">I36+I37</f>
        <v>1.09454003830884</v>
      </c>
    </row>
    <row r="39" customFormat="false" ht="14.25" hidden="false" customHeight="true" outlineLevel="0" collapsed="false">
      <c r="C39" s="11"/>
      <c r="D39" s="11"/>
      <c r="E39" s="11"/>
      <c r="F39" s="11"/>
      <c r="G39" s="11"/>
      <c r="H39" s="11"/>
      <c r="I39" s="11"/>
    </row>
    <row r="40" customFormat="false" ht="14.25" hidden="false" customHeight="true" outlineLevel="0" collapsed="false">
      <c r="C40" s="10" t="s">
        <v>2273</v>
      </c>
      <c r="D40" s="11"/>
      <c r="E40" s="11"/>
      <c r="F40" s="11"/>
      <c r="G40" s="11"/>
      <c r="H40" s="11"/>
      <c r="I40" s="11"/>
    </row>
    <row r="41" customFormat="false" ht="14.25" hidden="false" customHeight="true" outlineLevel="0" collapsed="false">
      <c r="C41" s="11" t="s">
        <v>2250</v>
      </c>
      <c r="D41" s="64" t="n">
        <f aca="false">D19</f>
        <v>1.09454003830884</v>
      </c>
      <c r="E41" s="11"/>
      <c r="F41" s="11"/>
      <c r="G41" s="11"/>
      <c r="H41" s="11"/>
      <c r="I41" s="11"/>
    </row>
    <row r="42" customFormat="false" ht="14.25" hidden="false" customHeight="true" outlineLevel="0" collapsed="false">
      <c r="C42" s="11" t="s">
        <v>2274</v>
      </c>
      <c r="D42" s="64" t="n">
        <f aca="false">I36</f>
        <v>1.42030372606636</v>
      </c>
      <c r="E42" s="11"/>
      <c r="F42" s="11"/>
      <c r="G42" s="11"/>
      <c r="H42" s="11"/>
      <c r="I42" s="11"/>
    </row>
    <row r="43" customFormat="false" ht="14.25" hidden="false" customHeight="true" outlineLevel="0" collapsed="false">
      <c r="C43" s="11" t="s">
        <v>2275</v>
      </c>
      <c r="D43" s="130" t="n">
        <f aca="false">I37</f>
        <v>-0.325763687757522</v>
      </c>
      <c r="E43" s="11"/>
      <c r="F43" s="11"/>
      <c r="G43" s="11"/>
      <c r="H43" s="11"/>
      <c r="I43" s="11"/>
    </row>
    <row r="44" customFormat="false" ht="14.25" hidden="false" customHeight="true" outlineLevel="0" collapsed="false">
      <c r="C44" s="11" t="s">
        <v>2276</v>
      </c>
      <c r="D44" s="76" t="str">
        <f aca="false">IF(ABS(D43)&lt;=Drivers!C381,"PASS","FAIL")</f>
        <v>FAIL</v>
      </c>
      <c r="E44" s="11"/>
      <c r="F44" s="11"/>
      <c r="G44" s="11"/>
      <c r="H44" s="11"/>
      <c r="I44" s="11"/>
    </row>
    <row r="50" customFormat="false" ht="15" hidden="false" customHeight="true" outlineLevel="0" collapsed="false">
      <c r="A50" s="22" t="s">
        <v>11</v>
      </c>
      <c r="C50" s="119" t="s">
        <v>2277</v>
      </c>
    </row>
    <row r="51" customFormat="false" ht="45.75" hidden="false" customHeight="true" outlineLevel="0" collapsed="false">
      <c r="C51" s="120" t="s">
        <v>2278</v>
      </c>
    </row>
    <row r="53" customFormat="false" ht="15" hidden="false" customHeight="true" outlineLevel="0" collapsed="false">
      <c r="C53" s="131" t="s">
        <v>2279</v>
      </c>
      <c r="D53" s="131" t="s">
        <v>2280</v>
      </c>
      <c r="E53" s="131" t="s">
        <v>2281</v>
      </c>
      <c r="F53" s="131" t="s">
        <v>2282</v>
      </c>
      <c r="G53" s="131" t="s">
        <v>2283</v>
      </c>
      <c r="H53" s="131" t="s">
        <v>2284</v>
      </c>
      <c r="I53" s="131" t="s">
        <v>2285</v>
      </c>
      <c r="J53" s="132" t="s">
        <v>2286</v>
      </c>
      <c r="K53" s="132" t="s">
        <v>170</v>
      </c>
    </row>
    <row r="55" customFormat="false" ht="39.75" hidden="false" customHeight="true" outlineLevel="0" collapsed="false">
      <c r="C55" s="125" t="s">
        <v>2287</v>
      </c>
      <c r="D55" s="57" t="n">
        <v>10.1</v>
      </c>
      <c r="E55" s="14" t="n">
        <f aca="false">'3 Statement Forecast'!E33</f>
        <v>10.2892230192277</v>
      </c>
      <c r="F55" s="64" t="s">
        <v>2288</v>
      </c>
      <c r="G55" s="34" t="n">
        <f aca="false">E55</f>
        <v>10.2892230192277</v>
      </c>
      <c r="H55" s="133" t="n">
        <f aca="false">G55-D55</f>
        <v>0.189223019227674</v>
      </c>
      <c r="I55" s="134" t="n">
        <f aca="false">IFERROR(H55/D55,0)</f>
        <v>0.0187349523987796</v>
      </c>
      <c r="J55" s="1" t="s">
        <v>2289</v>
      </c>
      <c r="K55" s="1" t="s">
        <v>2290</v>
      </c>
    </row>
    <row r="56" customFormat="false" ht="39.75" hidden="false" customHeight="true" outlineLevel="0" collapsed="false">
      <c r="C56" s="125" t="s">
        <v>2291</v>
      </c>
      <c r="D56" s="31" t="n">
        <v>1000</v>
      </c>
      <c r="E56" s="42" t="n">
        <f aca="false">'Segment P&amp;L'!E19</f>
        <v>1618.06565384829</v>
      </c>
      <c r="F56" s="32" t="s">
        <v>2292</v>
      </c>
      <c r="G56" s="34" t="n">
        <f aca="false">'Segment P&amp;L'!E19-'Segment P&amp;L'!E18</f>
        <v>1075.06565384829</v>
      </c>
      <c r="H56" s="133" t="n">
        <f aca="false">G56-D56</f>
        <v>75.0656538482867</v>
      </c>
      <c r="I56" s="134" t="n">
        <f aca="false">IFERROR(H56/D56,0)</f>
        <v>0.0750656538482867</v>
      </c>
      <c r="J56" s="1" t="s">
        <v>2293</v>
      </c>
      <c r="K56" s="1" t="s">
        <v>2294</v>
      </c>
    </row>
    <row r="57" customFormat="false" ht="39.75" hidden="false" customHeight="true" outlineLevel="0" collapsed="false">
      <c r="C57" s="125" t="s">
        <v>2295</v>
      </c>
      <c r="D57" s="31" t="n">
        <v>200</v>
      </c>
      <c r="E57" s="42" t="n">
        <f aca="false">'3 Statement Forecast'!E23</f>
        <v>210.5</v>
      </c>
      <c r="F57" s="32" t="s">
        <v>2288</v>
      </c>
      <c r="G57" s="34" t="n">
        <f aca="false">E57</f>
        <v>210.5</v>
      </c>
      <c r="H57" s="133" t="n">
        <f aca="false">G57-D57</f>
        <v>10.5</v>
      </c>
      <c r="I57" s="134" t="n">
        <f aca="false">IFERROR(H57/D57,0)</f>
        <v>0.0525</v>
      </c>
      <c r="J57" s="1" t="s">
        <v>2296</v>
      </c>
      <c r="K57" s="1" t="s">
        <v>2297</v>
      </c>
    </row>
    <row r="58" customFormat="false" ht="39.75" hidden="false" customHeight="true" outlineLevel="0" collapsed="false">
      <c r="C58" s="125" t="s">
        <v>2298</v>
      </c>
      <c r="D58" s="31" t="n">
        <v>440</v>
      </c>
      <c r="E58" s="42" t="n">
        <f aca="false">-'3 Statement Forecast'!E24</f>
        <v>588.82599</v>
      </c>
      <c r="F58" s="32" t="s">
        <v>2292</v>
      </c>
      <c r="G58" s="34" t="n">
        <f aca="false">-'3 Statement Forecast'!E24+'GABX Mini P&amp;L'!G23</f>
        <v>435.12599</v>
      </c>
      <c r="H58" s="133" t="n">
        <f aca="false">G58-D58</f>
        <v>-4.87401</v>
      </c>
      <c r="I58" s="134" t="n">
        <f aca="false">IFERROR(H58/D58,0)</f>
        <v>-0.0110772954545455</v>
      </c>
      <c r="J58" s="1" t="s">
        <v>2299</v>
      </c>
      <c r="K58" s="1" t="s">
        <v>2300</v>
      </c>
    </row>
    <row r="59" customFormat="false" ht="39.75" hidden="false" customHeight="true" outlineLevel="0" collapsed="false">
      <c r="C59" s="125" t="s">
        <v>2301</v>
      </c>
      <c r="D59" s="31" t="n">
        <v>520</v>
      </c>
      <c r="E59" s="42" t="n">
        <f aca="false">-'3 Statement Forecast'!E19</f>
        <v>671.4</v>
      </c>
      <c r="F59" s="32" t="s">
        <v>2292</v>
      </c>
      <c r="G59" s="34" t="s">
        <v>2302</v>
      </c>
      <c r="H59" s="125"/>
      <c r="I59" s="134"/>
      <c r="J59" s="1" t="s">
        <v>2303</v>
      </c>
      <c r="K59" s="1" t="s">
        <v>2304</v>
      </c>
    </row>
    <row r="60" customFormat="false" ht="39.75" hidden="false" customHeight="true" outlineLevel="0" collapsed="false">
      <c r="C60" s="125" t="s">
        <v>2305</v>
      </c>
      <c r="D60" s="31" t="n">
        <v>500</v>
      </c>
      <c r="E60" s="42" t="n">
        <f aca="false">-'3 Statement Forecast'!E18</f>
        <v>599.540716833325</v>
      </c>
      <c r="F60" s="32" t="s">
        <v>2306</v>
      </c>
      <c r="G60" s="34" t="n">
        <f aca="false">-'3 Statement Forecast'!E18-2*(-Drivers!C330-Drivers!C774)</f>
        <v>514.540716833325</v>
      </c>
      <c r="H60" s="133" t="n">
        <f aca="false">G60-D60</f>
        <v>14.5407168333252</v>
      </c>
      <c r="I60" s="134" t="n">
        <f aca="false">IFERROR(H60/D60,0)</f>
        <v>0.0290814336666504</v>
      </c>
      <c r="J60" s="1" t="s">
        <v>2307</v>
      </c>
      <c r="K60" s="1" t="s">
        <v>2308</v>
      </c>
    </row>
    <row r="61" customFormat="false" ht="39.75" hidden="false" customHeight="true" outlineLevel="0" collapsed="false">
      <c r="C61" s="125" t="s">
        <v>2309</v>
      </c>
      <c r="D61" s="31" t="n">
        <v>275</v>
      </c>
      <c r="E61" s="42" t="n">
        <f aca="false">-'3 Statement Forecast'!E22</f>
        <v>288.640013115643</v>
      </c>
      <c r="F61" s="32" t="s">
        <v>2288</v>
      </c>
      <c r="G61" s="34" t="n">
        <f aca="false">E61</f>
        <v>288.640013115643</v>
      </c>
      <c r="H61" s="133" t="n">
        <f aca="false">G61-D61</f>
        <v>13.6400131156427</v>
      </c>
      <c r="I61" s="134" t="n">
        <f aca="false">IFERROR(H61/D61,0)</f>
        <v>0.0496000476932462</v>
      </c>
      <c r="J61" s="1" t="s">
        <v>2310</v>
      </c>
      <c r="K61" s="1" t="s">
        <v>2311</v>
      </c>
    </row>
    <row r="62" customFormat="false" ht="39.75" hidden="false" customHeight="true" outlineLevel="0" collapsed="false">
      <c r="C62" s="125" t="s">
        <v>2312</v>
      </c>
      <c r="D62" s="33" t="n">
        <v>0.2</v>
      </c>
      <c r="E62" s="41" t="n">
        <f aca="false">Drivers!C32</f>
        <v>0.185</v>
      </c>
      <c r="F62" s="34" t="s">
        <v>2292</v>
      </c>
      <c r="G62" s="34" t="s">
        <v>2313</v>
      </c>
      <c r="H62" s="125"/>
      <c r="I62" s="134"/>
      <c r="J62" s="1" t="s">
        <v>2314</v>
      </c>
      <c r="K62" s="1" t="s">
        <v>2315</v>
      </c>
    </row>
    <row r="63" customFormat="false" ht="39.75" hidden="false" customHeight="true" outlineLevel="0" collapsed="false">
      <c r="C63" s="125" t="s">
        <v>2316</v>
      </c>
      <c r="D63" s="33" t="n">
        <v>0.985</v>
      </c>
      <c r="E63" s="41" t="n">
        <f aca="false">Drivers!C7</f>
        <v>0.99</v>
      </c>
      <c r="F63" s="34" t="s">
        <v>2288</v>
      </c>
      <c r="G63" s="34" t="n">
        <f aca="false">E63</f>
        <v>0.99</v>
      </c>
      <c r="H63" s="133" t="n">
        <f aca="false">G63-D63</f>
        <v>0.005</v>
      </c>
      <c r="I63" s="134" t="n">
        <f aca="false">IFERROR(H63/D63,0)</f>
        <v>0.0050761421319797</v>
      </c>
      <c r="J63" s="1" t="s">
        <v>2317</v>
      </c>
      <c r="K63" s="1" t="s">
        <v>2318</v>
      </c>
    </row>
    <row r="65" customFormat="false" ht="23.25" hidden="false" customHeight="true" outlineLevel="0" collapsed="false">
      <c r="C65" s="135" t="s">
        <v>2319</v>
      </c>
      <c r="G65" s="136"/>
      <c r="I65" s="1" t="n">
        <f aca="false">SUMPRODUCT((ABS(IFERROR(I55:I63,0))&gt;Drivers!$C$773)*ISNUMBER(I55:I63))</f>
        <v>2</v>
      </c>
    </row>
    <row r="66" customFormat="false" ht="15" hidden="false" customHeight="true" outlineLevel="0" collapsed="false">
      <c r="C66" s="1" t="s">
        <v>2320</v>
      </c>
      <c r="I66" s="1" t="n">
        <f aca="false">SUMPRODUCT(--(NOT(ISNUMBER(G55:G63))))</f>
        <v>2</v>
      </c>
    </row>
    <row r="67" customFormat="false" ht="57" hidden="false" customHeight="true" outlineLevel="0" collapsed="false">
      <c r="C67" s="137" t="s">
        <v>2321</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C2:H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3" topLeftCell="D14" activePane="bottomRight" state="frozen"/>
      <selection pane="topLeft" activeCell="A1" activeCellId="0" sqref="A1"/>
      <selection pane="topRight" activeCell="D1" activeCellId="0" sqref="D1"/>
      <selection pane="bottomLeft" activeCell="A14" activeCellId="0" sqref="A14"/>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1" width="1.7"/>
    <col collapsed="false" customWidth="true" hidden="false" outlineLevel="0" max="3" min="3" style="1" width="46"/>
    <col collapsed="false" customWidth="true" hidden="false" outlineLevel="0" max="5" min="4" style="1" width="12.3"/>
    <col collapsed="false" customWidth="true" hidden="false" outlineLevel="0" max="6" min="6" style="1" width="26"/>
    <col collapsed="false" customWidth="true" hidden="false" outlineLevel="0" max="8" min="7" style="1" width="13"/>
  </cols>
  <sheetData>
    <row r="2" customFormat="false" ht="21.75" hidden="false" customHeight="true" outlineLevel="0" collapsed="false">
      <c r="C2" s="46" t="str">
        <f aca="false">"Financial Statement Model - "&amp;Cover!$D$5</f>
        <v>Financial Statement Model - GATX Corporation</v>
      </c>
      <c r="D2" s="47"/>
      <c r="E2" s="47"/>
      <c r="F2" s="47"/>
      <c r="G2" s="47"/>
      <c r="H2" s="47"/>
    </row>
    <row r="3" customFormat="false" ht="15" hidden="false" customHeight="true" outlineLevel="0" collapsed="false">
      <c r="C3" s="48" t="s">
        <v>1</v>
      </c>
    </row>
    <row r="5" customFormat="false" ht="15" hidden="false" customHeight="true" outlineLevel="0" collapsed="false">
      <c r="C5" s="4" t="s">
        <v>2</v>
      </c>
      <c r="D5" s="49" t="str">
        <f aca="false">Cover!$D$5</f>
        <v>GATX Corporation</v>
      </c>
    </row>
    <row r="6" customFormat="false" ht="15" hidden="false" customHeight="true" outlineLevel="0" collapsed="false">
      <c r="C6" s="4" t="s">
        <v>4</v>
      </c>
      <c r="D6" s="49" t="str">
        <f aca="false">Cover!$D$6</f>
        <v>GATX</v>
      </c>
    </row>
    <row r="7" customFormat="false" ht="15" hidden="false" customHeight="true" outlineLevel="0" collapsed="false">
      <c r="C7" s="4" t="s">
        <v>1551</v>
      </c>
      <c r="D7" s="49" t="n">
        <f aca="false">Cover!$D$7</f>
        <v>1</v>
      </c>
    </row>
    <row r="8" customFormat="false" ht="15" hidden="false" customHeight="true" outlineLevel="0" collapsed="false">
      <c r="C8" s="4" t="s">
        <v>7</v>
      </c>
      <c r="D8" s="6" t="n">
        <f aca="false">Cover!$D$8</f>
        <v>162.78</v>
      </c>
    </row>
    <row r="9" customFormat="false" ht="15" hidden="false" customHeight="true" outlineLevel="0" collapsed="false">
      <c r="C9" s="4" t="s">
        <v>8</v>
      </c>
      <c r="D9" s="50" t="n">
        <f aca="false">Cover!$D$9</f>
        <v>46303</v>
      </c>
    </row>
    <row r="10" customFormat="false" ht="15" hidden="false" customHeight="true" outlineLevel="0" collapsed="false">
      <c r="C10" s="4" t="s">
        <v>9</v>
      </c>
      <c r="D10" s="50" t="n">
        <f aca="false">Cover!$D$10</f>
        <v>46022</v>
      </c>
    </row>
    <row r="11" customFormat="false" ht="15" hidden="false" customHeight="true" outlineLevel="0" collapsed="false">
      <c r="C11" s="4" t="s">
        <v>1552</v>
      </c>
      <c r="D11" s="8" t="n">
        <f aca="false">Cover!$D$11</f>
        <v>35.8</v>
      </c>
    </row>
    <row r="13" customFormat="false" ht="15" hidden="false" customHeight="true" outlineLevel="0" collapsed="false">
      <c r="C13" s="10" t="s">
        <v>2322</v>
      </c>
      <c r="D13" s="11"/>
      <c r="E13" s="11"/>
      <c r="F13" s="11"/>
    </row>
    <row r="14" customFormat="false" ht="14.25" hidden="false" customHeight="true" outlineLevel="0" collapsed="false">
      <c r="C14" s="3" t="s">
        <v>2323</v>
      </c>
      <c r="D14" s="11"/>
      <c r="E14" s="11"/>
      <c r="F14" s="11"/>
    </row>
    <row r="15" customFormat="false" ht="14.25" hidden="false" customHeight="true" outlineLevel="0" collapsed="false">
      <c r="C15" s="11" t="s">
        <v>2324</v>
      </c>
      <c r="D15" s="11"/>
      <c r="E15" s="11"/>
      <c r="F15" s="11"/>
    </row>
    <row r="16" customFormat="false" ht="14.25" hidden="false" customHeight="true" outlineLevel="0" collapsed="false">
      <c r="C16" s="11"/>
      <c r="D16" s="11"/>
      <c r="E16" s="11"/>
      <c r="F16" s="11"/>
    </row>
    <row r="17" customFormat="false" ht="14.25" hidden="false" customHeight="true" outlineLevel="0" collapsed="false">
      <c r="C17" s="10" t="s">
        <v>2325</v>
      </c>
      <c r="D17" s="11"/>
      <c r="E17" s="11"/>
      <c r="F17" s="11"/>
    </row>
    <row r="18" customFormat="false" ht="14.25" hidden="false" customHeight="true" outlineLevel="0" collapsed="false">
      <c r="C18" s="11" t="s">
        <v>2326</v>
      </c>
      <c r="D18" s="14" t="n">
        <f aca="false">Valuation!D229</f>
        <v>162.565666188363</v>
      </c>
      <c r="E18" s="11" t="s">
        <v>2327</v>
      </c>
      <c r="F18" s="11"/>
    </row>
    <row r="19" customFormat="false" ht="14.25" hidden="false" customHeight="true" outlineLevel="0" collapsed="false">
      <c r="C19" s="11" t="s">
        <v>2328</v>
      </c>
      <c r="D19" s="14" t="n">
        <f aca="false">Drivers!C179</f>
        <v>162.78</v>
      </c>
      <c r="E19" s="11"/>
      <c r="F19" s="11"/>
    </row>
    <row r="20" customFormat="false" ht="14.25" hidden="false" customHeight="true" outlineLevel="0" collapsed="false">
      <c r="C20" s="11" t="s">
        <v>2329</v>
      </c>
      <c r="D20" s="41" t="n">
        <f aca="false">Drivers!C181</f>
        <v>0.01517</v>
      </c>
      <c r="E20" s="11"/>
      <c r="F20" s="11"/>
    </row>
    <row r="21" customFormat="false" ht="14.25" hidden="false" customHeight="true" outlineLevel="0" collapsed="false">
      <c r="C21" s="11" t="s">
        <v>2330</v>
      </c>
      <c r="D21" s="64" t="n">
        <f aca="false">0.66*4</f>
        <v>2.64</v>
      </c>
      <c r="E21" s="11" t="s">
        <v>2331</v>
      </c>
      <c r="F21" s="11"/>
    </row>
    <row r="22" customFormat="false" ht="14.25" hidden="false" customHeight="true" outlineLevel="0" collapsed="false">
      <c r="C22" s="11"/>
      <c r="D22" s="11"/>
      <c r="E22" s="11"/>
      <c r="F22" s="11"/>
    </row>
    <row r="23" customFormat="false" ht="14.25" hidden="false" customHeight="true" outlineLevel="0" collapsed="false">
      <c r="C23" s="10" t="s">
        <v>146</v>
      </c>
      <c r="D23" s="11"/>
      <c r="E23" s="11"/>
      <c r="F23" s="11"/>
    </row>
    <row r="24" customFormat="false" ht="14.25" hidden="false" customHeight="true" outlineLevel="0" collapsed="false">
      <c r="C24" s="11" t="s">
        <v>2332</v>
      </c>
      <c r="D24" s="34" t="n">
        <f aca="false">(D18+D21-D19)/D19</f>
        <v>0.0149015001128095</v>
      </c>
      <c r="E24" s="11"/>
      <c r="F24" s="11"/>
    </row>
    <row r="25" customFormat="false" ht="14.25" hidden="false" customHeight="true" outlineLevel="0" collapsed="false">
      <c r="C25" s="11"/>
      <c r="D25" s="11"/>
      <c r="E25" s="11"/>
      <c r="F25" s="11"/>
    </row>
    <row r="26" customFormat="false" ht="14.25" hidden="false" customHeight="true" outlineLevel="0" collapsed="false">
      <c r="C26" s="10" t="s">
        <v>44</v>
      </c>
      <c r="D26" s="11"/>
      <c r="E26" s="11"/>
      <c r="F26" s="11"/>
    </row>
    <row r="27" customFormat="false" ht="14.25" hidden="false" customHeight="true" outlineLevel="0" collapsed="false">
      <c r="C27" s="11" t="s">
        <v>2333</v>
      </c>
      <c r="D27" s="41" t="n">
        <f aca="false">Drivers!C378</f>
        <v>0.15</v>
      </c>
      <c r="E27" s="11"/>
      <c r="F27" s="11"/>
    </row>
    <row r="28" customFormat="false" ht="14.25" hidden="false" customHeight="true" outlineLevel="0" collapsed="false">
      <c r="C28" s="11" t="s">
        <v>2334</v>
      </c>
      <c r="D28" s="41" t="n">
        <f aca="false">Drivers!C379</f>
        <v>-0.05</v>
      </c>
      <c r="E28" s="11"/>
      <c r="F28" s="11"/>
    </row>
    <row r="29" customFormat="false" ht="14.25" hidden="false" customHeight="true" outlineLevel="0" collapsed="false">
      <c r="C29" s="11" t="s">
        <v>44</v>
      </c>
      <c r="D29" s="89" t="str">
        <f aca="false">IF(D24&gt;D27,"BUY",IF(D24&lt;D28,"SELL","HOLD"))</f>
        <v>HOLD</v>
      </c>
      <c r="E29" s="11"/>
      <c r="F29" s="11"/>
    </row>
    <row r="30" customFormat="false" ht="14.25" hidden="false" customHeight="true" outlineLevel="0" collapsed="false">
      <c r="C30" s="11"/>
      <c r="D30" s="11"/>
      <c r="E30" s="11"/>
      <c r="F30" s="11"/>
    </row>
    <row r="31" customFormat="false" ht="14.25" hidden="false" customHeight="true" outlineLevel="0" collapsed="false">
      <c r="C31" s="10" t="s">
        <v>2335</v>
      </c>
      <c r="D31" s="11"/>
      <c r="E31" s="11"/>
      <c r="F31" s="11"/>
    </row>
    <row r="32" customFormat="false" ht="14.25" hidden="false" customHeight="true" outlineLevel="0" collapsed="false">
      <c r="C32" s="11" t="s">
        <v>2336</v>
      </c>
      <c r="D32" s="11"/>
      <c r="E32" s="11"/>
      <c r="F32" s="11"/>
    </row>
    <row r="33" customFormat="false" ht="14.25" hidden="false" customHeight="true" outlineLevel="0" collapsed="false">
      <c r="C33" s="11" t="s">
        <v>2337</v>
      </c>
      <c r="D33" s="64" t="n">
        <f aca="false">D19*(1+D27)-D21</f>
        <v>184.557</v>
      </c>
      <c r="E33" s="11"/>
      <c r="F33" s="11"/>
    </row>
    <row r="34" customFormat="false" ht="14.25" hidden="false" customHeight="true" outlineLevel="0" collapsed="false">
      <c r="C34" s="11" t="s">
        <v>2338</v>
      </c>
      <c r="D34" s="14" t="n">
        <f aca="false">Valuation!G66</f>
        <v>166.276819774034</v>
      </c>
      <c r="E34" s="11"/>
      <c r="F34" s="11"/>
    </row>
    <row r="35" customFormat="false" ht="14.25" hidden="false" customHeight="true" outlineLevel="0" collapsed="false">
      <c r="C35" s="11" t="s">
        <v>2339</v>
      </c>
      <c r="D35" s="14" t="n">
        <f aca="false">Valuation!E66</f>
        <v>10.1760599616912</v>
      </c>
      <c r="E35" s="11"/>
      <c r="F35" s="11"/>
    </row>
    <row r="36" customFormat="false" ht="14.25" hidden="false" customHeight="true" outlineLevel="0" collapsed="false">
      <c r="C36" s="11" t="s">
        <v>2340</v>
      </c>
      <c r="D36" s="45" t="n">
        <f aca="false">Valuation!D20</f>
        <v>16.34</v>
      </c>
      <c r="E36" s="11"/>
      <c r="F36" s="11"/>
    </row>
    <row r="37" customFormat="false" ht="14.25" hidden="false" customHeight="true" outlineLevel="0" collapsed="false">
      <c r="C37" s="11" t="s">
        <v>2341</v>
      </c>
      <c r="D37" s="64" t="n">
        <f aca="false">D33/D36</f>
        <v>11.2947980416157</v>
      </c>
      <c r="E37" s="11"/>
      <c r="F37" s="11"/>
    </row>
    <row r="38" customFormat="false" ht="14.25" hidden="false" customHeight="true" outlineLevel="0" collapsed="false">
      <c r="C38" s="11" t="s">
        <v>2342</v>
      </c>
      <c r="D38" s="14" t="n">
        <f aca="false">('Thesis Test'!E36-'Thesis Test'!E35)/Drivers!C322</f>
        <v>0.029972730185229</v>
      </c>
      <c r="E38" s="11"/>
      <c r="F38" s="11"/>
    </row>
    <row r="39" customFormat="false" ht="14.25" hidden="false" customHeight="true" outlineLevel="0" collapsed="false">
      <c r="C39" s="11" t="s">
        <v>2343</v>
      </c>
      <c r="D39" s="64" t="n">
        <f aca="false">D37-D35</f>
        <v>1.1187380799245</v>
      </c>
      <c r="E39" s="11"/>
      <c r="F39" s="11"/>
    </row>
    <row r="40" customFormat="false" ht="14.25" hidden="false" customHeight="true" outlineLevel="0" collapsed="false">
      <c r="C40" s="11" t="s">
        <v>2344</v>
      </c>
      <c r="D40" s="11"/>
      <c r="E40" s="11"/>
      <c r="F40" s="11"/>
    </row>
    <row r="41" customFormat="false" ht="14.25" hidden="false" customHeight="true" outlineLevel="0" collapsed="false">
      <c r="C41" s="11" t="s">
        <v>2345</v>
      </c>
      <c r="D41" s="14" t="n">
        <f aca="false">Drivers!C33+D39/D38/100</f>
        <v>0.523251977050738</v>
      </c>
      <c r="E41" s="11"/>
      <c r="F41" s="11"/>
    </row>
    <row r="42" customFormat="false" ht="14.25" hidden="false" customHeight="true" outlineLevel="0" collapsed="false">
      <c r="C42" s="11"/>
      <c r="D42" s="11"/>
      <c r="E42" s="11"/>
      <c r="F42" s="11"/>
    </row>
    <row r="43" customFormat="false" ht="14.25" hidden="false" customHeight="true" outlineLevel="0" collapsed="false">
      <c r="C43" s="11" t="s">
        <v>2346</v>
      </c>
      <c r="D43" s="11"/>
      <c r="E43" s="11"/>
      <c r="F43" s="11"/>
    </row>
    <row r="44" customFormat="false" ht="14.25" hidden="false" customHeight="true" outlineLevel="0" collapsed="false">
      <c r="C44" s="11" t="s">
        <v>2347</v>
      </c>
      <c r="D44" s="64" t="n">
        <f aca="false">D19*(1+D28)-D21</f>
        <v>152.001</v>
      </c>
      <c r="E44" s="11"/>
      <c r="F44" s="11"/>
    </row>
    <row r="45" customFormat="false" ht="14.25" hidden="false" customHeight="true" outlineLevel="0" collapsed="false">
      <c r="C45" s="11" t="s">
        <v>2348</v>
      </c>
      <c r="D45" s="64" t="n">
        <f aca="false">D44/D36</f>
        <v>9.30238678090575</v>
      </c>
      <c r="E45" s="11"/>
      <c r="F45" s="11"/>
    </row>
    <row r="46" customFormat="false" ht="14.25" hidden="false" customHeight="true" outlineLevel="0" collapsed="false">
      <c r="C46" s="11" t="s">
        <v>2349</v>
      </c>
      <c r="D46" s="64" t="n">
        <f aca="false">D45-D35</f>
        <v>-0.873673180785408</v>
      </c>
      <c r="E46" s="11"/>
      <c r="F46" s="11"/>
    </row>
    <row r="47" customFormat="false" ht="14.25" hidden="false" customHeight="true" outlineLevel="0" collapsed="false">
      <c r="C47" s="11" t="s">
        <v>2350</v>
      </c>
      <c r="D47" s="14" t="n">
        <f aca="false">(1-Drivers!C76)/Drivers!C78</f>
        <v>0.0215746545336209</v>
      </c>
      <c r="E47" s="11"/>
      <c r="F47" s="11"/>
    </row>
    <row r="48" customFormat="false" ht="14.25" hidden="false" customHeight="true" outlineLevel="0" collapsed="false">
      <c r="C48" s="11" t="s">
        <v>2351</v>
      </c>
      <c r="D48" s="64" t="n">
        <f aca="false">D46/D47</f>
        <v>-40.495349736605</v>
      </c>
      <c r="E48" s="11"/>
      <c r="F48" s="11"/>
    </row>
    <row r="49" customFormat="false" ht="14.25" hidden="false" customHeight="true" outlineLevel="0" collapsed="false">
      <c r="C49" s="11" t="s">
        <v>2352</v>
      </c>
      <c r="D49" s="42" t="n">
        <f aca="false">'Disposition Engine'!E44+D48</f>
        <v>100.004650263395</v>
      </c>
      <c r="E49" s="11"/>
      <c r="F49" s="11"/>
    </row>
    <row r="50" customFormat="false" ht="14.25" hidden="false" customHeight="true" outlineLevel="0" collapsed="false">
      <c r="C50" s="11"/>
      <c r="D50" s="11"/>
      <c r="E50" s="11"/>
      <c r="F50" s="11"/>
    </row>
    <row r="51" customFormat="false" ht="14.25" hidden="false" customHeight="true" outlineLevel="0" collapsed="false">
      <c r="C51" s="10" t="s">
        <v>2353</v>
      </c>
      <c r="D51" s="11"/>
      <c r="E51" s="11"/>
      <c r="F51" s="11"/>
    </row>
    <row r="52" customFormat="false" ht="14.25" hidden="false" customHeight="true" outlineLevel="0" collapsed="false">
      <c r="C52" s="10" t="s">
        <v>2354</v>
      </c>
      <c r="D52" s="10" t="s">
        <v>2355</v>
      </c>
      <c r="E52" s="10" t="s">
        <v>1968</v>
      </c>
      <c r="F52" s="10" t="s">
        <v>2356</v>
      </c>
    </row>
    <row r="53" customFormat="false" ht="14.25" hidden="false" customHeight="true" outlineLevel="0" collapsed="false">
      <c r="C53" s="11" t="s">
        <v>2357</v>
      </c>
      <c r="D53" s="41" t="n">
        <f aca="false">Drivers!C105</f>
        <v>0.06</v>
      </c>
      <c r="E53" s="41" t="n">
        <f aca="false">Drivers!C102</f>
        <v>0.053</v>
      </c>
      <c r="F53" s="34" t="str">
        <f aca="false">IF(E53&gt;=D53,"KILL","OK")</f>
        <v>OK</v>
      </c>
    </row>
    <row r="54" customFormat="false" ht="14.25" hidden="false" customHeight="true" outlineLevel="0" collapsed="false">
      <c r="C54" s="11" t="s">
        <v>2358</v>
      </c>
      <c r="D54" s="14" t="n">
        <f aca="false">Drivers!C53</f>
        <v>9.9</v>
      </c>
      <c r="E54" s="14" t="n">
        <f aca="false">'Thesis Test'!D46</f>
        <v>9.98756867742728</v>
      </c>
      <c r="F54" s="64" t="str">
        <f aca="false">IF(E54&lt;D54,"KILL","OK")</f>
        <v>OK</v>
      </c>
    </row>
    <row r="55" customFormat="false" ht="14.25" hidden="false" customHeight="true" outlineLevel="0" collapsed="false">
      <c r="C55" s="11" t="s">
        <v>2359</v>
      </c>
      <c r="D55" s="41" t="n">
        <f aca="false">'Thesis Test'!D45</f>
        <v>-0.233307789635284</v>
      </c>
      <c r="E55" s="41" t="n">
        <f aca="false">Drivers!C33</f>
        <v>0.15</v>
      </c>
      <c r="F55" s="34" t="str">
        <f aca="false">IF(E55&lt;D55,"KILL — model LPI below BE","OK")</f>
        <v>OK</v>
      </c>
    </row>
    <row r="56" customFormat="false" ht="14.25" hidden="false" customHeight="true" outlineLevel="0" collapsed="false">
      <c r="C56" s="11"/>
      <c r="D56" s="11"/>
      <c r="E56" s="11"/>
      <c r="F56" s="11"/>
    </row>
    <row r="57" customFormat="false" ht="14.25" hidden="false" customHeight="true" outlineLevel="0" collapsed="false">
      <c r="C57" s="11" t="s">
        <v>2360</v>
      </c>
      <c r="D57" s="11"/>
      <c r="E57" s="11"/>
      <c r="F57" s="11"/>
    </row>
    <row r="58" customFormat="false" ht="14.25" hidden="false" customHeight="true" outlineLevel="0" collapsed="false">
      <c r="C58" s="11" t="s">
        <v>2361</v>
      </c>
      <c r="D58" s="42" t="n">
        <f aca="false">Valuation!I72</f>
        <v>167.661418219471</v>
      </c>
      <c r="E58" s="11"/>
      <c r="F58" s="11"/>
    </row>
    <row r="59" customFormat="false" ht="14.25" hidden="false" customHeight="true" outlineLevel="0" collapsed="false">
      <c r="C59" s="11" t="s">
        <v>2362</v>
      </c>
      <c r="D59" s="42" t="n">
        <f aca="false">Valuation!I73</f>
        <v>167.661418219471</v>
      </c>
      <c r="E59" s="11"/>
      <c r="F59" s="11"/>
    </row>
    <row r="60" customFormat="false" ht="30" hidden="false" customHeight="true" outlineLevel="0" collapsed="false">
      <c r="C60" s="125" t="s">
        <v>2363</v>
      </c>
      <c r="D60" s="64" t="n">
        <f aca="false">(D18+D21)/(1+D28)</f>
        <v>173.900701250909</v>
      </c>
      <c r="E60" s="120" t="s">
        <v>2364</v>
      </c>
      <c r="F60" s="11"/>
    </row>
    <row r="61" customFormat="false" ht="14.25" hidden="false" customHeight="true" outlineLevel="0" collapsed="false">
      <c r="C61" s="11" t="s">
        <v>2365</v>
      </c>
      <c r="D61" s="41" t="n">
        <f aca="false">(Valuation!I72+D21-D19)/D19</f>
        <v>0.0462060340304172</v>
      </c>
      <c r="E61" s="11"/>
      <c r="F61" s="11"/>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N1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3" topLeftCell="D14" activePane="bottomRight" state="frozen"/>
      <selection pane="topLeft" activeCell="A1" activeCellId="0" sqref="A1"/>
      <selection pane="topRight" activeCell="D1" activeCellId="0" sqref="D1"/>
      <selection pane="bottomLeft" activeCell="A14" activeCellId="0" sqref="A14"/>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1" width="1.7"/>
    <col collapsed="false" customWidth="true" hidden="false" outlineLevel="0" max="3" min="3" style="1" width="46"/>
    <col collapsed="false" customWidth="true" hidden="false" outlineLevel="0" max="13" min="4" style="1" width="12.3"/>
    <col collapsed="false" customWidth="true" hidden="false" outlineLevel="0" max="14" min="14" style="1" width="26"/>
  </cols>
  <sheetData>
    <row r="2" customFormat="false" ht="21.75" hidden="false" customHeight="true" outlineLevel="0" collapsed="false">
      <c r="C2" s="46" t="str">
        <f aca="false">"Discounted Cash Flow Valuation - "&amp;Cover!$D$5</f>
        <v>Discounted Cash Flow Valuation - GATX Corporation</v>
      </c>
      <c r="D2" s="47"/>
      <c r="E2" s="47"/>
      <c r="F2" s="47"/>
      <c r="G2" s="47"/>
      <c r="H2" s="47"/>
      <c r="I2" s="47"/>
      <c r="J2" s="47"/>
      <c r="K2" s="47"/>
      <c r="L2" s="47"/>
      <c r="M2" s="47"/>
      <c r="N2" s="47"/>
    </row>
    <row r="3" customFormat="false" ht="15" hidden="false" customHeight="true" outlineLevel="0" collapsed="false">
      <c r="C3" s="48" t="s">
        <v>1</v>
      </c>
    </row>
    <row r="5" customFormat="false" ht="15" hidden="false" customHeight="true" outlineLevel="0" collapsed="false">
      <c r="C5" s="4" t="s">
        <v>2</v>
      </c>
      <c r="D5" s="49" t="str">
        <f aca="false">Cover!$D$5</f>
        <v>GATX Corporation</v>
      </c>
    </row>
    <row r="6" customFormat="false" ht="15" hidden="false" customHeight="true" outlineLevel="0" collapsed="false">
      <c r="C6" s="4" t="s">
        <v>4</v>
      </c>
      <c r="D6" s="49" t="str">
        <f aca="false">Cover!$D$6</f>
        <v>GATX</v>
      </c>
    </row>
    <row r="7" customFormat="false" ht="15" hidden="false" customHeight="true" outlineLevel="0" collapsed="false">
      <c r="C7" s="4" t="s">
        <v>1551</v>
      </c>
      <c r="D7" s="49" t="n">
        <f aca="false">Cover!$D$7</f>
        <v>1</v>
      </c>
    </row>
    <row r="8" customFormat="false" ht="15" hidden="false" customHeight="true" outlineLevel="0" collapsed="false">
      <c r="C8" s="4" t="s">
        <v>7</v>
      </c>
      <c r="D8" s="6" t="n">
        <f aca="false">Cover!$D$8</f>
        <v>162.78</v>
      </c>
    </row>
    <row r="9" customFormat="false" ht="15" hidden="false" customHeight="true" outlineLevel="0" collapsed="false">
      <c r="C9" s="4" t="s">
        <v>8</v>
      </c>
      <c r="D9" s="50" t="n">
        <f aca="false">Cover!$D$9</f>
        <v>46303</v>
      </c>
    </row>
    <row r="10" customFormat="false" ht="15" hidden="false" customHeight="true" outlineLevel="0" collapsed="false">
      <c r="C10" s="4" t="s">
        <v>9</v>
      </c>
      <c r="D10" s="50" t="n">
        <f aca="false">Cover!$D$10</f>
        <v>46022</v>
      </c>
    </row>
    <row r="11" customFormat="false" ht="15" hidden="false" customHeight="true" outlineLevel="0" collapsed="false">
      <c r="C11" s="4" t="s">
        <v>1552</v>
      </c>
      <c r="D11" s="8" t="n">
        <f aca="false">Cover!$D$11</f>
        <v>35.8</v>
      </c>
    </row>
    <row r="13" customFormat="false" ht="17.25" hidden="false" customHeight="true" outlineLevel="0" collapsed="false">
      <c r="C13" s="10" t="s">
        <v>2366</v>
      </c>
      <c r="D13" s="11"/>
      <c r="E13" s="11"/>
      <c r="F13" s="11"/>
      <c r="G13" s="11"/>
      <c r="H13" s="11"/>
      <c r="I13" s="11"/>
      <c r="J13" s="11"/>
      <c r="K13" s="11"/>
      <c r="L13" s="11"/>
      <c r="M13" s="11"/>
      <c r="N13" s="11"/>
    </row>
    <row r="14" customFormat="false" ht="14.25" hidden="false" customHeight="true" outlineLevel="0" collapsed="false">
      <c r="C14" s="11" t="s">
        <v>2367</v>
      </c>
      <c r="D14" s="11"/>
      <c r="E14" s="11"/>
      <c r="F14" s="11"/>
      <c r="G14" s="11"/>
      <c r="H14" s="11"/>
      <c r="I14" s="11"/>
      <c r="J14" s="11"/>
      <c r="K14" s="11"/>
      <c r="L14" s="11"/>
      <c r="M14" s="11"/>
      <c r="N14" s="11"/>
    </row>
    <row r="15" customFormat="false" ht="14.25" hidden="false" customHeight="true" outlineLevel="0" collapsed="false">
      <c r="C15" s="11"/>
      <c r="D15" s="11"/>
      <c r="E15" s="11"/>
      <c r="F15" s="11"/>
      <c r="G15" s="11"/>
      <c r="H15" s="11"/>
      <c r="I15" s="11"/>
      <c r="J15" s="11"/>
      <c r="K15" s="11"/>
      <c r="L15" s="11"/>
      <c r="M15" s="11"/>
      <c r="N15" s="11"/>
    </row>
    <row r="16" customFormat="false" ht="14.25" hidden="false" customHeight="true" outlineLevel="0" collapsed="false">
      <c r="C16" s="11" t="s">
        <v>2368</v>
      </c>
      <c r="D16" s="10" t="s">
        <v>1532</v>
      </c>
      <c r="E16" s="10" t="s">
        <v>1533</v>
      </c>
      <c r="F16" s="10" t="s">
        <v>1534</v>
      </c>
      <c r="G16" s="10" t="s">
        <v>1535</v>
      </c>
      <c r="H16" s="10" t="s">
        <v>1536</v>
      </c>
      <c r="I16" s="10" t="s">
        <v>1537</v>
      </c>
      <c r="J16" s="11" t="s">
        <v>1538</v>
      </c>
      <c r="K16" s="11" t="s">
        <v>1539</v>
      </c>
      <c r="L16" s="11" t="s">
        <v>1540</v>
      </c>
      <c r="M16" s="11" t="s">
        <v>1541</v>
      </c>
      <c r="N16" s="11" t="s">
        <v>2369</v>
      </c>
    </row>
    <row r="17" customFormat="false" ht="14.25" hidden="false" customHeight="true" outlineLevel="0" collapsed="false">
      <c r="C17" s="11"/>
      <c r="D17" s="11"/>
      <c r="E17" s="11"/>
      <c r="F17" s="11"/>
      <c r="G17" s="11"/>
      <c r="H17" s="11"/>
      <c r="I17" s="11"/>
      <c r="J17" s="11"/>
      <c r="K17" s="11"/>
      <c r="L17" s="11"/>
      <c r="M17" s="11"/>
      <c r="N17" s="11"/>
    </row>
    <row r="18" customFormat="false" ht="14.25" hidden="false" customHeight="true" outlineLevel="0" collapsed="false">
      <c r="A18" s="22" t="s">
        <v>11</v>
      </c>
      <c r="C18" s="138" t="s">
        <v>2370</v>
      </c>
      <c r="D18" s="54"/>
      <c r="E18" s="54"/>
      <c r="F18" s="54"/>
      <c r="G18" s="54"/>
      <c r="H18" s="54"/>
      <c r="I18" s="54"/>
      <c r="J18" s="54"/>
      <c r="K18" s="54"/>
      <c r="L18" s="54"/>
      <c r="M18" s="54"/>
      <c r="N18" s="54"/>
    </row>
    <row r="19" customFormat="false" ht="14.25" hidden="false" customHeight="true" outlineLevel="0" collapsed="false">
      <c r="C19" s="11" t="s">
        <v>2371</v>
      </c>
      <c r="D19" s="11"/>
      <c r="E19" s="11"/>
      <c r="F19" s="11"/>
      <c r="G19" s="11"/>
      <c r="H19" s="11"/>
      <c r="I19" s="11"/>
      <c r="J19" s="11"/>
      <c r="K19" s="11"/>
      <c r="L19" s="11"/>
      <c r="M19" s="11"/>
      <c r="N19" s="11"/>
    </row>
    <row r="20" customFormat="false" ht="14.25" hidden="false" customHeight="true" outlineLevel="0" collapsed="false">
      <c r="C20" s="11"/>
      <c r="D20" s="11"/>
      <c r="E20" s="11"/>
      <c r="F20" s="11"/>
      <c r="G20" s="11"/>
      <c r="H20" s="11"/>
      <c r="I20" s="11"/>
      <c r="J20" s="11"/>
      <c r="K20" s="11"/>
      <c r="L20" s="11"/>
      <c r="M20" s="11"/>
      <c r="N20" s="11"/>
    </row>
    <row r="21" customFormat="false" ht="14.25" hidden="false" customHeight="true" outlineLevel="0" collapsed="false">
      <c r="C21" s="10" t="s">
        <v>2372</v>
      </c>
      <c r="D21" s="42" t="n">
        <f aca="false">'3 Statement Forecast'!E26-'3 Statement Forecast'!E24</f>
        <v>921.755737745388</v>
      </c>
      <c r="E21" s="42" t="n">
        <f aca="false">'3 Statement Forecast'!F26-'3 Statement Forecast'!F24</f>
        <v>923.309537183533</v>
      </c>
      <c r="F21" s="42" t="n">
        <f aca="false">'3 Statement Forecast'!G26-'3 Statement Forecast'!G24</f>
        <v>971.634256436981</v>
      </c>
      <c r="G21" s="42" t="n">
        <f aca="false">'3 Statement Forecast'!H26-'3 Statement Forecast'!H24</f>
        <v>1012.28268612151</v>
      </c>
      <c r="H21" s="42" t="n">
        <f aca="false">'3 Statement Forecast'!I26-'3 Statement Forecast'!I24</f>
        <v>1042.02640984923</v>
      </c>
      <c r="I21" s="42" t="n">
        <f aca="false">'3 Statement Forecast'!J26-'3 Statement Forecast'!J24</f>
        <v>1074.12038603331</v>
      </c>
      <c r="J21" s="42" t="n">
        <f aca="false">'3 Statement Forecast'!K26-'3 Statement Forecast'!K24</f>
        <v>1091.65013749824</v>
      </c>
      <c r="K21" s="42" t="n">
        <f aca="false">'3 Statement Forecast'!L26-'3 Statement Forecast'!L24</f>
        <v>1111.80834798864</v>
      </c>
      <c r="L21" s="42" t="n">
        <f aca="false">'3 Statement Forecast'!M26-'3 Statement Forecast'!M24</f>
        <v>1132.77030853006</v>
      </c>
      <c r="M21" s="42" t="n">
        <f aca="false">'3 Statement Forecast'!N26-'3 Statement Forecast'!N24</f>
        <v>1154.56504301483</v>
      </c>
      <c r="N21" s="42" t="n">
        <f aca="false">M21*(1+Drivers!$C$397)</f>
        <v>1194.97481952035</v>
      </c>
    </row>
    <row r="22" customFormat="false" ht="14.25" hidden="false" customHeight="true" outlineLevel="0" collapsed="false">
      <c r="C22" s="10" t="s">
        <v>2373</v>
      </c>
      <c r="D22" s="41" t="n">
        <f aca="false">Drivers!$C$75</f>
        <v>0.263</v>
      </c>
      <c r="E22" s="41" t="n">
        <f aca="false">Drivers!$C$76</f>
        <v>0.24</v>
      </c>
      <c r="F22" s="41" t="n">
        <f aca="false">Drivers!$C$273</f>
        <v>0.24</v>
      </c>
      <c r="G22" s="41" t="n">
        <f aca="false">Drivers!$C$274</f>
        <v>0.24</v>
      </c>
      <c r="H22" s="41" t="n">
        <f aca="false">Drivers!$C$275</f>
        <v>0.24</v>
      </c>
      <c r="I22" s="41" t="n">
        <f aca="false">Drivers!$C$498</f>
        <v>0.24</v>
      </c>
      <c r="J22" s="41" t="n">
        <f aca="false">Drivers!$C$499</f>
        <v>0.24</v>
      </c>
      <c r="K22" s="41" t="n">
        <f aca="false">Drivers!$C$500</f>
        <v>0.24</v>
      </c>
      <c r="L22" s="41" t="n">
        <f aca="false">Drivers!$C$501</f>
        <v>0.24</v>
      </c>
      <c r="M22" s="41" t="n">
        <f aca="false">Drivers!$C$502</f>
        <v>0.24</v>
      </c>
      <c r="N22" s="34" t="n">
        <f aca="false">M22</f>
        <v>0.24</v>
      </c>
    </row>
    <row r="23" customFormat="false" ht="14.25" hidden="false" customHeight="true" outlineLevel="0" collapsed="false">
      <c r="C23" s="10" t="s">
        <v>2374</v>
      </c>
      <c r="D23" s="34" t="n">
        <f aca="false">-D21*D22</f>
        <v>-242.421759027037</v>
      </c>
      <c r="E23" s="34" t="n">
        <f aca="false">-E21*E22</f>
        <v>-221.594288924048</v>
      </c>
      <c r="F23" s="34" t="n">
        <f aca="false">-F21*F22</f>
        <v>-233.192221544875</v>
      </c>
      <c r="G23" s="34" t="n">
        <f aca="false">-G21*G22</f>
        <v>-242.947844669163</v>
      </c>
      <c r="H23" s="34" t="n">
        <f aca="false">-H21*H22</f>
        <v>-250.086338363816</v>
      </c>
      <c r="I23" s="34" t="n">
        <f aca="false">-I21*I22</f>
        <v>-257.788892647994</v>
      </c>
      <c r="J23" s="34" t="n">
        <f aca="false">-J21*J22</f>
        <v>-261.996032999578</v>
      </c>
      <c r="K23" s="34" t="n">
        <f aca="false">-K21*K22</f>
        <v>-266.834003517274</v>
      </c>
      <c r="L23" s="34" t="n">
        <f aca="false">-L21*L22</f>
        <v>-271.864874047215</v>
      </c>
      <c r="M23" s="34" t="n">
        <f aca="false">-M21*M22</f>
        <v>-277.095610323559</v>
      </c>
      <c r="N23" s="34" t="n">
        <f aca="false">-N21*N22</f>
        <v>-286.793956684884</v>
      </c>
    </row>
    <row r="24" customFormat="false" ht="14.25" hidden="false" customHeight="true" outlineLevel="0" collapsed="false">
      <c r="A24" s="22" t="s">
        <v>11</v>
      </c>
      <c r="C24" s="71" t="s">
        <v>2375</v>
      </c>
      <c r="D24" s="80" t="n">
        <f aca="false">D21+D23</f>
        <v>679.333978718351</v>
      </c>
      <c r="E24" s="80" t="n">
        <f aca="false">E21+E23</f>
        <v>701.715248259485</v>
      </c>
      <c r="F24" s="80" t="n">
        <f aca="false">F21+F23</f>
        <v>738.442034892106</v>
      </c>
      <c r="G24" s="80" t="n">
        <f aca="false">G21+G23</f>
        <v>769.334841452348</v>
      </c>
      <c r="H24" s="80" t="n">
        <f aca="false">H21+H23</f>
        <v>791.940071485417</v>
      </c>
      <c r="I24" s="80" t="n">
        <f aca="false">I21+I23</f>
        <v>816.331493385313</v>
      </c>
      <c r="J24" s="80" t="n">
        <f aca="false">J21+J23</f>
        <v>829.654104498663</v>
      </c>
      <c r="K24" s="80" t="n">
        <f aca="false">K21+K23</f>
        <v>844.974344471369</v>
      </c>
      <c r="L24" s="80" t="n">
        <f aca="false">L21+L23</f>
        <v>860.905434482847</v>
      </c>
      <c r="M24" s="80" t="n">
        <f aca="false">M21+M23</f>
        <v>877.46943269127</v>
      </c>
      <c r="N24" s="80" t="n">
        <f aca="false">N21+N23</f>
        <v>908.180862835465</v>
      </c>
    </row>
    <row r="25" customFormat="false" ht="14.25" hidden="false" customHeight="true" outlineLevel="0" collapsed="false">
      <c r="C25" s="10" t="s">
        <v>2376</v>
      </c>
      <c r="D25" s="42" t="n">
        <f aca="false">-'3 Statement Forecast'!E19</f>
        <v>671.4</v>
      </c>
      <c r="E25" s="42" t="n">
        <f aca="false">-'3 Statement Forecast'!F19</f>
        <v>720</v>
      </c>
      <c r="F25" s="42" t="n">
        <f aca="false">-'3 Statement Forecast'!G19</f>
        <v>720</v>
      </c>
      <c r="G25" s="42" t="n">
        <f aca="false">-'3 Statement Forecast'!H19</f>
        <v>720</v>
      </c>
      <c r="H25" s="42" t="n">
        <f aca="false">-'3 Statement Forecast'!I19</f>
        <v>720</v>
      </c>
      <c r="I25" s="42" t="n">
        <f aca="false">-'3 Statement Forecast'!J19</f>
        <v>720</v>
      </c>
      <c r="J25" s="42" t="n">
        <f aca="false">-'3 Statement Forecast'!K19</f>
        <v>732.835297066934</v>
      </c>
      <c r="K25" s="42" t="n">
        <f aca="false">-'3 Statement Forecast'!L19</f>
        <v>743.923178741539</v>
      </c>
      <c r="L25" s="42" t="n">
        <f aca="false">-'3 Statement Forecast'!M19</f>
        <v>755.12193923289</v>
      </c>
      <c r="M25" s="42" t="n">
        <f aca="false">-'3 Statement Forecast'!N19</f>
        <v>766.432687329155</v>
      </c>
      <c r="N25" s="42" t="n">
        <f aca="false">M25*(1+Drivers!$C$397)</f>
        <v>793.257831385676</v>
      </c>
    </row>
    <row r="26" customFormat="false" ht="14.25" hidden="false" customHeight="true" outlineLevel="0" collapsed="false">
      <c r="C26" s="10" t="s">
        <v>2377</v>
      </c>
      <c r="D26" s="42" t="n">
        <f aca="false">'3 Statement Forecast'!E75</f>
        <v>-1041</v>
      </c>
      <c r="E26" s="42" t="n">
        <f aca="false">'3 Statement Forecast'!F75</f>
        <v>-1400</v>
      </c>
      <c r="F26" s="42" t="n">
        <f aca="false">'3 Statement Forecast'!G75</f>
        <v>-1400</v>
      </c>
      <c r="G26" s="42" t="n">
        <f aca="false">'3 Statement Forecast'!H75</f>
        <v>-1400</v>
      </c>
      <c r="H26" s="42" t="n">
        <f aca="false">'3 Statement Forecast'!I75</f>
        <v>-1400</v>
      </c>
      <c r="I26" s="42" t="n">
        <f aca="false">'3 Statement Forecast'!J75</f>
        <v>-1190</v>
      </c>
      <c r="J26" s="42" t="n">
        <f aca="false">'3 Statement Forecast'!K75</f>
        <v>-1159.27004706693</v>
      </c>
      <c r="K26" s="42" t="n">
        <f aca="false">'3 Statement Forecast'!L75</f>
        <v>-1173.12227624154</v>
      </c>
      <c r="L26" s="42" t="n">
        <f aca="false">'3 Statement Forecast'!M75</f>
        <v>-1187.11302770789</v>
      </c>
      <c r="M26" s="42" t="n">
        <f aca="false">'3 Statement Forecast'!N75</f>
        <v>-1201.24368668891</v>
      </c>
      <c r="N26" s="32" t="n">
        <f aca="false">-N25</f>
        <v>-793.257831385676</v>
      </c>
    </row>
    <row r="27" customFormat="false" ht="14.25" hidden="false" customHeight="true" outlineLevel="0" collapsed="false">
      <c r="C27" s="10" t="s">
        <v>2378</v>
      </c>
      <c r="D27" s="42" t="n">
        <f aca="false">'3 Statement Forecast'!E69</f>
        <v>101.294781025475</v>
      </c>
      <c r="E27" s="42" t="n">
        <f aca="false">'3 Statement Forecast'!F69</f>
        <v>13.5086577888496</v>
      </c>
      <c r="F27" s="42" t="n">
        <f aca="false">'3 Statement Forecast'!G69</f>
        <v>12.9132141355259</v>
      </c>
      <c r="G27" s="42" t="n">
        <f aca="false">'3 Statement Forecast'!H69</f>
        <v>10.8618092480721</v>
      </c>
      <c r="H27" s="42" t="n">
        <f aca="false">'3 Statement Forecast'!I69</f>
        <v>7.94792458073317</v>
      </c>
      <c r="I27" s="42" t="n">
        <f aca="false">'3 Statement Forecast'!J69</f>
        <v>6.60725517745718</v>
      </c>
      <c r="J27" s="42" t="n">
        <f aca="false">'3 Statement Forecast'!K69</f>
        <v>7.43637144411164</v>
      </c>
      <c r="K27" s="42" t="n">
        <f aca="false">'3 Statement Forecast'!L69</f>
        <v>7.64808291579504</v>
      </c>
      <c r="L27" s="42" t="n">
        <f aca="false">'3 Statement Forecast'!M69</f>
        <v>7.86793878073434</v>
      </c>
      <c r="M27" s="42" t="n">
        <f aca="false">'3 Statement Forecast'!N69</f>
        <v>8.09498741863001</v>
      </c>
      <c r="N27" s="42" t="n">
        <f aca="false">M27*(1+Drivers!$C$397)</f>
        <v>8.37831197828206</v>
      </c>
    </row>
    <row r="28" customFormat="false" ht="14.25" hidden="false" customHeight="true" outlineLevel="0" collapsed="false">
      <c r="C28" s="10" t="s">
        <v>2379</v>
      </c>
      <c r="D28" s="41" t="n">
        <f aca="false">Drivers!$C$86</f>
        <v>150</v>
      </c>
      <c r="E28" s="41" t="n">
        <f aca="false">Drivers!$C$87</f>
        <v>150</v>
      </c>
      <c r="F28" s="41" t="n">
        <f aca="false">Drivers!$C$288</f>
        <v>150</v>
      </c>
      <c r="G28" s="41" t="n">
        <f aca="false">Drivers!$C$289</f>
        <v>150</v>
      </c>
      <c r="H28" s="41" t="n">
        <f aca="false">Drivers!$C$290</f>
        <v>150</v>
      </c>
      <c r="I28" s="41" t="n">
        <f aca="false">Drivers!$C$553</f>
        <v>150</v>
      </c>
      <c r="J28" s="41" t="n">
        <f aca="false">Drivers!$C$554</f>
        <v>150</v>
      </c>
      <c r="K28" s="41" t="n">
        <f aca="false">Drivers!$C$555</f>
        <v>150</v>
      </c>
      <c r="L28" s="41" t="n">
        <f aca="false">Drivers!$C$556</f>
        <v>150</v>
      </c>
      <c r="M28" s="41" t="n">
        <f aca="false">Drivers!$C$557</f>
        <v>150</v>
      </c>
      <c r="N28" s="41" t="n">
        <f aca="false">M28*(1+Drivers!$C$397)</f>
        <v>155.25</v>
      </c>
    </row>
    <row r="29" customFormat="false" ht="14.25" hidden="false" customHeight="true" outlineLevel="0" collapsed="false">
      <c r="A29" s="22" t="s">
        <v>11</v>
      </c>
      <c r="C29" s="139" t="s">
        <v>2380</v>
      </c>
      <c r="D29" s="80" t="n">
        <f aca="false">D24+D25+D26+D27+D28</f>
        <v>561.028759743826</v>
      </c>
      <c r="E29" s="80" t="n">
        <f aca="false">E24+E25+E26+E27+E28</f>
        <v>185.223906048334</v>
      </c>
      <c r="F29" s="80" t="n">
        <f aca="false">F24+F25+F26+F27+F28</f>
        <v>221.355249027632</v>
      </c>
      <c r="G29" s="80" t="n">
        <f aca="false">G24+G25+G26+G27+G28</f>
        <v>250.19665070042</v>
      </c>
      <c r="H29" s="80" t="n">
        <f aca="false">H24+H25+H26+H27+H28</f>
        <v>269.88799606615</v>
      </c>
      <c r="I29" s="80" t="n">
        <f aca="false">I24+I25+I26+I27+I28</f>
        <v>502.93874856277</v>
      </c>
      <c r="J29" s="80" t="n">
        <f aca="false">J24+J25+J26+J27+J28</f>
        <v>560.655725942774</v>
      </c>
      <c r="K29" s="80" t="n">
        <f aca="false">K24+K25+K26+K27+K28</f>
        <v>573.423329887164</v>
      </c>
      <c r="L29" s="80" t="n">
        <f aca="false">L24+L25+L26+L27+L28</f>
        <v>586.782284788582</v>
      </c>
      <c r="M29" s="80" t="n">
        <f aca="false">M24+M25+M26+M27+M28</f>
        <v>600.75342075015</v>
      </c>
      <c r="N29" s="80" t="n">
        <f aca="false">N24+N25+N26+N27+N28</f>
        <v>1071.80917481375</v>
      </c>
    </row>
    <row r="30" customFormat="false" ht="14.25" hidden="false" customHeight="true" outlineLevel="0" collapsed="false">
      <c r="C30" s="11"/>
      <c r="D30" s="11"/>
      <c r="E30" s="11"/>
      <c r="F30" s="11"/>
      <c r="G30" s="11"/>
      <c r="H30" s="11"/>
      <c r="I30" s="11"/>
      <c r="J30" s="11"/>
      <c r="K30" s="11"/>
      <c r="L30" s="11"/>
      <c r="M30" s="11"/>
      <c r="N30" s="11"/>
    </row>
    <row r="31" customFormat="false" ht="14.25" hidden="false" customHeight="true" outlineLevel="0" collapsed="false">
      <c r="C31" s="140" t="s">
        <v>2381</v>
      </c>
      <c r="D31" s="42" t="n">
        <f aca="false">'3 Statement Forecast'!E76</f>
        <v>-4200</v>
      </c>
      <c r="E31" s="11"/>
      <c r="F31" s="11"/>
      <c r="G31" s="11"/>
      <c r="H31" s="11"/>
      <c r="I31" s="11"/>
      <c r="J31" s="11"/>
      <c r="K31" s="11"/>
      <c r="L31" s="11"/>
      <c r="M31" s="11"/>
      <c r="N31" s="11"/>
    </row>
    <row r="32" customFormat="false" ht="14.25" hidden="false" customHeight="true" outlineLevel="0" collapsed="false">
      <c r="C32" s="140" t="s">
        <v>2382</v>
      </c>
      <c r="D32" s="42" t="n">
        <f aca="false">Drivers!$C$115</f>
        <v>140</v>
      </c>
      <c r="E32" s="42" t="n">
        <f aca="false">Drivers!$C$116</f>
        <v>130</v>
      </c>
      <c r="F32" s="42" t="n">
        <f aca="false">Drivers!$C$297</f>
        <v>130</v>
      </c>
      <c r="G32" s="42" t="n">
        <f aca="false">Drivers!$C$298</f>
        <v>130</v>
      </c>
      <c r="H32" s="42" t="n">
        <f aca="false">Drivers!$C$299</f>
        <v>130</v>
      </c>
      <c r="I32" s="11"/>
      <c r="J32" s="11"/>
      <c r="K32" s="11"/>
      <c r="L32" s="11"/>
      <c r="M32" s="11"/>
      <c r="N32" s="11"/>
    </row>
    <row r="33" customFormat="false" ht="14.25" hidden="false" customHeight="true" outlineLevel="0" collapsed="false">
      <c r="C33" s="11"/>
      <c r="D33" s="11"/>
      <c r="E33" s="11"/>
      <c r="F33" s="11"/>
      <c r="G33" s="11"/>
      <c r="H33" s="11"/>
      <c r="I33" s="11"/>
      <c r="J33" s="11"/>
      <c r="K33" s="11"/>
      <c r="L33" s="11"/>
      <c r="M33" s="11"/>
      <c r="N33" s="11"/>
    </row>
    <row r="34" customFormat="false" ht="14.25" hidden="false" customHeight="true" outlineLevel="0" collapsed="false">
      <c r="C34" s="10" t="s">
        <v>2383</v>
      </c>
      <c r="D34" s="11"/>
      <c r="E34" s="11"/>
      <c r="F34" s="11"/>
      <c r="G34" s="11"/>
      <c r="H34" s="11"/>
      <c r="I34" s="11"/>
      <c r="J34" s="11"/>
      <c r="K34" s="11"/>
      <c r="L34" s="11"/>
      <c r="M34" s="11"/>
      <c r="N34" s="11"/>
    </row>
    <row r="35" customFormat="false" ht="14.25" hidden="false" customHeight="true" outlineLevel="0" collapsed="false">
      <c r="C35" s="11" t="s">
        <v>2384</v>
      </c>
      <c r="D35" s="32" t="n">
        <f aca="false">D29</f>
        <v>561.028759743826</v>
      </c>
      <c r="E35" s="11"/>
      <c r="F35" s="11"/>
      <c r="G35" s="11"/>
      <c r="H35" s="11"/>
      <c r="I35" s="11"/>
      <c r="J35" s="11"/>
      <c r="K35" s="11"/>
      <c r="L35" s="11"/>
      <c r="M35" s="11"/>
      <c r="N35" s="11"/>
    </row>
    <row r="36" customFormat="false" ht="14.25" hidden="false" customHeight="true" outlineLevel="0" collapsed="false">
      <c r="C36" s="11" t="s">
        <v>2385</v>
      </c>
      <c r="D36" s="42" t="n">
        <f aca="false">'3 Statement Forecast'!E73</f>
        <v>986.921005113826</v>
      </c>
      <c r="E36" s="11"/>
      <c r="F36" s="11"/>
      <c r="G36" s="11"/>
      <c r="H36" s="11"/>
      <c r="I36" s="11"/>
      <c r="J36" s="11"/>
      <c r="K36" s="11"/>
      <c r="L36" s="11"/>
      <c r="M36" s="11"/>
      <c r="N36" s="11"/>
    </row>
    <row r="37" customFormat="false" ht="14.25" hidden="false" customHeight="true" outlineLevel="0" collapsed="false">
      <c r="C37" s="11" t="s">
        <v>2386</v>
      </c>
      <c r="D37" s="42" t="n">
        <f aca="false">'3 Statement Forecast'!E75</f>
        <v>-1041</v>
      </c>
      <c r="E37" s="11"/>
      <c r="F37" s="11"/>
      <c r="G37" s="11"/>
      <c r="H37" s="11"/>
      <c r="I37" s="11"/>
      <c r="J37" s="11"/>
      <c r="K37" s="11"/>
      <c r="L37" s="11"/>
      <c r="M37" s="11"/>
      <c r="N37" s="11"/>
    </row>
    <row r="38" customFormat="false" ht="14.25" hidden="false" customHeight="true" outlineLevel="0" collapsed="false">
      <c r="C38" s="11" t="s">
        <v>2387</v>
      </c>
      <c r="D38" s="42" t="n">
        <f aca="false">'3 Statement Forecast'!E77</f>
        <v>360.5</v>
      </c>
      <c r="E38" s="11"/>
      <c r="F38" s="11"/>
      <c r="G38" s="11"/>
      <c r="H38" s="11"/>
      <c r="I38" s="11"/>
      <c r="J38" s="11"/>
      <c r="K38" s="11"/>
      <c r="L38" s="11"/>
      <c r="M38" s="11"/>
      <c r="N38" s="11"/>
    </row>
    <row r="39" customFormat="false" ht="14.25" hidden="false" customHeight="true" outlineLevel="0" collapsed="false">
      <c r="C39" s="11" t="s">
        <v>2388</v>
      </c>
      <c r="D39" s="32" t="n">
        <f aca="false">D36+D37+D38</f>
        <v>306.421005113826</v>
      </c>
      <c r="E39" s="11"/>
      <c r="F39" s="11"/>
      <c r="G39" s="11"/>
      <c r="H39" s="11"/>
      <c r="I39" s="11"/>
      <c r="J39" s="11"/>
      <c r="K39" s="11"/>
      <c r="L39" s="11"/>
      <c r="M39" s="11"/>
      <c r="N39" s="11"/>
    </row>
    <row r="40" customFormat="false" ht="14.25" hidden="false" customHeight="true" outlineLevel="0" collapsed="false">
      <c r="C40" s="11" t="s">
        <v>2389</v>
      </c>
      <c r="D40" s="11"/>
      <c r="E40" s="11"/>
      <c r="F40" s="11"/>
      <c r="G40" s="11"/>
      <c r="H40" s="11"/>
      <c r="I40" s="11"/>
      <c r="J40" s="11"/>
      <c r="K40" s="11"/>
      <c r="L40" s="11"/>
      <c r="M40" s="11"/>
      <c r="N40" s="11"/>
    </row>
    <row r="41" customFormat="false" ht="14.25" hidden="false" customHeight="true" outlineLevel="0" collapsed="false">
      <c r="C41" s="11" t="s">
        <v>2390</v>
      </c>
      <c r="D41" s="42" t="n">
        <f aca="false">-(1-Drivers!C75)*('3 Statement Forecast'!E24+'3 Statement Forecast'!E25)</f>
        <v>426.29995463</v>
      </c>
      <c r="E41" s="11"/>
      <c r="F41" s="11"/>
      <c r="G41" s="11"/>
      <c r="H41" s="11"/>
      <c r="I41" s="11"/>
      <c r="J41" s="11"/>
      <c r="K41" s="11"/>
      <c r="L41" s="11"/>
      <c r="M41" s="11"/>
      <c r="N41" s="11"/>
    </row>
    <row r="42" customFormat="false" ht="14.25" hidden="false" customHeight="true" outlineLevel="0" collapsed="false">
      <c r="C42" s="11" t="s">
        <v>2391</v>
      </c>
      <c r="D42" s="42" t="n">
        <f aca="false">-'3 Statement Forecast'!E28</f>
        <v>-140</v>
      </c>
      <c r="E42" s="11"/>
      <c r="F42" s="11"/>
      <c r="G42" s="11"/>
      <c r="H42" s="11"/>
      <c r="I42" s="11"/>
      <c r="J42" s="11"/>
      <c r="K42" s="11"/>
      <c r="L42" s="11"/>
      <c r="M42" s="11"/>
      <c r="N42" s="11"/>
    </row>
    <row r="43" customFormat="false" ht="14.25" hidden="false" customHeight="true" outlineLevel="0" collapsed="false">
      <c r="C43" s="11" t="s">
        <v>2392</v>
      </c>
      <c r="D43" s="42" t="n">
        <f aca="false">-'3 Statement Forecast'!E71</f>
        <v>-28</v>
      </c>
      <c r="E43" s="11"/>
      <c r="F43" s="11"/>
      <c r="G43" s="11"/>
      <c r="H43" s="11"/>
      <c r="I43" s="11"/>
      <c r="J43" s="11"/>
      <c r="K43" s="11"/>
      <c r="L43" s="11"/>
      <c r="M43" s="11"/>
      <c r="N43" s="11"/>
    </row>
    <row r="44" customFormat="false" ht="14.25" hidden="false" customHeight="true" outlineLevel="0" collapsed="false">
      <c r="C44" s="11" t="s">
        <v>2393</v>
      </c>
      <c r="D44" s="42" t="n">
        <f aca="false">-'3 Statement Forecast'!E68</f>
        <v>-11.9570000000001</v>
      </c>
      <c r="E44" s="11"/>
      <c r="F44" s="11"/>
      <c r="G44" s="11"/>
      <c r="H44" s="11"/>
      <c r="I44" s="11"/>
      <c r="J44" s="11"/>
      <c r="K44" s="11"/>
      <c r="L44" s="11"/>
      <c r="M44" s="11"/>
      <c r="N44" s="11"/>
    </row>
    <row r="45" customFormat="false" ht="14.25" hidden="false" customHeight="true" outlineLevel="0" collapsed="false">
      <c r="C45" s="11" t="s">
        <v>2394</v>
      </c>
      <c r="D45" s="41" t="n">
        <f aca="false">-'3 Statement Forecast'!E72</f>
        <v>0.599999999999994</v>
      </c>
      <c r="E45" s="11"/>
      <c r="F45" s="11"/>
      <c r="G45" s="11"/>
      <c r="H45" s="11"/>
      <c r="I45" s="11"/>
      <c r="J45" s="11"/>
      <c r="K45" s="11"/>
      <c r="L45" s="11"/>
      <c r="M45" s="11"/>
      <c r="N45" s="11"/>
    </row>
    <row r="46" customFormat="false" ht="14.25" hidden="false" customHeight="true" outlineLevel="0" collapsed="false">
      <c r="C46" s="11" t="s">
        <v>2395</v>
      </c>
      <c r="D46" s="32" t="n">
        <f aca="false">SUM(D41:D45)</f>
        <v>246.94295463</v>
      </c>
      <c r="E46" s="11"/>
      <c r="F46" s="11"/>
      <c r="G46" s="11"/>
      <c r="H46" s="11"/>
      <c r="I46" s="11"/>
      <c r="J46" s="11"/>
      <c r="K46" s="11"/>
      <c r="L46" s="11"/>
      <c r="M46" s="11"/>
      <c r="N46" s="11"/>
    </row>
    <row r="47" customFormat="false" ht="14.25" hidden="false" customHeight="true" outlineLevel="0" collapsed="false">
      <c r="C47" s="11" t="s">
        <v>2396</v>
      </c>
      <c r="D47" s="32" t="n">
        <f aca="false">D39+D46</f>
        <v>553.363959743826</v>
      </c>
      <c r="E47" s="11"/>
      <c r="F47" s="11"/>
      <c r="G47" s="11"/>
      <c r="H47" s="11"/>
      <c r="I47" s="11"/>
      <c r="J47" s="11"/>
      <c r="K47" s="11"/>
      <c r="L47" s="11"/>
      <c r="M47" s="11"/>
      <c r="N47" s="11"/>
    </row>
    <row r="48" customFormat="false" ht="14.25" hidden="false" customHeight="true" outlineLevel="0" collapsed="false">
      <c r="C48" s="11" t="s">
        <v>2397</v>
      </c>
      <c r="D48" s="32" t="n">
        <f aca="false">D35-D47</f>
        <v>7.6647999999999</v>
      </c>
      <c r="E48" s="11"/>
      <c r="F48" s="11"/>
      <c r="G48" s="11"/>
      <c r="H48" s="11"/>
      <c r="I48" s="11"/>
      <c r="J48" s="11"/>
      <c r="K48" s="11"/>
      <c r="L48" s="11"/>
      <c r="M48" s="11"/>
      <c r="N48" s="11"/>
    </row>
    <row r="49" customFormat="false" ht="14.25" hidden="false" customHeight="true" outlineLevel="0" collapsed="false">
      <c r="C49" s="11" t="s">
        <v>2398</v>
      </c>
      <c r="D49" s="65" t="str">
        <f aca="false">IF(ABS(D48)&lt;10,"PASS (±$10M)","FAIL")</f>
        <v>PASS (±$10M)</v>
      </c>
      <c r="E49" s="11"/>
      <c r="F49" s="11"/>
      <c r="G49" s="11"/>
      <c r="H49" s="11"/>
      <c r="I49" s="11"/>
      <c r="J49" s="11"/>
      <c r="K49" s="11"/>
      <c r="L49" s="11"/>
      <c r="M49" s="11"/>
      <c r="N49" s="11"/>
    </row>
    <row r="50" customFormat="false" ht="14.25" hidden="false" customHeight="true" outlineLevel="0" collapsed="false">
      <c r="C50" s="11"/>
      <c r="D50" s="11"/>
      <c r="E50" s="11"/>
      <c r="F50" s="11"/>
      <c r="G50" s="11"/>
      <c r="H50" s="11"/>
      <c r="I50" s="11"/>
      <c r="J50" s="11"/>
      <c r="K50" s="11"/>
      <c r="L50" s="11"/>
      <c r="M50" s="11"/>
      <c r="N50" s="11"/>
    </row>
    <row r="51" customFormat="false" ht="14.25" hidden="false" customHeight="true" outlineLevel="0" collapsed="false">
      <c r="A51" s="22" t="s">
        <v>11</v>
      </c>
      <c r="C51" s="138" t="s">
        <v>2399</v>
      </c>
      <c r="D51" s="54"/>
      <c r="E51" s="54"/>
      <c r="F51" s="54"/>
      <c r="G51" s="54"/>
      <c r="H51" s="54"/>
      <c r="I51" s="54"/>
      <c r="J51" s="54"/>
      <c r="K51" s="54"/>
      <c r="L51" s="54"/>
      <c r="M51" s="54"/>
      <c r="N51" s="54"/>
    </row>
    <row r="52" customFormat="false" ht="14.25" hidden="false" customHeight="true" outlineLevel="0" collapsed="false">
      <c r="C52" s="11" t="s">
        <v>2400</v>
      </c>
      <c r="D52" s="41" t="n">
        <f aca="false">Drivers!$C$384</f>
        <v>0.0511</v>
      </c>
      <c r="E52" s="11"/>
      <c r="F52" s="11"/>
      <c r="G52" s="11"/>
      <c r="H52" s="11"/>
      <c r="I52" s="11"/>
      <c r="J52" s="11"/>
      <c r="K52" s="11"/>
      <c r="L52" s="11"/>
      <c r="M52" s="11"/>
      <c r="N52" s="11"/>
    </row>
    <row r="53" customFormat="false" ht="14.25" hidden="false" customHeight="true" outlineLevel="0" collapsed="false">
      <c r="C53" s="11" t="s">
        <v>2401</v>
      </c>
      <c r="D53" s="41" t="n">
        <f aca="false">Drivers!$C$385</f>
        <v>0.046</v>
      </c>
      <c r="E53" s="11"/>
      <c r="F53" s="11"/>
      <c r="G53" s="11"/>
      <c r="H53" s="11"/>
      <c r="I53" s="11"/>
      <c r="J53" s="11"/>
      <c r="K53" s="11"/>
      <c r="L53" s="11"/>
      <c r="M53" s="11"/>
      <c r="N53" s="11"/>
    </row>
    <row r="54" customFormat="false" ht="14.25" hidden="false" customHeight="true" outlineLevel="0" collapsed="false">
      <c r="C54" s="11" t="s">
        <v>2402</v>
      </c>
      <c r="D54" s="41" t="n">
        <f aca="false">Drivers!$C$387</f>
        <v>0.85</v>
      </c>
      <c r="E54" s="11"/>
      <c r="F54" s="11"/>
      <c r="G54" s="11"/>
      <c r="H54" s="11"/>
      <c r="I54" s="11"/>
      <c r="J54" s="11"/>
      <c r="K54" s="11"/>
      <c r="L54" s="11"/>
      <c r="M54" s="11"/>
      <c r="N54" s="11"/>
    </row>
    <row r="55" customFormat="false" ht="14.25" hidden="false" customHeight="true" outlineLevel="0" collapsed="false">
      <c r="C55" s="11" t="s">
        <v>2403</v>
      </c>
      <c r="D55" s="41" t="n">
        <f aca="false">(D54-Drivers!$C$420)/Drivers!$C$419</f>
        <v>0.776119402985075</v>
      </c>
      <c r="E55" s="11"/>
      <c r="F55" s="11"/>
      <c r="G55" s="11"/>
      <c r="H55" s="11"/>
      <c r="I55" s="11"/>
      <c r="J55" s="11"/>
      <c r="K55" s="11"/>
      <c r="L55" s="11"/>
      <c r="M55" s="11"/>
      <c r="N55" s="11"/>
    </row>
    <row r="56" customFormat="false" ht="14.25" hidden="false" customHeight="true" outlineLevel="0" collapsed="false">
      <c r="C56" s="11" t="s">
        <v>2404</v>
      </c>
      <c r="D56" s="34" t="n">
        <f aca="false">D54</f>
        <v>0.85</v>
      </c>
      <c r="E56" s="11"/>
      <c r="F56" s="11"/>
      <c r="G56" s="11"/>
      <c r="H56" s="11"/>
      <c r="I56" s="11"/>
      <c r="J56" s="11"/>
      <c r="K56" s="11"/>
      <c r="L56" s="11"/>
      <c r="M56" s="11"/>
      <c r="N56" s="11"/>
    </row>
    <row r="57" customFormat="false" ht="14.25" hidden="false" customHeight="true" outlineLevel="0" collapsed="false">
      <c r="C57" s="11" t="s">
        <v>2405</v>
      </c>
      <c r="D57" s="34" t="n">
        <f aca="false">D52+D56*D53</f>
        <v>0.0902</v>
      </c>
      <c r="E57" s="11"/>
      <c r="F57" s="11"/>
      <c r="G57" s="11"/>
      <c r="H57" s="11"/>
      <c r="I57" s="11"/>
      <c r="J57" s="11"/>
      <c r="K57" s="11"/>
      <c r="L57" s="11"/>
      <c r="M57" s="11"/>
      <c r="N57" s="11"/>
    </row>
    <row r="58" customFormat="false" ht="14.25" hidden="false" customHeight="true" outlineLevel="0" collapsed="false">
      <c r="C58" s="11" t="s">
        <v>2406</v>
      </c>
      <c r="D58" s="41" t="n">
        <f aca="false">Drivers!$C$389</f>
        <v>0.0595</v>
      </c>
      <c r="E58" s="11"/>
      <c r="F58" s="11"/>
      <c r="G58" s="11"/>
      <c r="H58" s="11"/>
      <c r="I58" s="11"/>
      <c r="J58" s="11"/>
      <c r="K58" s="11"/>
      <c r="L58" s="11"/>
      <c r="M58" s="11"/>
      <c r="N58" s="11"/>
    </row>
    <row r="59" customFormat="false" ht="14.25" hidden="false" customHeight="true" outlineLevel="0" collapsed="false">
      <c r="C59" s="11" t="s">
        <v>2407</v>
      </c>
      <c r="D59" s="41" t="n">
        <f aca="false">Drivers!$C$390</f>
        <v>0.24</v>
      </c>
      <c r="E59" s="11"/>
      <c r="F59" s="11"/>
      <c r="G59" s="11"/>
      <c r="H59" s="11"/>
      <c r="I59" s="11"/>
      <c r="J59" s="11"/>
      <c r="K59" s="11"/>
      <c r="L59" s="11"/>
      <c r="M59" s="11"/>
      <c r="N59" s="11"/>
    </row>
    <row r="60" customFormat="false" ht="14.25" hidden="false" customHeight="true" outlineLevel="0" collapsed="false">
      <c r="C60" s="11" t="s">
        <v>2408</v>
      </c>
      <c r="D60" s="34" t="n">
        <f aca="false">D58*(1-D59)</f>
        <v>0.04522</v>
      </c>
      <c r="E60" s="11"/>
      <c r="F60" s="11"/>
      <c r="G60" s="11"/>
      <c r="H60" s="11"/>
      <c r="I60" s="11"/>
      <c r="J60" s="11"/>
      <c r="K60" s="11"/>
      <c r="L60" s="11"/>
      <c r="M60" s="11"/>
      <c r="N60" s="11"/>
    </row>
    <row r="61" customFormat="false" ht="14.25" hidden="false" customHeight="true" outlineLevel="0" collapsed="false">
      <c r="C61" s="11" t="s">
        <v>2409</v>
      </c>
      <c r="D61" s="42" t="n">
        <f aca="false">Drivers!$C$391</f>
        <v>5827.524</v>
      </c>
      <c r="E61" s="11"/>
      <c r="F61" s="11"/>
      <c r="G61" s="11"/>
      <c r="H61" s="11"/>
      <c r="I61" s="11"/>
      <c r="J61" s="11"/>
      <c r="K61" s="11"/>
      <c r="L61" s="11"/>
      <c r="M61" s="11"/>
      <c r="N61" s="11"/>
    </row>
    <row r="62" customFormat="false" ht="14.25" hidden="false" customHeight="true" outlineLevel="0" collapsed="false">
      <c r="C62" s="11" t="s">
        <v>2410</v>
      </c>
      <c r="D62" s="42" t="n">
        <f aca="false">Drivers!$C$392</f>
        <v>12333.3</v>
      </c>
      <c r="E62" s="11"/>
      <c r="F62" s="11"/>
      <c r="G62" s="11"/>
      <c r="H62" s="11"/>
      <c r="I62" s="11"/>
      <c r="J62" s="11"/>
      <c r="K62" s="11"/>
      <c r="L62" s="11"/>
      <c r="M62" s="11"/>
      <c r="N62" s="11"/>
    </row>
    <row r="63" customFormat="false" ht="14.25" hidden="false" customHeight="true" outlineLevel="0" collapsed="false">
      <c r="C63" s="11" t="s">
        <v>2411</v>
      </c>
      <c r="D63" s="34" t="n">
        <f aca="false">D61/(D61+D62)</f>
        <v>0.320884338728243</v>
      </c>
      <c r="E63" s="11"/>
      <c r="F63" s="11"/>
      <c r="G63" s="11"/>
      <c r="H63" s="11"/>
      <c r="I63" s="11"/>
      <c r="J63" s="11"/>
      <c r="K63" s="11"/>
      <c r="L63" s="11"/>
      <c r="M63" s="11"/>
      <c r="N63" s="11"/>
    </row>
    <row r="64" customFormat="false" ht="14.25" hidden="false" customHeight="true" outlineLevel="0" collapsed="false">
      <c r="C64" s="11" t="s">
        <v>2412</v>
      </c>
      <c r="D64" s="34" t="n">
        <f aca="false">1-D63</f>
        <v>0.679115661271757</v>
      </c>
      <c r="E64" s="11"/>
      <c r="F64" s="11"/>
      <c r="G64" s="11"/>
      <c r="H64" s="11"/>
      <c r="I64" s="11"/>
      <c r="J64" s="11"/>
      <c r="K64" s="11"/>
      <c r="L64" s="11"/>
      <c r="M64" s="11"/>
      <c r="N64" s="11"/>
    </row>
    <row r="65" customFormat="false" ht="14.25" hidden="false" customHeight="true" outlineLevel="0" collapsed="false">
      <c r="C65" s="141" t="s">
        <v>2413</v>
      </c>
      <c r="D65" s="142" t="n">
        <f aca="false">D63*D57+D64*D60</f>
        <v>0.0596533775559964</v>
      </c>
      <c r="E65" s="11"/>
      <c r="F65" s="11"/>
      <c r="G65" s="11"/>
      <c r="H65" s="11"/>
      <c r="I65" s="11"/>
      <c r="J65" s="11"/>
      <c r="K65" s="11"/>
      <c r="L65" s="11"/>
      <c r="M65" s="11"/>
      <c r="N65" s="11"/>
    </row>
    <row r="66" customFormat="false" ht="14.25" hidden="false" customHeight="true" outlineLevel="0" collapsed="false">
      <c r="C66" s="11"/>
      <c r="D66" s="11"/>
      <c r="E66" s="11"/>
      <c r="F66" s="11"/>
      <c r="G66" s="11"/>
      <c r="H66" s="11"/>
      <c r="I66" s="11"/>
      <c r="J66" s="11"/>
      <c r="K66" s="11"/>
      <c r="L66" s="11"/>
      <c r="M66" s="11"/>
      <c r="N66" s="11"/>
    </row>
    <row r="67" customFormat="false" ht="14.25" hidden="false" customHeight="true" outlineLevel="0" collapsed="false">
      <c r="A67" s="22" t="s">
        <v>11</v>
      </c>
      <c r="C67" s="138" t="s">
        <v>2414</v>
      </c>
      <c r="D67" s="54"/>
      <c r="E67" s="54"/>
      <c r="F67" s="54"/>
      <c r="G67" s="54"/>
      <c r="H67" s="54"/>
      <c r="I67" s="54"/>
      <c r="J67" s="54"/>
      <c r="K67" s="54"/>
      <c r="L67" s="54"/>
      <c r="M67" s="54"/>
      <c r="N67" s="54"/>
    </row>
    <row r="68" customFormat="false" ht="14.25" hidden="false" customHeight="true" outlineLevel="0" collapsed="false">
      <c r="C68" s="11" t="s">
        <v>2415</v>
      </c>
      <c r="D68" s="11"/>
      <c r="E68" s="11"/>
      <c r="F68" s="11"/>
      <c r="G68" s="11"/>
      <c r="H68" s="11"/>
      <c r="I68" s="11"/>
      <c r="J68" s="11"/>
      <c r="K68" s="11"/>
      <c r="L68" s="11"/>
      <c r="M68" s="11"/>
      <c r="N68" s="11"/>
    </row>
    <row r="69" customFormat="false" ht="14.25" hidden="false" customHeight="true" outlineLevel="0" collapsed="false">
      <c r="C69" s="11"/>
      <c r="D69" s="11"/>
      <c r="E69" s="11"/>
      <c r="F69" s="11"/>
      <c r="G69" s="11"/>
      <c r="H69" s="11"/>
      <c r="I69" s="11"/>
      <c r="J69" s="11"/>
      <c r="K69" s="11"/>
      <c r="L69" s="11"/>
      <c r="M69" s="11"/>
      <c r="N69" s="11"/>
    </row>
    <row r="70" customFormat="false" ht="14.25" hidden="false" customHeight="true" outlineLevel="0" collapsed="false">
      <c r="C70" s="10" t="s">
        <v>2416</v>
      </c>
      <c r="D70" s="11"/>
      <c r="E70" s="11"/>
      <c r="F70" s="11"/>
      <c r="G70" s="11"/>
      <c r="H70" s="11"/>
      <c r="I70" s="11"/>
      <c r="J70" s="11"/>
      <c r="K70" s="11"/>
      <c r="L70" s="11"/>
      <c r="M70" s="11"/>
      <c r="N70" s="11"/>
    </row>
    <row r="71" customFormat="false" ht="14.25" hidden="false" customHeight="true" outlineLevel="0" collapsed="false">
      <c r="C71" s="11" t="s">
        <v>2417</v>
      </c>
      <c r="D71" s="41" t="n">
        <f aca="false">Drivers!$C$397</f>
        <v>0.035</v>
      </c>
      <c r="E71" s="11"/>
      <c r="F71" s="11"/>
      <c r="G71" s="11"/>
      <c r="H71" s="11"/>
      <c r="I71" s="11"/>
      <c r="J71" s="11"/>
      <c r="K71" s="11"/>
      <c r="L71" s="11"/>
      <c r="M71" s="11"/>
      <c r="N71" s="11"/>
    </row>
    <row r="72" customFormat="false" ht="14.25" hidden="false" customHeight="true" outlineLevel="0" collapsed="false">
      <c r="C72" s="11" t="s">
        <v>2418</v>
      </c>
      <c r="D72" s="32" t="n">
        <f aca="false">N29</f>
        <v>1071.80917481375</v>
      </c>
      <c r="E72" s="11"/>
      <c r="F72" s="11"/>
      <c r="G72" s="11"/>
      <c r="H72" s="11"/>
      <c r="I72" s="11"/>
      <c r="J72" s="11"/>
      <c r="K72" s="11"/>
      <c r="L72" s="11"/>
      <c r="M72" s="11"/>
      <c r="N72" s="11"/>
    </row>
    <row r="73" customFormat="false" ht="14.25" hidden="false" customHeight="true" outlineLevel="0" collapsed="false">
      <c r="A73" s="22" t="s">
        <v>11</v>
      </c>
      <c r="C73" s="139" t="s">
        <v>2419</v>
      </c>
      <c r="D73" s="143" t="n">
        <f aca="false">D72/(D65-D71)</f>
        <v>43475.1454391715</v>
      </c>
      <c r="E73" s="54"/>
      <c r="F73" s="54"/>
      <c r="G73" s="54"/>
      <c r="H73" s="54"/>
      <c r="I73" s="54"/>
      <c r="J73" s="54"/>
      <c r="K73" s="54"/>
      <c r="L73" s="54"/>
      <c r="M73" s="54"/>
      <c r="N73" s="54"/>
    </row>
    <row r="74" customFormat="false" ht="14.25" hidden="false" customHeight="true" outlineLevel="0" collapsed="false">
      <c r="C74" s="11"/>
      <c r="D74" s="11"/>
      <c r="E74" s="11"/>
      <c r="F74" s="11"/>
      <c r="G74" s="11"/>
      <c r="H74" s="11"/>
      <c r="I74" s="11"/>
      <c r="J74" s="11"/>
      <c r="K74" s="11"/>
      <c r="L74" s="11"/>
      <c r="M74" s="11"/>
      <c r="N74" s="11"/>
    </row>
    <row r="75" customFormat="false" ht="14.25" hidden="false" customHeight="true" outlineLevel="0" collapsed="false">
      <c r="C75" s="10" t="s">
        <v>2420</v>
      </c>
      <c r="D75" s="11"/>
      <c r="E75" s="11"/>
      <c r="F75" s="11"/>
      <c r="G75" s="11"/>
      <c r="H75" s="11"/>
      <c r="I75" s="11"/>
      <c r="J75" s="11"/>
      <c r="K75" s="11"/>
      <c r="L75" s="11"/>
      <c r="M75" s="11"/>
      <c r="N75" s="11"/>
    </row>
    <row r="76" customFormat="false" ht="14.25" hidden="false" customHeight="true" outlineLevel="0" collapsed="false">
      <c r="A76" s="22" t="s">
        <v>11</v>
      </c>
      <c r="C76" s="71" t="s">
        <v>2421</v>
      </c>
      <c r="D76" s="80" t="n">
        <f aca="false">M21+M25</f>
        <v>1920.99773034398</v>
      </c>
      <c r="E76" s="54"/>
      <c r="F76" s="54"/>
      <c r="G76" s="54"/>
      <c r="H76" s="54"/>
      <c r="I76" s="54"/>
      <c r="J76" s="54"/>
      <c r="K76" s="54"/>
      <c r="L76" s="54"/>
      <c r="M76" s="54"/>
      <c r="N76" s="54"/>
    </row>
    <row r="77" customFormat="false" ht="14.25" hidden="false" customHeight="true" outlineLevel="0" collapsed="false">
      <c r="C77" s="11" t="s">
        <v>2422</v>
      </c>
      <c r="D77" s="45" t="n">
        <f aca="false">Drivers!$C$398</f>
        <v>10.11</v>
      </c>
      <c r="E77" s="11"/>
      <c r="F77" s="11"/>
      <c r="G77" s="11"/>
      <c r="H77" s="11"/>
      <c r="I77" s="11"/>
      <c r="J77" s="11"/>
      <c r="K77" s="11"/>
      <c r="L77" s="11"/>
      <c r="M77" s="11"/>
      <c r="N77" s="11"/>
    </row>
    <row r="78" customFormat="false" ht="14.25" hidden="false" customHeight="true" outlineLevel="0" collapsed="false">
      <c r="C78" s="141" t="s">
        <v>2423</v>
      </c>
      <c r="D78" s="144" t="n">
        <f aca="false">D76*D77</f>
        <v>19421.2870537777</v>
      </c>
      <c r="E78" s="11"/>
      <c r="F78" s="11"/>
      <c r="G78" s="11"/>
      <c r="H78" s="11"/>
      <c r="I78" s="11"/>
      <c r="J78" s="11"/>
      <c r="K78" s="11"/>
      <c r="L78" s="11"/>
      <c r="M78" s="11"/>
      <c r="N78" s="11"/>
    </row>
    <row r="79" customFormat="false" ht="14.25" hidden="false" customHeight="true" outlineLevel="0" collapsed="false">
      <c r="C79" s="11"/>
      <c r="D79" s="11"/>
      <c r="E79" s="11"/>
      <c r="F79" s="11"/>
      <c r="G79" s="11"/>
      <c r="H79" s="11"/>
      <c r="I79" s="11"/>
      <c r="J79" s="11"/>
      <c r="K79" s="11"/>
      <c r="L79" s="11"/>
      <c r="M79" s="11"/>
      <c r="N79" s="11"/>
    </row>
    <row r="80" customFormat="false" ht="14.25" hidden="false" customHeight="true" outlineLevel="0" collapsed="false">
      <c r="C80" s="10" t="s">
        <v>2424</v>
      </c>
      <c r="D80" s="11"/>
      <c r="E80" s="11"/>
      <c r="F80" s="11"/>
      <c r="G80" s="11"/>
      <c r="H80" s="11"/>
      <c r="I80" s="11"/>
      <c r="J80" s="11"/>
      <c r="K80" s="11"/>
      <c r="L80" s="11"/>
      <c r="M80" s="11"/>
      <c r="N80" s="11"/>
    </row>
    <row r="81" customFormat="false" ht="14.25" hidden="false" customHeight="true" outlineLevel="0" collapsed="false">
      <c r="C81" s="11" t="s">
        <v>2425</v>
      </c>
      <c r="D81" s="34" t="n">
        <f aca="false">D65-D72/D78</f>
        <v>0.0044660374046511</v>
      </c>
      <c r="E81" s="11"/>
      <c r="F81" s="11"/>
      <c r="G81" s="11"/>
      <c r="H81" s="11"/>
      <c r="I81" s="11"/>
      <c r="J81" s="11"/>
      <c r="K81" s="11"/>
      <c r="L81" s="11"/>
      <c r="M81" s="11"/>
      <c r="N81" s="11"/>
    </row>
    <row r="82" customFormat="false" ht="14.25" hidden="false" customHeight="true" outlineLevel="0" collapsed="false">
      <c r="C82" s="11" t="s">
        <v>2426</v>
      </c>
      <c r="D82" s="32" t="n">
        <f aca="false">D73/D76</f>
        <v>22.6315444065551</v>
      </c>
      <c r="E82" s="11"/>
      <c r="F82" s="11"/>
      <c r="G82" s="11"/>
      <c r="H82" s="11"/>
      <c r="I82" s="11"/>
      <c r="J82" s="11"/>
      <c r="K82" s="11"/>
      <c r="L82" s="11"/>
      <c r="M82" s="11"/>
      <c r="N82" s="11"/>
    </row>
    <row r="83" customFormat="false" ht="14.25" hidden="false" customHeight="true" outlineLevel="0" collapsed="false">
      <c r="C83" s="11"/>
      <c r="D83" s="11"/>
      <c r="E83" s="11"/>
      <c r="F83" s="11"/>
      <c r="G83" s="11"/>
      <c r="H83" s="11"/>
      <c r="I83" s="11"/>
      <c r="J83" s="11"/>
      <c r="K83" s="11"/>
      <c r="L83" s="11"/>
      <c r="M83" s="11"/>
      <c r="N83" s="11"/>
    </row>
    <row r="84" customFormat="false" ht="14.25" hidden="false" customHeight="true" outlineLevel="0" collapsed="false">
      <c r="A84" s="22" t="s">
        <v>11</v>
      </c>
      <c r="C84" s="138" t="s">
        <v>2427</v>
      </c>
      <c r="D84" s="54"/>
      <c r="E84" s="54"/>
      <c r="F84" s="54"/>
      <c r="G84" s="54"/>
      <c r="H84" s="54"/>
      <c r="I84" s="54"/>
      <c r="J84" s="54"/>
      <c r="K84" s="54"/>
      <c r="L84" s="54"/>
      <c r="M84" s="54"/>
      <c r="N84" s="54"/>
    </row>
    <row r="85" customFormat="false" ht="14.25" hidden="false" customHeight="true" outlineLevel="0" collapsed="false">
      <c r="C85" s="10" t="s">
        <v>2428</v>
      </c>
      <c r="D85" s="11"/>
      <c r="E85" s="11"/>
      <c r="F85" s="11"/>
      <c r="G85" s="11"/>
      <c r="H85" s="11"/>
      <c r="I85" s="11"/>
      <c r="J85" s="11"/>
      <c r="K85" s="11"/>
      <c r="L85" s="11"/>
      <c r="M85" s="11"/>
      <c r="N85" s="11"/>
    </row>
    <row r="86" customFormat="false" ht="14.25" hidden="false" customHeight="true" outlineLevel="0" collapsed="false">
      <c r="C86" s="11" t="s">
        <v>2429</v>
      </c>
      <c r="D86" s="32" t="n">
        <f aca="false">COLUMN()-3</f>
        <v>1</v>
      </c>
      <c r="E86" s="32" t="n">
        <f aca="false">COLUMN()-3</f>
        <v>2</v>
      </c>
      <c r="F86" s="32" t="n">
        <f aca="false">COLUMN()-3</f>
        <v>3</v>
      </c>
      <c r="G86" s="32" t="n">
        <f aca="false">COLUMN()-3</f>
        <v>4</v>
      </c>
      <c r="H86" s="32" t="n">
        <f aca="false">COLUMN()-3</f>
        <v>5</v>
      </c>
      <c r="I86" s="32" t="n">
        <f aca="false">COLUMN()-3</f>
        <v>6</v>
      </c>
      <c r="J86" s="32" t="n">
        <f aca="false">COLUMN()-3</f>
        <v>7</v>
      </c>
      <c r="K86" s="32" t="n">
        <f aca="false">COLUMN()-3</f>
        <v>8</v>
      </c>
      <c r="L86" s="32" t="n">
        <f aca="false">COLUMN()-3</f>
        <v>9</v>
      </c>
      <c r="M86" s="32" t="n">
        <f aca="false">COLUMN()-3</f>
        <v>10</v>
      </c>
      <c r="N86" s="11"/>
    </row>
    <row r="87" customFormat="false" ht="14.25" hidden="false" customHeight="true" outlineLevel="0" collapsed="false">
      <c r="C87" s="11" t="s">
        <v>2430</v>
      </c>
      <c r="D87" s="34" t="n">
        <f aca="false">1/(1+D65)^D86</f>
        <v>0.943704820067122</v>
      </c>
      <c r="E87" s="34" t="n">
        <f aca="false">1/(1+D65)^E86</f>
        <v>0.89057878741792</v>
      </c>
      <c r="F87" s="34" t="n">
        <f aca="false">1/(1+D65)^F86</f>
        <v>0.840443494335824</v>
      </c>
      <c r="G87" s="34" t="n">
        <f aca="false">1/(1+D65)^G86</f>
        <v>0.793130576598772</v>
      </c>
      <c r="H87" s="34" t="n">
        <f aca="false">1/(1+D65)^H86</f>
        <v>0.748481148078877</v>
      </c>
      <c r="I87" s="34" t="n">
        <f aca="false">1/(1+$D$65)^I86</f>
        <v>0.70634526717141</v>
      </c>
      <c r="J87" s="34" t="n">
        <f aca="false">1/(1+$D$65)^J86</f>
        <v>0.666581433261259</v>
      </c>
      <c r="K87" s="34" t="n">
        <f aca="false">1/(1+$D$65)^K86</f>
        <v>0.629056111535901</v>
      </c>
      <c r="L87" s="34" t="n">
        <f aca="false">1/(1+$D$65)^L86</f>
        <v>0.593643284549111</v>
      </c>
      <c r="M87" s="34" t="n">
        <f aca="false">1/(1+$D$65)^M86</f>
        <v>0.560224029029474</v>
      </c>
      <c r="N87" s="11"/>
    </row>
    <row r="88" customFormat="false" ht="14.25" hidden="false" customHeight="true" outlineLevel="0" collapsed="false">
      <c r="A88" s="22" t="s">
        <v>11</v>
      </c>
      <c r="C88" s="71" t="s">
        <v>2431</v>
      </c>
      <c r="D88" s="80" t="n">
        <f aca="false">D29*D87</f>
        <v>529.445544766528</v>
      </c>
      <c r="E88" s="80" t="n">
        <f aca="false">E29*E87</f>
        <v>164.956481649336</v>
      </c>
      <c r="F88" s="80" t="n">
        <f aca="false">F29*F87</f>
        <v>186.036578982359</v>
      </c>
      <c r="G88" s="80" t="n">
        <f aca="false">G29*G87</f>
        <v>198.438613833106</v>
      </c>
      <c r="H88" s="80" t="n">
        <f aca="false">H29*H87</f>
        <v>202.0060771483</v>
      </c>
      <c r="I88" s="80" t="n">
        <f aca="false">I29*I87</f>
        <v>355.248404724425</v>
      </c>
      <c r="J88" s="80" t="n">
        <f aca="false">J29*J87</f>
        <v>373.722697365066</v>
      </c>
      <c r="K88" s="80" t="n">
        <f aca="false">K29*K87</f>
        <v>360.715450162787</v>
      </c>
      <c r="L88" s="80" t="n">
        <f aca="false">L29*L87</f>
        <v>348.339362857125</v>
      </c>
      <c r="M88" s="80" t="n">
        <f aca="false">M29*M87</f>
        <v>336.556501825888</v>
      </c>
      <c r="N88" s="54"/>
    </row>
    <row r="89" customFormat="false" ht="14.25" hidden="false" customHeight="true" outlineLevel="0" collapsed="false">
      <c r="C89" s="11" t="s">
        <v>2432</v>
      </c>
      <c r="D89" s="32" t="n">
        <f aca="false">SUM(D88:M88)</f>
        <v>3055.46571331492</v>
      </c>
      <c r="E89" s="11"/>
      <c r="F89" s="11"/>
      <c r="G89" s="11"/>
      <c r="H89" s="11"/>
      <c r="I89" s="11"/>
      <c r="J89" s="11"/>
      <c r="K89" s="11"/>
      <c r="L89" s="11"/>
      <c r="M89" s="11"/>
      <c r="N89" s="11"/>
    </row>
    <row r="90" customFormat="false" ht="14.25" hidden="false" customHeight="true" outlineLevel="0" collapsed="false">
      <c r="C90" s="11"/>
      <c r="D90" s="11"/>
      <c r="E90" s="11"/>
      <c r="F90" s="11"/>
      <c r="G90" s="11"/>
      <c r="H90" s="11"/>
      <c r="I90" s="11"/>
      <c r="J90" s="11"/>
      <c r="K90" s="11"/>
      <c r="L90" s="11"/>
      <c r="M90" s="11"/>
      <c r="N90" s="11"/>
    </row>
    <row r="91" customFormat="false" ht="14.25" hidden="false" customHeight="true" outlineLevel="0" collapsed="false">
      <c r="C91" s="10" t="s">
        <v>2433</v>
      </c>
      <c r="D91" s="11"/>
      <c r="E91" s="11"/>
      <c r="F91" s="11"/>
      <c r="G91" s="11"/>
      <c r="H91" s="11"/>
      <c r="I91" s="11"/>
      <c r="J91" s="11"/>
      <c r="K91" s="11"/>
      <c r="L91" s="11"/>
      <c r="M91" s="11"/>
      <c r="N91" s="11"/>
    </row>
    <row r="92" customFormat="false" ht="14.25" hidden="false" customHeight="true" outlineLevel="0" collapsed="false">
      <c r="C92" s="11" t="s">
        <v>2434</v>
      </c>
      <c r="D92" s="32" t="n">
        <f aca="false">D73/(1+D65)^M86</f>
        <v>24355.821140575</v>
      </c>
      <c r="E92" s="11"/>
      <c r="F92" s="11"/>
      <c r="G92" s="11"/>
      <c r="H92" s="11"/>
      <c r="I92" s="11"/>
      <c r="J92" s="11"/>
      <c r="K92" s="11"/>
      <c r="L92" s="11"/>
      <c r="M92" s="11"/>
      <c r="N92" s="11"/>
    </row>
    <row r="93" customFormat="false" ht="14.25" hidden="false" customHeight="true" outlineLevel="0" collapsed="false">
      <c r="A93" s="22" t="s">
        <v>11</v>
      </c>
      <c r="C93" s="71" t="s">
        <v>2435</v>
      </c>
      <c r="D93" s="80" t="n">
        <f aca="false">D78/(1+D65)^M86</f>
        <v>10880.2716822053</v>
      </c>
      <c r="E93" s="54"/>
      <c r="F93" s="54"/>
      <c r="G93" s="54"/>
      <c r="H93" s="54"/>
      <c r="I93" s="54"/>
      <c r="J93" s="54"/>
      <c r="K93" s="54"/>
      <c r="L93" s="54"/>
      <c r="M93" s="54"/>
      <c r="N93" s="54"/>
    </row>
    <row r="94" customFormat="false" ht="14.25" hidden="false" customHeight="true" outlineLevel="0" collapsed="false">
      <c r="C94" s="11"/>
      <c r="D94" s="11"/>
      <c r="E94" s="11"/>
      <c r="F94" s="11"/>
      <c r="G94" s="11"/>
      <c r="H94" s="11"/>
      <c r="I94" s="11"/>
      <c r="J94" s="11"/>
      <c r="K94" s="11"/>
      <c r="L94" s="11"/>
      <c r="M94" s="11"/>
      <c r="N94" s="11"/>
    </row>
    <row r="95" customFormat="false" ht="14.25" hidden="false" customHeight="true" outlineLevel="0" collapsed="false">
      <c r="C95" s="10" t="s">
        <v>2436</v>
      </c>
      <c r="D95" s="11"/>
      <c r="E95" s="11"/>
      <c r="F95" s="11"/>
      <c r="G95" s="11"/>
      <c r="H95" s="11"/>
      <c r="I95" s="11"/>
      <c r="J95" s="11"/>
      <c r="K95" s="11"/>
      <c r="L95" s="11"/>
      <c r="M95" s="11"/>
      <c r="N95" s="11"/>
    </row>
    <row r="96" customFormat="false" ht="14.25" hidden="false" customHeight="true" outlineLevel="0" collapsed="false">
      <c r="A96" s="22" t="s">
        <v>11</v>
      </c>
      <c r="C96" s="71" t="s">
        <v>2437</v>
      </c>
      <c r="D96" s="145" t="n">
        <f aca="false">D89+D92</f>
        <v>27411.2868538899</v>
      </c>
      <c r="E96" s="54"/>
      <c r="F96" s="54"/>
      <c r="G96" s="54"/>
      <c r="H96" s="54"/>
      <c r="I96" s="54"/>
      <c r="J96" s="54"/>
      <c r="K96" s="54"/>
      <c r="L96" s="54"/>
      <c r="M96" s="54"/>
      <c r="N96" s="54"/>
    </row>
    <row r="97" customFormat="false" ht="14.25" hidden="false" customHeight="true" outlineLevel="0" collapsed="false">
      <c r="C97" s="11" t="s">
        <v>2438</v>
      </c>
      <c r="D97" s="65" t="n">
        <f aca="false">D89+D93</f>
        <v>13935.7373955202</v>
      </c>
      <c r="E97" s="11"/>
      <c r="F97" s="11"/>
      <c r="G97" s="11"/>
      <c r="H97" s="11"/>
      <c r="I97" s="11"/>
      <c r="J97" s="11"/>
      <c r="K97" s="11"/>
      <c r="L97" s="11"/>
      <c r="M97" s="11"/>
      <c r="N97" s="11"/>
    </row>
    <row r="98" customFormat="false" ht="14.25" hidden="false" customHeight="true" outlineLevel="0" collapsed="false">
      <c r="C98" s="11"/>
      <c r="D98" s="11"/>
      <c r="E98" s="11"/>
      <c r="F98" s="11"/>
      <c r="G98" s="11"/>
      <c r="H98" s="11"/>
      <c r="I98" s="11"/>
      <c r="J98" s="11"/>
      <c r="K98" s="11"/>
      <c r="L98" s="11"/>
      <c r="M98" s="11"/>
      <c r="N98" s="11"/>
    </row>
    <row r="99" customFormat="false" ht="14.25" hidden="false" customHeight="true" outlineLevel="0" collapsed="false">
      <c r="C99" s="10" t="s">
        <v>2439</v>
      </c>
      <c r="D99" s="11"/>
      <c r="E99" s="11"/>
      <c r="F99" s="11"/>
      <c r="G99" s="11"/>
      <c r="H99" s="11"/>
      <c r="I99" s="11"/>
      <c r="J99" s="11"/>
      <c r="K99" s="11"/>
      <c r="L99" s="11"/>
      <c r="M99" s="11"/>
      <c r="N99" s="11"/>
    </row>
    <row r="100" customFormat="false" ht="14.25" hidden="false" customHeight="true" outlineLevel="0" collapsed="false">
      <c r="C100" s="11" t="s">
        <v>2440</v>
      </c>
      <c r="D100" s="34" t="n">
        <f aca="false">D92/D96</f>
        <v>0.888532569463031</v>
      </c>
      <c r="E100" s="41" t="str">
        <f aca="false">IF(D100&gt;Drivers!$C$423,"FLAG: TV &gt;75% of EV","OK")</f>
        <v>FLAG: TV &gt;75% of EV</v>
      </c>
      <c r="F100" s="11"/>
      <c r="G100" s="11"/>
      <c r="H100" s="11"/>
      <c r="I100" s="11"/>
      <c r="J100" s="11"/>
      <c r="K100" s="11"/>
      <c r="L100" s="11"/>
      <c r="M100" s="11"/>
      <c r="N100" s="11"/>
    </row>
    <row r="101" customFormat="false" ht="14.25" hidden="false" customHeight="true" outlineLevel="0" collapsed="false">
      <c r="A101" s="22" t="s">
        <v>11</v>
      </c>
      <c r="C101" s="71" t="s">
        <v>2441</v>
      </c>
      <c r="D101" s="146" t="n">
        <f aca="false">D93/D97</f>
        <v>0.780746032549585</v>
      </c>
      <c r="E101" s="147" t="str">
        <f aca="false">IF(D101&gt;Drivers!$C$423,"FLAG: TV &gt;75% of EV","OK")</f>
        <v>FLAG: TV &gt;75% of EV</v>
      </c>
      <c r="F101" s="54"/>
      <c r="G101" s="54"/>
      <c r="H101" s="54"/>
      <c r="I101" s="54"/>
      <c r="J101" s="54"/>
      <c r="K101" s="54"/>
      <c r="L101" s="54"/>
      <c r="M101" s="54"/>
      <c r="N101" s="54"/>
    </row>
    <row r="102" customFormat="false" ht="14.25" hidden="false" customHeight="true" outlineLevel="0" collapsed="false">
      <c r="C102" s="11"/>
      <c r="D102" s="11"/>
      <c r="E102" s="11"/>
      <c r="F102" s="11"/>
      <c r="G102" s="11"/>
      <c r="H102" s="11"/>
      <c r="I102" s="11"/>
      <c r="J102" s="11"/>
      <c r="K102" s="11"/>
      <c r="L102" s="11"/>
      <c r="M102" s="11"/>
      <c r="N102" s="11"/>
    </row>
    <row r="103" customFormat="false" ht="14.25" hidden="false" customHeight="true" outlineLevel="0" collapsed="false">
      <c r="C103" s="10" t="s">
        <v>2442</v>
      </c>
      <c r="D103" s="11"/>
      <c r="E103" s="11"/>
      <c r="F103" s="11"/>
      <c r="G103" s="11"/>
      <c r="H103" s="11"/>
      <c r="I103" s="11"/>
      <c r="J103" s="11"/>
      <c r="K103" s="11"/>
      <c r="L103" s="11"/>
      <c r="M103" s="11"/>
      <c r="N103" s="11"/>
    </row>
    <row r="104" customFormat="false" ht="14.25" hidden="false" customHeight="true" outlineLevel="0" collapsed="false">
      <c r="C104" s="11" t="s">
        <v>2443</v>
      </c>
      <c r="D104" s="32" t="n">
        <f aca="false">D96</f>
        <v>27411.2868538899</v>
      </c>
      <c r="E104" s="11"/>
      <c r="F104" s="11"/>
      <c r="G104" s="11"/>
      <c r="H104" s="11"/>
      <c r="I104" s="11"/>
      <c r="J104" s="11"/>
      <c r="K104" s="11"/>
      <c r="L104" s="11"/>
      <c r="M104" s="11"/>
      <c r="N104" s="11"/>
    </row>
    <row r="105" customFormat="false" ht="14.25" hidden="false" customHeight="true" outlineLevel="0" collapsed="false">
      <c r="C105" s="11" t="s">
        <v>2444</v>
      </c>
      <c r="D105" s="42" t="n">
        <f aca="false">-Drivers!$C$396</f>
        <v>-12289.3</v>
      </c>
      <c r="E105" s="11"/>
      <c r="F105" s="11"/>
      <c r="G105" s="11"/>
      <c r="H105" s="11"/>
      <c r="I105" s="11"/>
      <c r="J105" s="11"/>
      <c r="K105" s="11"/>
      <c r="L105" s="11"/>
      <c r="M105" s="11"/>
      <c r="N105" s="11"/>
    </row>
    <row r="106" customFormat="false" ht="14.25" hidden="false" customHeight="true" outlineLevel="0" collapsed="false">
      <c r="C106" s="11" t="s">
        <v>2445</v>
      </c>
      <c r="D106" s="42" t="n">
        <f aca="false">-Drivers!$C$395</f>
        <v>-44</v>
      </c>
      <c r="E106" s="11"/>
      <c r="F106" s="11"/>
      <c r="G106" s="11"/>
      <c r="H106" s="11"/>
      <c r="I106" s="11"/>
      <c r="J106" s="11"/>
      <c r="K106" s="11"/>
      <c r="L106" s="11"/>
      <c r="M106" s="11"/>
      <c r="N106" s="11"/>
    </row>
    <row r="107" customFormat="false" ht="14.25" hidden="false" customHeight="true" outlineLevel="0" collapsed="false">
      <c r="C107" s="11" t="s">
        <v>2446</v>
      </c>
      <c r="D107" s="42" t="n">
        <f aca="false">-Drivers!$C$394</f>
        <v>-143.8</v>
      </c>
      <c r="E107" s="11"/>
      <c r="F107" s="11"/>
      <c r="G107" s="11"/>
      <c r="H107" s="11"/>
      <c r="I107" s="11"/>
      <c r="J107" s="11"/>
      <c r="K107" s="11"/>
      <c r="L107" s="11"/>
      <c r="M107" s="11"/>
      <c r="N107" s="11"/>
    </row>
    <row r="108" customFormat="false" ht="14.25" hidden="false" customHeight="true" outlineLevel="0" collapsed="false">
      <c r="C108" s="11" t="s">
        <v>2447</v>
      </c>
      <c r="D108" s="42" t="n">
        <f aca="false">-Drivers!$C$401*Drivers!$C$402</f>
        <v>-1245.89018691589</v>
      </c>
      <c r="E108" s="11"/>
      <c r="F108" s="11"/>
      <c r="G108" s="11"/>
      <c r="H108" s="11"/>
      <c r="I108" s="11"/>
      <c r="J108" s="11"/>
      <c r="K108" s="11"/>
      <c r="L108" s="11"/>
      <c r="M108" s="11"/>
      <c r="N108" s="11"/>
    </row>
    <row r="109" customFormat="false" ht="14.25" hidden="false" customHeight="true" outlineLevel="0" collapsed="false">
      <c r="C109" s="11" t="s">
        <v>2448</v>
      </c>
      <c r="D109" s="61" t="n">
        <f aca="false">-Drivers!$C$401*Drivers!$C$403</f>
        <v>-1248.525</v>
      </c>
      <c r="E109" s="11"/>
      <c r="F109" s="11"/>
      <c r="G109" s="11"/>
      <c r="H109" s="11"/>
      <c r="I109" s="11"/>
      <c r="J109" s="11"/>
      <c r="K109" s="11"/>
      <c r="L109" s="11"/>
      <c r="M109" s="11"/>
      <c r="N109" s="11"/>
    </row>
    <row r="110" customFormat="false" ht="14.25" hidden="false" customHeight="true" outlineLevel="0" collapsed="false">
      <c r="C110" s="11" t="s">
        <v>2449</v>
      </c>
      <c r="D110" s="42" t="n">
        <f aca="false">Drivers!$C$393</f>
        <v>747.1</v>
      </c>
      <c r="E110" s="11"/>
      <c r="F110" s="11"/>
      <c r="G110" s="11"/>
      <c r="H110" s="11"/>
      <c r="I110" s="11"/>
      <c r="J110" s="11"/>
      <c r="K110" s="11"/>
      <c r="L110" s="11"/>
      <c r="M110" s="11"/>
      <c r="N110" s="11"/>
    </row>
    <row r="111" customFormat="false" ht="14.25" hidden="false" customHeight="true" outlineLevel="0" collapsed="false">
      <c r="C111" s="11" t="s">
        <v>2450</v>
      </c>
      <c r="D111" s="41" t="n">
        <f aca="false">Drivers!$C$575</f>
        <v>1994.30199430199</v>
      </c>
      <c r="E111" s="11"/>
      <c r="F111" s="11"/>
      <c r="G111" s="11"/>
      <c r="H111" s="11"/>
      <c r="I111" s="11"/>
      <c r="J111" s="11"/>
      <c r="K111" s="11"/>
      <c r="L111" s="11"/>
      <c r="M111" s="11"/>
      <c r="N111" s="11"/>
    </row>
    <row r="112" customFormat="false" ht="14.25" hidden="false" customHeight="true" outlineLevel="0" collapsed="false">
      <c r="C112" s="11" t="s">
        <v>2451</v>
      </c>
      <c r="D112" s="148" t="n">
        <f aca="false">Drivers!$C$576</f>
        <v>2451</v>
      </c>
      <c r="E112" s="11"/>
      <c r="F112" s="11"/>
      <c r="G112" s="11"/>
      <c r="H112" s="11"/>
      <c r="I112" s="11"/>
      <c r="J112" s="11"/>
      <c r="K112" s="11"/>
      <c r="L112" s="11"/>
      <c r="M112" s="11"/>
      <c r="N112" s="11"/>
    </row>
    <row r="113" customFormat="false" ht="14.25" hidden="false" customHeight="true" outlineLevel="0" collapsed="false">
      <c r="C113" s="11" t="s">
        <v>2452</v>
      </c>
      <c r="D113" s="42" t="n">
        <f aca="false">Drivers!$C$577</f>
        <v>1994.30199430199</v>
      </c>
      <c r="E113" s="11"/>
      <c r="F113" s="11"/>
      <c r="G113" s="11"/>
      <c r="H113" s="11"/>
      <c r="I113" s="11"/>
      <c r="J113" s="11"/>
      <c r="K113" s="11"/>
      <c r="L113" s="11"/>
      <c r="M113" s="11"/>
      <c r="N113" s="11"/>
    </row>
    <row r="114" customFormat="false" ht="14.25" hidden="false" customHeight="true" outlineLevel="0" collapsed="false">
      <c r="C114" s="141" t="s">
        <v>2453</v>
      </c>
      <c r="D114" s="144" t="n">
        <f aca="false">D104+D105+D106+D107+D108+D110+D113</f>
        <v>16429.698661276</v>
      </c>
      <c r="E114" s="11"/>
      <c r="F114" s="11"/>
      <c r="G114" s="11"/>
      <c r="H114" s="11"/>
      <c r="I114" s="11"/>
      <c r="J114" s="11"/>
      <c r="K114" s="11"/>
      <c r="L114" s="11"/>
      <c r="M114" s="11"/>
      <c r="N114" s="11"/>
    </row>
    <row r="115" customFormat="false" ht="14.25" hidden="false" customHeight="true" outlineLevel="0" collapsed="false">
      <c r="C115" s="11" t="s">
        <v>2454</v>
      </c>
      <c r="D115" s="149" t="n">
        <f aca="false">D104+D105+D106+D107+D109+D110+D112</f>
        <v>16883.7618538899</v>
      </c>
      <c r="E115" s="11"/>
      <c r="F115" s="11"/>
      <c r="G115" s="11"/>
      <c r="H115" s="11"/>
      <c r="I115" s="11"/>
      <c r="J115" s="11"/>
      <c r="K115" s="11"/>
      <c r="L115" s="11"/>
      <c r="M115" s="11"/>
      <c r="N115" s="11"/>
    </row>
    <row r="116" customFormat="false" ht="14.25" hidden="false" customHeight="true" outlineLevel="0" collapsed="false">
      <c r="C116" s="11" t="s">
        <v>1651</v>
      </c>
      <c r="D116" s="42" t="n">
        <f aca="false">Drivers!C77</f>
        <v>35.8</v>
      </c>
      <c r="E116" s="11"/>
      <c r="F116" s="11"/>
      <c r="G116" s="11"/>
      <c r="H116" s="11"/>
      <c r="I116" s="11"/>
      <c r="J116" s="11"/>
      <c r="K116" s="11"/>
      <c r="L116" s="11"/>
      <c r="M116" s="11"/>
      <c r="N116" s="11"/>
    </row>
    <row r="117" customFormat="false" ht="14.25" hidden="false" customHeight="true" outlineLevel="0" collapsed="false">
      <c r="C117" s="11" t="s">
        <v>2455</v>
      </c>
      <c r="D117" s="11"/>
      <c r="E117" s="11"/>
      <c r="F117" s="11"/>
      <c r="G117" s="11"/>
      <c r="H117" s="11"/>
      <c r="I117" s="11"/>
      <c r="J117" s="11"/>
      <c r="K117" s="11"/>
      <c r="L117" s="11"/>
      <c r="M117" s="11"/>
      <c r="N117" s="11"/>
    </row>
    <row r="118" customFormat="false" ht="14.25" hidden="false" customHeight="true" outlineLevel="0" collapsed="false">
      <c r="C118" s="141" t="s">
        <v>2456</v>
      </c>
      <c r="D118" s="150" t="n">
        <f aca="false">D114/D116</f>
        <v>458.930130203241</v>
      </c>
      <c r="E118" s="11"/>
      <c r="F118" s="11"/>
      <c r="G118" s="11"/>
      <c r="H118" s="11"/>
      <c r="I118" s="11"/>
      <c r="J118" s="11"/>
      <c r="K118" s="11"/>
      <c r="L118" s="11"/>
      <c r="M118" s="11"/>
      <c r="N118" s="11"/>
    </row>
    <row r="119" customFormat="false" ht="14.25" hidden="false" customHeight="true" outlineLevel="0" collapsed="false">
      <c r="A119" s="22" t="s">
        <v>11</v>
      </c>
      <c r="C119" s="71" t="s">
        <v>2457</v>
      </c>
      <c r="D119" s="151" t="n">
        <f aca="false">D115/D116</f>
        <v>471.613459605864</v>
      </c>
      <c r="E119" s="54"/>
      <c r="F119" s="54"/>
      <c r="G119" s="54"/>
      <c r="H119" s="54"/>
      <c r="I119" s="54"/>
      <c r="J119" s="54"/>
      <c r="K119" s="54"/>
      <c r="L119" s="54"/>
      <c r="M119" s="54"/>
      <c r="N119" s="54"/>
    </row>
    <row r="120" customFormat="false" ht="14.25" hidden="false" customHeight="true" outlineLevel="0" collapsed="false">
      <c r="C120" s="11" t="s">
        <v>2458</v>
      </c>
      <c r="D120" s="130" t="n">
        <f aca="false">(D97+D105+D106+D107+D108+D110+D113)/D116</f>
        <v>82.5181341593946</v>
      </c>
      <c r="E120" s="11"/>
      <c r="F120" s="11"/>
      <c r="G120" s="11"/>
      <c r="H120" s="11"/>
      <c r="I120" s="11"/>
      <c r="J120" s="11"/>
      <c r="K120" s="11"/>
      <c r="L120" s="11"/>
      <c r="M120" s="11"/>
      <c r="N120" s="11"/>
    </row>
    <row r="121" customFormat="false" ht="14.25" hidden="false" customHeight="true" outlineLevel="0" collapsed="false">
      <c r="C121" s="11"/>
      <c r="D121" s="11"/>
      <c r="E121" s="11"/>
      <c r="F121" s="11"/>
      <c r="G121" s="11"/>
      <c r="H121" s="11"/>
      <c r="I121" s="11"/>
      <c r="J121" s="11"/>
      <c r="K121" s="11"/>
      <c r="L121" s="11"/>
      <c r="M121" s="11"/>
      <c r="N121" s="11"/>
    </row>
    <row r="122" customFormat="false" ht="14.25" hidden="false" customHeight="true" outlineLevel="0" collapsed="false">
      <c r="A122" s="22" t="s">
        <v>11</v>
      </c>
      <c r="C122" s="138" t="s">
        <v>2459</v>
      </c>
      <c r="D122" s="54"/>
      <c r="E122" s="54"/>
      <c r="F122" s="54"/>
      <c r="G122" s="54"/>
      <c r="H122" s="54"/>
      <c r="I122" s="54"/>
      <c r="J122" s="54"/>
      <c r="K122" s="54"/>
      <c r="L122" s="54"/>
      <c r="M122" s="54"/>
      <c r="N122" s="54"/>
    </row>
    <row r="123" customFormat="false" ht="14.25" hidden="false" customHeight="true" outlineLevel="0" collapsed="false">
      <c r="C123" s="10" t="s">
        <v>2460</v>
      </c>
      <c r="D123" s="11"/>
      <c r="E123" s="11"/>
      <c r="F123" s="11"/>
      <c r="G123" s="11"/>
      <c r="H123" s="11"/>
      <c r="I123" s="11"/>
      <c r="J123" s="11"/>
      <c r="K123" s="11"/>
      <c r="L123" s="11"/>
      <c r="M123" s="11"/>
      <c r="N123" s="11"/>
    </row>
    <row r="124" customFormat="false" ht="14.25" hidden="false" customHeight="true" outlineLevel="0" collapsed="false">
      <c r="A124" s="22" t="s">
        <v>11</v>
      </c>
      <c r="C124" s="71" t="s">
        <v>2461</v>
      </c>
      <c r="D124" s="147" t="n">
        <f aca="false">Drivers!$C$397-Drivers!$C$425</f>
        <v>0.03</v>
      </c>
      <c r="E124" s="147" t="n">
        <f aca="false">Drivers!$C$397-Drivers!$C$424</f>
        <v>0.0325</v>
      </c>
      <c r="F124" s="147" t="n">
        <f aca="false">Drivers!$C$397</f>
        <v>0.035</v>
      </c>
      <c r="G124" s="147" t="n">
        <f aca="false">Drivers!$C$397+Drivers!$C$424</f>
        <v>0.0375</v>
      </c>
      <c r="H124" s="147" t="n">
        <f aca="false">Drivers!$C$397+Drivers!$C$425</f>
        <v>0.04</v>
      </c>
      <c r="I124" s="54"/>
      <c r="J124" s="54"/>
      <c r="K124" s="54"/>
      <c r="L124" s="54"/>
      <c r="M124" s="54"/>
      <c r="N124" s="54"/>
    </row>
    <row r="125" customFormat="false" ht="14.25" hidden="false" customHeight="true" outlineLevel="0" collapsed="false">
      <c r="C125" s="152" t="n">
        <f aca="false">D65-Drivers!$C$429</f>
        <v>0.0496533775559964</v>
      </c>
      <c r="D125" s="32" t="n">
        <f aca="false">(D$29/(1+$C$125)^D$86+E$29/(1+$C$125)^E$86+F$29/(1+$C$125)^F$86+G$29/(1+$C$125)^G$86+H$29/(1+$C$125)^H$86+I$29/(1+$C$125)^I$86+J$29/(1+$C$125)^J$86+K$29/(1+$C$125)^K$86+L$29/(1+$C$125)^L$86+M$29/(1+$C$125)^M$86+(N$29/($C$125-D$124))/(1+$C$125)^M$86+$D$105+$D$106+$D$107+$D$108+$D$110+$D$113)/$D$116</f>
        <v>721.652696323675</v>
      </c>
      <c r="E125" s="32" t="n">
        <f aca="false">(D$29/(1+$C$125)^D$86+E$29/(1+$C$125)^E$86+F$29/(1+$C$125)^F$86+G$29/(1+$C$125)^G$86+H$29/(1+$C$125)^H$86+I$29/(1+$C$125)^I$86+J$29/(1+$C$125)^J$86+K$29/(1+$C$125)^K$86+L$29/(1+$C$125)^L$86+M$29/(1+$C$125)^M$86+(N$29/($C$125-E$124))/(1+$C$125)^M$86+$D$105+$D$106+$D$107+$D$108+$D$110+$D$113)/$D$116</f>
        <v>858.403073371234</v>
      </c>
      <c r="F125" s="32" t="n">
        <f aca="false">(D$29/(1+$C$125)^D$86+E$29/(1+$C$125)^E$86+F$29/(1+$C$125)^F$86+G$29/(1+$C$125)^G$86+H$29/(1+$C$125)^H$86+I$29/(1+$C$125)^I$86+J$29/(1+$C$125)^J$86+K$29/(1+$C$125)^K$86+L$29/(1+$C$125)^L$86+M$29/(1+$C$125)^M$86+(N$29/($C$125-F$124))/(1+$C$125)^M$86+$D$105+$D$106+$D$107+$D$108+$D$110+$D$113)/$D$116</f>
        <v>1041.81517619668</v>
      </c>
      <c r="G125" s="32" t="n">
        <f aca="false">(D$29/(1+$C$125)^D$86+E$29/(1+$C$125)^E$86+F$29/(1+$C$125)^F$86+G$29/(1+$C$125)^G$86+H$29/(1+$C$125)^H$86+I$29/(1+$C$125)^I$86+J$29/(1+$C$125)^J$86+K$29/(1+$C$125)^K$86+L$29/(1+$C$125)^L$86+M$29/(1+$C$125)^M$86+(N$29/($C$125-G$124))/(1+$C$125)^M$86+$D$105+$D$106+$D$107+$D$108+$D$110+$D$113)/$D$116</f>
        <v>1300.68453441488</v>
      </c>
      <c r="H125" s="32" t="n">
        <f aca="false">(D$29/(1+$C$125)^D$86+E$29/(1+$C$125)^E$86+F$29/(1+$C$125)^F$86+G$29/(1+$C$125)^G$86+H$29/(1+$C$125)^H$86+I$29/(1+$C$125)^I$86+J$29/(1+$C$125)^J$86+K$29/(1+$C$125)^K$86+L$29/(1+$C$125)^L$86+M$29/(1+$C$125)^M$86+(N$29/($C$125-H$124))/(1+$C$125)^M$86+$D$105+$D$106+$D$107+$D$108+$D$110+$D$113)/$D$116</f>
        <v>1693.63616420929</v>
      </c>
      <c r="I125" s="11"/>
      <c r="J125" s="11"/>
      <c r="K125" s="11"/>
      <c r="L125" s="11"/>
      <c r="M125" s="11"/>
      <c r="N125" s="11"/>
    </row>
    <row r="126" customFormat="false" ht="14.25" hidden="false" customHeight="true" outlineLevel="0" collapsed="false">
      <c r="C126" s="152" t="n">
        <f aca="false">D65-Drivers!$C$428</f>
        <v>0.0521533775559964</v>
      </c>
      <c r="D126" s="32" t="n">
        <f aca="false">(D$29/(1+$C$126)^D$86+E$29/(1+$C$126)^E$86+F$29/(1+$C$126)^F$86+G$29/(1+$C$126)^G$86+H$29/(1+$C$126)^H$86+I$29/(1+$C$126)^I$86+J$29/(1+$C$126)^J$86+K$29/(1+$C$126)^K$86+L$29/(1+$C$126)^L$86+M$29/(1+$C$126)^M$86+(N$29/($C$126-D$124))/(1+$C$126)^M$86+$D$105+$D$106+$D$107+$D$108+$D$110+$D$113)/$D$116</f>
        <v>594.972556366688</v>
      </c>
      <c r="E126" s="32" t="n">
        <f aca="false">(D$29/(1+$C$126)^D$86+E$29/(1+$C$126)^E$86+F$29/(1+$C$126)^F$86+G$29/(1+$C$126)^G$86+H$29/(1+$C$126)^H$86+I$29/(1+$C$126)^I$86+J$29/(1+$C$126)^J$86+K$29/(1+$C$126)^K$86+L$29/(1+$C$126)^L$86+M$29/(1+$C$126)^M$86+(N$29/($C$126-E$124))/(1+$C$126)^M$86+$D$105+$D$106+$D$107+$D$108+$D$110+$D$113)/$D$116</f>
        <v>698.369278053332</v>
      </c>
      <c r="F126" s="32" t="n">
        <f aca="false">(D$29/(1+$C$126)^D$86+E$29/(1+$C$126)^E$86+F$29/(1+$C$126)^F$86+G$29/(1+$C$126)^G$86+H$29/(1+$C$126)^H$86+I$29/(1+$C$126)^I$86+J$29/(1+$C$126)^J$86+K$29/(1+$C$126)^K$86+L$29/(1+$C$126)^L$86+M$29/(1+$C$126)^M$86+(N$29/($C$126-F$124))/(1+$C$126)^M$86+$D$105+$D$106+$D$107+$D$108+$D$110+$D$113)/$D$116</f>
        <v>831.904880945474</v>
      </c>
      <c r="G126" s="32" t="n">
        <f aca="false">(D$29/(1+$C$126)^D$86+E$29/(1+$C$126)^E$86+F$29/(1+$C$126)^F$86+G$29/(1+$C$126)^G$86+H$29/(1+$C$126)^H$86+I$29/(1+$C$126)^I$86+J$29/(1+$C$126)^J$86+K$29/(1+$C$126)^K$86+L$29/(1+$C$126)^L$86+M$29/(1+$C$126)^M$86+(N$29/($C$126-G$124))/(1+$C$126)^M$86+$D$105+$D$106+$D$107+$D$108+$D$110+$D$113)/$D$116</f>
        <v>1011.00526997032</v>
      </c>
      <c r="H126" s="32" t="n">
        <f aca="false">(D$29/(1+$C$126)^D$86+E$29/(1+$C$126)^E$86+F$29/(1+$C$126)^F$86+G$29/(1+$C$126)^G$86+H$29/(1+$C$126)^H$86+I$29/(1+$C$126)^I$86+J$29/(1+$C$126)^J$86+K$29/(1+$C$126)^K$86+L$29/(1+$C$126)^L$86+M$29/(1+$C$126)^M$86+(N$29/($C$126-H$124))/(1+$C$126)^M$86+$D$105+$D$106+$D$107+$D$108+$D$110+$D$113)/$D$116</f>
        <v>1263.78903968487</v>
      </c>
      <c r="I126" s="11"/>
      <c r="J126" s="11"/>
      <c r="K126" s="11"/>
      <c r="L126" s="11"/>
      <c r="M126" s="11"/>
      <c r="N126" s="11"/>
    </row>
    <row r="127" customFormat="false" ht="14.25" hidden="false" customHeight="true" outlineLevel="0" collapsed="false">
      <c r="C127" s="152" t="n">
        <f aca="false">D65-Drivers!$C$427</f>
        <v>0.0546533775559964</v>
      </c>
      <c r="D127" s="32" t="n">
        <f aca="false">(D$29/(1+$C$127)^D$86+E$29/(1+$C$127)^E$86+F$29/(1+$C$127)^F$86+G$29/(1+$C$127)^G$86+H$29/(1+$C$127)^H$86+I$29/(1+$C$127)^I$86+J$29/(1+$C$127)^J$86+K$29/(1+$C$127)^K$86+L$29/(1+$C$127)^L$86+M$29/(1+$C$127)^M$86+(N$29/($C$127-D$124))/(1+$C$127)^M$86+$D$105+$D$106+$D$107+$D$108+$D$110+$D$113)/$D$116</f>
        <v>494.213835545439</v>
      </c>
      <c r="E127" s="32" t="n">
        <f aca="false">(D$29/(1+$C$127)^D$86+E$29/(1+$C$127)^E$86+F$29/(1+$C$127)^F$86+G$29/(1+$C$127)^G$86+H$29/(1+$C$127)^H$86+I$29/(1+$C$127)^I$86+J$29/(1+$C$127)^J$86+K$29/(1+$C$127)^K$86+L$29/(1+$C$127)^L$86+M$29/(1+$C$127)^M$86+(N$29/($C$127-E$124))/(1+$C$127)^M$86+$D$105+$D$106+$D$107+$D$108+$D$110+$D$113)/$D$116</f>
        <v>574.707295951946</v>
      </c>
      <c r="F127" s="32" t="n">
        <f aca="false">(D$29/(1+$C$127)^D$86+E$29/(1+$C$127)^E$86+F$29/(1+$C$127)^F$86+G$29/(1+$C$127)^G$86+H$29/(1+$C$127)^H$86+I$29/(1+$C$127)^I$86+J$29/(1+$C$127)^J$86+K$29/(1+$C$127)^K$86+L$29/(1+$C$127)^L$86+M$29/(1+$C$127)^M$86+(N$29/($C$127-F$124))/(1+$C$127)^M$86+$D$105+$D$106+$D$107+$D$108+$D$110+$D$113)/$D$116</f>
        <v>675.679032974562</v>
      </c>
      <c r="G127" s="32" t="n">
        <f aca="false">(D$29/(1+$C$127)^D$86+E$29/(1+$C$127)^E$86+F$29/(1+$C$127)^F$86+G$29/(1+$C$127)^G$86+H$29/(1+$C$127)^H$86+I$29/(1+$C$127)^I$86+J$29/(1+$C$127)^J$86+K$29/(1+$C$127)^K$86+L$29/(1+$C$127)^L$86+M$29/(1+$C$127)^M$86+(N$29/($C$127-G$124))/(1+$C$127)^M$86+$D$105+$D$106+$D$107+$D$108+$D$110+$D$113)/$D$116</f>
        <v>806.082797798409</v>
      </c>
      <c r="H127" s="32" t="n">
        <f aca="false">(D$29/(1+$C$127)^D$86+E$29/(1+$C$127)^E$86+F$29/(1+$C$127)^F$86+G$29/(1+$C$127)^G$86+H$29/(1+$C$127)^H$86+I$29/(1+$C$127)^I$86+J$29/(1+$C$127)^J$86+K$29/(1+$C$127)^K$86+L$29/(1+$C$127)^L$86+M$29/(1+$C$127)^M$86+(N$29/($C$127-H$124))/(1+$C$127)^M$86+$D$105+$D$106+$D$107+$D$108+$D$110+$D$113)/$D$116</f>
        <v>980.982708417148</v>
      </c>
      <c r="I127" s="11"/>
      <c r="J127" s="11"/>
      <c r="K127" s="11"/>
      <c r="L127" s="11"/>
      <c r="M127" s="11"/>
      <c r="N127" s="11"/>
    </row>
    <row r="128" customFormat="false" ht="14.25" hidden="false" customHeight="true" outlineLevel="0" collapsed="false">
      <c r="C128" s="152" t="n">
        <f aca="false">D65-Drivers!$C$426</f>
        <v>0.0571533775559964</v>
      </c>
      <c r="D128" s="32" t="n">
        <f aca="false">(D$29/(1+$C$128)^D$86+E$29/(1+$C$128)^E$86+F$29/(1+$C$128)^F$86+G$29/(1+$C$128)^G$86+H$29/(1+$C$128)^H$86+I$29/(1+$C$128)^I$86+J$29/(1+$C$128)^J$86+K$29/(1+$C$128)^K$86+L$29/(1+$C$128)^L$86+M$29/(1+$C$128)^M$86+(N$29/($C$128-D$124))/(1+$C$128)^M$86+$D$105+$D$106+$D$107+$D$108+$D$110+$D$113)/$D$116</f>
        <v>412.211343667456</v>
      </c>
      <c r="E128" s="32" t="n">
        <f aca="false">(D$29/(1+$C$128)^D$86+E$29/(1+$C$128)^E$86+F$29/(1+$C$128)^F$86+G$29/(1+$C$128)^G$86+H$29/(1+$C$128)^H$86+I$29/(1+$C$128)^I$86+J$29/(1+$C$128)^J$86+K$29/(1+$C$128)^K$86+L$29/(1+$C$128)^L$86+M$29/(1+$C$128)^M$86+(N$29/($C$128-E$124))/(1+$C$128)^M$86+$D$105+$D$106+$D$107+$D$108+$D$110+$D$113)/$D$116</f>
        <v>476.346203573146</v>
      </c>
      <c r="F128" s="32" t="n">
        <f aca="false">(D$29/(1+$C$128)^D$86+E$29/(1+$C$128)^E$86+F$29/(1+$C$128)^F$86+G$29/(1+$C$128)^G$86+H$29/(1+$C$128)^H$86+I$29/(1+$C$128)^I$86+J$29/(1+$C$128)^J$86+K$29/(1+$C$128)^K$86+L$29/(1+$C$128)^L$86+M$29/(1+$C$128)^M$86+(N$29/($C$128-F$124))/(1+$C$128)^M$86+$D$105+$D$106+$D$107+$D$108+$D$110+$D$113)/$D$116</f>
        <v>554.956251233746</v>
      </c>
      <c r="G128" s="32" t="n">
        <f aca="false">(D$29/(1+$C$128)^D$86+E$29/(1+$C$128)^E$86+F$29/(1+$C$128)^F$86+G$29/(1+$C$128)^G$86+H$29/(1+$C$128)^H$86+I$29/(1+$C$128)^I$86+J$29/(1+$C$128)^J$86+K$29/(1+$C$128)^K$86+L$29/(1+$C$128)^L$86+M$29/(1+$C$128)^M$86+(N$29/($C$128-G$124))/(1+$C$128)^M$86+$D$105+$D$106+$D$107+$D$108+$D$110+$D$113)/$D$116</f>
        <v>653.565417986375</v>
      </c>
      <c r="H128" s="32" t="n">
        <f aca="false">(D$29/(1+$C$128)^D$86+E$29/(1+$C$128)^E$86+F$29/(1+$C$128)^F$86+G$29/(1+$C$128)^G$86+H$29/(1+$C$128)^H$86+I$29/(1+$C$128)^I$86+J$29/(1+$C$128)^J$86+K$29/(1+$C$128)^K$86+L$29/(1+$C$128)^L$86+M$29/(1+$C$128)^M$86+(N$29/($C$128-H$124))/(1+$C$128)^M$86+$D$105+$D$106+$D$107+$D$108+$D$110+$D$113)/$D$116</f>
        <v>780.917952169332</v>
      </c>
      <c r="I128" s="11"/>
      <c r="J128" s="11"/>
      <c r="K128" s="11"/>
      <c r="L128" s="11"/>
      <c r="M128" s="11"/>
      <c r="N128" s="11"/>
    </row>
    <row r="129" customFormat="false" ht="14.25" hidden="false" customHeight="true" outlineLevel="0" collapsed="false">
      <c r="C129" s="34" t="n">
        <f aca="false">D65</f>
        <v>0.0596533775559964</v>
      </c>
      <c r="D129" s="32" t="n">
        <f aca="false">(D$29/(1+$C$129)^D$86+E$29/(1+$C$129)^E$86+F$29/(1+$C$129)^F$86+G$29/(1+$C$129)^G$86+H$29/(1+$C$129)^H$86+I$29/(1+$C$129)^I$86+J$29/(1+$C$129)^J$86+K$29/(1+$C$129)^K$86+L$29/(1+$C$129)^L$86+M$29/(1+$C$129)^M$86+(N$29/($C$129-D$124))/(1+$C$129)^M$86+$D$105+$D$106+$D$107+$D$108+$D$110+$D$113)/$D$116</f>
        <v>344.216351279965</v>
      </c>
      <c r="E129" s="32" t="n">
        <f aca="false">(D$29/(1+$C$129)^D$86+E$29/(1+$C$129)^E$86+F$29/(1+$C$129)^F$86+G$29/(1+$C$129)^G$86+H$29/(1+$C$129)^H$86+I$29/(1+$C$129)^I$86+J$29/(1+$C$129)^J$86+K$29/(1+$C$129)^K$86+L$29/(1+$C$129)^L$86+M$29/(1+$C$129)^M$86+(N$29/($C$129-E$124))/(1+$C$129)^M$86+$D$105+$D$106+$D$107+$D$108+$D$110+$D$113)/$D$116</f>
        <v>396.292416160632</v>
      </c>
      <c r="F129" s="32" t="n">
        <f aca="false">(D$29/(1+$C$129)^D$86+E$29/(1+$C$129)^E$86+F$29/(1+$C$129)^F$86+G$29/(1+$C$129)^G$86+H$29/(1+$C$129)^H$86+I$29/(1+$C$129)^I$86+J$29/(1+$C$129)^J$86+K$29/(1+$C$129)^K$86+L$29/(1+$C$129)^L$86+M$29/(1+$C$129)^M$86+(N$29/($C$129-F$124))/(1+$C$129)^M$86+$D$105+$D$106+$D$107+$D$108+$D$110+$D$113)/$D$116</f>
        <v>458.930130203241</v>
      </c>
      <c r="G129" s="32" t="n">
        <f aca="false">(D$29/(1+$C$129)^D$86+E$29/(1+$C$129)^E$86+F$29/(1+$C$129)^F$86+G$29/(1+$C$129)^G$86+H$29/(1+$C$129)^H$86+I$29/(1+$C$129)^I$86+J$29/(1+$C$129)^J$86+K$29/(1+$C$129)^K$86+L$29/(1+$C$129)^L$86+M$29/(1+$C$129)^M$86+(N$29/($C$129-G$124))/(1+$C$129)^M$86+$D$105+$D$106+$D$107+$D$108+$D$110+$D$113)/$D$116</f>
        <v>535.705127349586</v>
      </c>
      <c r="H129" s="32" t="n">
        <f aca="false">(D$29/(1+$C$129)^D$86+E$29/(1+$C$129)^E$86+F$29/(1+$C$129)^F$86+G$29/(1+$C$129)^G$86+H$29/(1+$C$129)^H$86+I$29/(1+$C$129)^I$86+J$29/(1+$C$129)^J$86+K$29/(1+$C$129)^K$86+L$29/(1+$C$129)^L$86+M$29/(1+$C$129)^M$86+(N$29/($C$129-H$124))/(1+$C$129)^M$86+$D$105+$D$106+$D$107+$D$108+$D$110+$D$113)/$D$116</f>
        <v>632.012389860393</v>
      </c>
      <c r="I129" s="11"/>
      <c r="J129" s="11"/>
      <c r="K129" s="11"/>
      <c r="L129" s="11"/>
      <c r="M129" s="11"/>
      <c r="N129" s="11"/>
    </row>
    <row r="130" customFormat="false" ht="14.25" hidden="false" customHeight="true" outlineLevel="0" collapsed="false">
      <c r="C130" s="152" t="n">
        <f aca="false">D65+Drivers!$C$426</f>
        <v>0.0621533775559964</v>
      </c>
      <c r="D130" s="32" t="n">
        <f aca="false">(D$29/(1+$C$130)^D$86+E$29/(1+$C$130)^E$86+F$29/(1+$C$130)^F$86+G$29/(1+$C$130)^G$86+H$29/(1+$C$130)^H$86+I$29/(1+$C$130)^I$86+J$29/(1+$C$130)^J$86+K$29/(1+$C$130)^K$86+L$29/(1+$C$130)^L$86+M$29/(1+$C$130)^M$86+(N$29/($C$130-D$124))/(1+$C$130)^M$86+$D$105+$D$106+$D$107+$D$108+$D$110+$D$113)/$D$116</f>
        <v>286.957158143674</v>
      </c>
      <c r="E130" s="32" t="n">
        <f aca="false">(D$29/(1+$C$130)^D$86+E$29/(1+$C$130)^E$86+F$29/(1+$C$130)^F$86+G$29/(1+$C$130)^G$86+H$29/(1+$C$130)^H$86+I$29/(1+$C$130)^I$86+J$29/(1+$C$130)^J$86+K$29/(1+$C$130)^K$86+L$29/(1+$C$130)^L$86+M$29/(1+$C$130)^M$86+(N$29/($C$130-E$124))/(1+$C$130)^M$86+$D$105+$D$106+$D$107+$D$108+$D$110+$D$113)/$D$116</f>
        <v>329.910933387659</v>
      </c>
      <c r="F130" s="32" t="n">
        <f aca="false">(D$29/(1+$C$130)^D$86+E$29/(1+$C$130)^E$86+F$29/(1+$C$130)^F$86+G$29/(1+$C$130)^G$86+H$29/(1+$C$130)^H$86+I$29/(1+$C$130)^I$86+J$29/(1+$C$130)^J$86+K$29/(1+$C$130)^K$86+L$29/(1+$C$130)^L$86+M$29/(1+$C$130)^M$86+(N$29/($C$130-F$124))/(1+$C$130)^M$86+$D$105+$D$106+$D$107+$D$108+$D$110+$D$113)/$D$116</f>
        <v>380.774180511413</v>
      </c>
      <c r="G130" s="32" t="n">
        <f aca="false">(D$29/(1+$C$130)^D$86+E$29/(1+$C$130)^E$86+F$29/(1+$C$130)^F$86+G$29/(1+$C$130)^G$86+H$29/(1+$C$130)^H$86+I$29/(1+$C$130)^I$86+J$29/(1+$C$130)^J$86+K$29/(1+$C$130)^K$86+L$29/(1+$C$130)^L$86+M$29/(1+$C$130)^M$86+(N$29/($C$130-G$124))/(1+$C$130)^M$86+$D$105+$D$106+$D$107+$D$108+$D$110+$D$113)/$D$116</f>
        <v>441.953102841988</v>
      </c>
      <c r="H130" s="32" t="n">
        <f aca="false">(D$29/(1+$C$130)^D$86+E$29/(1+$C$130)^E$86+F$29/(1+$C$130)^F$86+G$29/(1+$C$130)^G$86+H$29/(1+$C$130)^H$86+I$29/(1+$C$130)^I$86+J$29/(1+$C$130)^J$86+K$29/(1+$C$130)^K$86+L$29/(1+$C$130)^L$86+M$29/(1+$C$130)^M$86+(N$29/($C$130-H$124))/(1+$C$130)^M$86+$D$105+$D$106+$D$107+$D$108+$D$110+$D$113)/$D$116</f>
        <v>516.940060127038</v>
      </c>
      <c r="I130" s="11"/>
      <c r="J130" s="11"/>
      <c r="K130" s="11"/>
      <c r="L130" s="11"/>
      <c r="M130" s="11"/>
      <c r="N130" s="11"/>
    </row>
    <row r="131" customFormat="false" ht="14.25" hidden="false" customHeight="true" outlineLevel="0" collapsed="false">
      <c r="C131" s="152" t="n">
        <f aca="false">D65+Drivers!$C$427</f>
        <v>0.0646533775559964</v>
      </c>
      <c r="D131" s="32" t="n">
        <f aca="false">(D$29/(1+$C$131)^D$86+E$29/(1+$C$131)^E$86+F$29/(1+$C$131)^F$86+G$29/(1+$C$131)^G$86+H$29/(1+$C$131)^H$86+I$29/(1+$C$131)^I$86+J$29/(1+$C$131)^J$86+K$29/(1+$C$131)^K$86+L$29/(1+$C$131)^L$86+M$29/(1+$C$131)^M$86+(N$29/($C$131-D$124))/(1+$C$131)^M$86+$D$105+$D$106+$D$107+$D$108+$D$110+$D$113)/$D$116</f>
        <v>238.106302518975</v>
      </c>
      <c r="E131" s="32" t="n">
        <f aca="false">(D$29/(1+$C$131)^D$86+E$29/(1+$C$131)^E$86+F$29/(1+$C$131)^F$86+G$29/(1+$C$131)^G$86+H$29/(1+$C$131)^H$86+I$29/(1+$C$131)^I$86+J$29/(1+$C$131)^J$86+K$29/(1+$C$131)^K$86+L$29/(1+$C$131)^L$86+M$29/(1+$C$131)^M$86+(N$29/($C$131-E$124))/(1+$C$131)^M$86+$D$105+$D$106+$D$107+$D$108+$D$110+$D$113)/$D$116</f>
        <v>274.008408100059</v>
      </c>
      <c r="F131" s="32" t="n">
        <f aca="false">(D$29/(1+$C$131)^D$86+E$29/(1+$C$131)^E$86+F$29/(1+$C$131)^F$86+G$29/(1+$C$131)^G$86+H$29/(1+$C$131)^H$86+I$29/(1+$C$131)^I$86+J$29/(1+$C$131)^J$86+K$29/(1+$C$131)^K$86+L$29/(1+$C$131)^L$86+M$29/(1+$C$131)^M$86+(N$29/($C$131-F$124))/(1+$C$131)^M$86+$D$105+$D$106+$D$107+$D$108+$D$110+$D$113)/$D$116</f>
        <v>315.964142060117</v>
      </c>
      <c r="G131" s="32" t="n">
        <f aca="false">(D$29/(1+$C$131)^D$86+E$29/(1+$C$131)^E$86+F$29/(1+$C$131)^F$86+G$29/(1+$C$131)^G$86+H$29/(1+$C$131)^H$86+I$29/(1+$C$131)^I$86+J$29/(1+$C$131)^J$86+K$29/(1+$C$131)^K$86+L$29/(1+$C$131)^L$86+M$29/(1+$C$131)^M$86+(N$29/($C$131-G$124))/(1+$C$131)^M$86+$D$105+$D$106+$D$107+$D$108+$D$110+$D$113)/$D$116</f>
        <v>365.645569421215</v>
      </c>
      <c r="H131" s="32" t="n">
        <f aca="false">(D$29/(1+$C$131)^D$86+E$29/(1+$C$131)^E$86+F$29/(1+$C$131)^F$86+G$29/(1+$C$131)^G$86+H$29/(1+$C$131)^H$86+I$29/(1+$C$131)^I$86+J$29/(1+$C$131)^J$86+K$29/(1+$C$131)^K$86+L$29/(1+$C$131)^L$86+M$29/(1+$C$131)^M$86+(N$29/($C$131-H$124))/(1+$C$131)^M$86+$D$105+$D$106+$D$107+$D$108+$D$110+$D$113)/$D$116</f>
        <v>425.402984798205</v>
      </c>
      <c r="I131" s="11"/>
      <c r="J131" s="11"/>
      <c r="K131" s="11"/>
      <c r="L131" s="11"/>
      <c r="M131" s="11"/>
      <c r="N131" s="11"/>
    </row>
    <row r="132" customFormat="false" ht="14.25" hidden="false" customHeight="true" outlineLevel="0" collapsed="false">
      <c r="C132" s="152" t="n">
        <f aca="false">D65+Drivers!$C$428</f>
        <v>0.0671533775559964</v>
      </c>
      <c r="D132" s="32" t="n">
        <f aca="false">(D$29/(1+$C$132)^D$86+E$29/(1+$C$132)^E$86+F$29/(1+$C$132)^F$86+G$29/(1+$C$132)^G$86+H$29/(1+$C$132)^H$86+I$29/(1+$C$132)^I$86+J$29/(1+$C$132)^J$86+K$29/(1+$C$132)^K$86+L$29/(1+$C$132)^L$86+M$29/(1+$C$132)^M$86+(N$29/($C$132-D$124))/(1+$C$132)^M$86+$D$105+$D$106+$D$107+$D$108+$D$110+$D$113)/$D$116</f>
        <v>195.962875128211</v>
      </c>
      <c r="E132" s="32" t="n">
        <f aca="false">(D$29/(1+$C$132)^D$86+E$29/(1+$C$132)^E$86+F$29/(1+$C$132)^F$86+G$29/(1+$C$132)^G$86+H$29/(1+$C$132)^H$86+I$29/(1+$C$132)^I$86+J$29/(1+$C$132)^J$86+K$29/(1+$C$132)^K$86+L$29/(1+$C$132)^L$86+M$29/(1+$C$132)^M$86+(N$29/($C$132-E$124))/(1+$C$132)^M$86+$D$105+$D$106+$D$107+$D$108+$D$110+$D$113)/$D$116</f>
        <v>226.313116438803</v>
      </c>
      <c r="F132" s="32" t="n">
        <f aca="false">(D$29/(1+$C$132)^D$86+E$29/(1+$C$132)^E$86+F$29/(1+$C$132)^F$86+G$29/(1+$C$132)^G$86+H$29/(1+$C$132)^H$86+I$29/(1+$C$132)^I$86+J$29/(1+$C$132)^J$86+K$29/(1+$C$132)^K$86+L$29/(1+$C$132)^L$86+M$29/(1+$C$132)^M$86+(N$29/($C$132-F$124))/(1+$C$132)^M$86+$D$105+$D$106+$D$107+$D$108+$D$110+$D$113)/$D$116</f>
        <v>261.382961663127</v>
      </c>
      <c r="G132" s="32" t="n">
        <f aca="false">(D$29/(1+$C$132)^D$86+E$29/(1+$C$132)^E$86+F$29/(1+$C$132)^F$86+G$29/(1+$C$132)^G$86+H$29/(1+$C$132)^H$86+I$29/(1+$C$132)^I$86+J$29/(1+$C$132)^J$86+K$29/(1+$C$132)^K$86+L$29/(1+$C$132)^L$86+M$29/(1+$C$132)^M$86+(N$29/($C$132-G$124))/(1+$C$132)^M$86+$D$105+$D$106+$D$107+$D$108+$D$110+$D$113)/$D$116</f>
        <v>302.366103805837</v>
      </c>
      <c r="H132" s="32" t="n">
        <f aca="false">(D$29/(1+$C$132)^D$86+E$29/(1+$C$132)^E$86+F$29/(1+$C$132)^F$86+G$29/(1+$C$132)^G$86+H$29/(1+$C$132)^H$86+I$29/(1+$C$132)^I$86+J$29/(1+$C$132)^J$86+K$29/(1+$C$132)^K$86+L$29/(1+$C$132)^L$86+M$29/(1+$C$132)^M$86+(N$29/($C$132-H$124))/(1+$C$132)^M$86+$D$105+$D$106+$D$107+$D$108+$D$110+$D$113)/$D$116</f>
        <v>350.895847114128</v>
      </c>
      <c r="I132" s="11"/>
      <c r="J132" s="11"/>
      <c r="K132" s="11"/>
      <c r="L132" s="11"/>
      <c r="M132" s="11"/>
      <c r="N132" s="11"/>
    </row>
    <row r="133" customFormat="false" ht="14.25" hidden="false" customHeight="true" outlineLevel="0" collapsed="false">
      <c r="C133" s="152" t="n">
        <f aca="false">D65+Drivers!$C$429</f>
        <v>0.0696533775559964</v>
      </c>
      <c r="D133" s="32" t="n">
        <f aca="false">(D$29/(1+$C$133)^D$86+E$29/(1+$C$133)^E$86+F$29/(1+$C$133)^F$86+G$29/(1+$C$133)^G$86+H$29/(1+$C$133)^H$86+I$29/(1+$C$133)^I$86+J$29/(1+$C$133)^J$86+K$29/(1+$C$133)^K$86+L$29/(1+$C$133)^L$86+M$29/(1+$C$133)^M$86+(N$29/($C$133-D$124))/(1+$C$133)^M$86+$D$105+$D$106+$D$107+$D$108+$D$110+$D$113)/$D$116</f>
        <v>159.255006864291</v>
      </c>
      <c r="E133" s="32" t="n">
        <f aca="false">(D$29/(1+$C$133)^D$86+E$29/(1+$C$133)^E$86+F$29/(1+$C$133)^F$86+G$29/(1+$C$133)^G$86+H$29/(1+$C$133)^H$86+I$29/(1+$C$133)^I$86+J$29/(1+$C$133)^J$86+K$29/(1+$C$133)^K$86+L$29/(1+$C$133)^L$86+M$29/(1+$C$133)^M$86+(N$29/($C$133-E$124))/(1+$C$133)^M$86+$D$105+$D$106+$D$107+$D$108+$D$110+$D$113)/$D$116</f>
        <v>185.164880677821</v>
      </c>
      <c r="F133" s="32" t="n">
        <f aca="false">(D$29/(1+$C$133)^D$86+E$29/(1+$C$133)^E$86+F$29/(1+$C$133)^F$86+G$29/(1+$C$133)^G$86+H$29/(1+$C$133)^H$86+I$29/(1+$C$133)^I$86+J$29/(1+$C$133)^J$86+K$29/(1+$C$133)^K$86+L$29/(1+$C$133)^L$86+M$29/(1+$C$133)^M$86+(N$29/($C$133-F$124))/(1+$C$133)^M$86+$D$105+$D$106+$D$107+$D$108+$D$110+$D$113)/$D$116</f>
        <v>214.813188612477</v>
      </c>
      <c r="G133" s="32" t="n">
        <f aca="false">(D$29/(1+$C$133)^D$86+E$29/(1+$C$133)^E$86+F$29/(1+$C$133)^F$86+G$29/(1+$C$133)^G$86+H$29/(1+$C$133)^H$86+I$29/(1+$C$133)^I$86+J$29/(1+$C$133)^J$86+K$29/(1+$C$133)^K$86+L$29/(1+$C$133)^L$86+M$29/(1+$C$133)^M$86+(N$29/($C$133-G$124))/(1+$C$133)^M$86+$D$105+$D$106+$D$107+$D$108+$D$110+$D$113)/$D$116</f>
        <v>249.071946550874</v>
      </c>
      <c r="H133" s="32" t="n">
        <f aca="false">(D$29/(1+$C$133)^D$86+E$29/(1+$C$133)^E$86+F$29/(1+$C$133)^F$86+G$29/(1+$C$133)^G$86+H$29/(1+$C$133)^H$86+I$29/(1+$C$133)^I$86+J$29/(1+$C$133)^J$86+K$29/(1+$C$133)^K$86+L$29/(1+$C$133)^L$86+M$29/(1+$C$133)^M$86+(N$29/($C$133-H$124))/(1+$C$133)^M$86+$D$105+$D$106+$D$107+$D$108+$D$110+$D$113)/$D$116</f>
        <v>289.107240041368</v>
      </c>
      <c r="I133" s="11"/>
      <c r="J133" s="11"/>
      <c r="K133" s="11"/>
      <c r="L133" s="11"/>
      <c r="M133" s="11"/>
      <c r="N133" s="11"/>
    </row>
    <row r="134" customFormat="false" ht="14.25" hidden="false" customHeight="true" outlineLevel="0" collapsed="false">
      <c r="C134" s="11"/>
      <c r="D134" s="11"/>
      <c r="E134" s="11"/>
      <c r="F134" s="11"/>
      <c r="G134" s="11"/>
      <c r="H134" s="11"/>
      <c r="I134" s="11"/>
      <c r="J134" s="11"/>
      <c r="K134" s="11"/>
      <c r="L134" s="11"/>
      <c r="M134" s="11"/>
      <c r="N134" s="11"/>
    </row>
    <row r="135" customFormat="false" ht="14.25" hidden="false" customHeight="true" outlineLevel="0" collapsed="false">
      <c r="C135" s="10" t="s">
        <v>2462</v>
      </c>
      <c r="D135" s="11"/>
      <c r="E135" s="11"/>
      <c r="F135" s="11"/>
      <c r="G135" s="11"/>
      <c r="H135" s="11"/>
      <c r="I135" s="11"/>
      <c r="J135" s="11"/>
      <c r="K135" s="11"/>
      <c r="L135" s="11"/>
      <c r="M135" s="11"/>
      <c r="N135" s="11"/>
    </row>
    <row r="136" customFormat="false" ht="14.25" hidden="false" customHeight="true" outlineLevel="0" collapsed="false">
      <c r="C136" s="11" t="s">
        <v>2463</v>
      </c>
      <c r="D136" s="41" t="n">
        <f aca="false">Drivers!$C$398-Drivers!$C$431</f>
        <v>9.11</v>
      </c>
      <c r="E136" s="41" t="n">
        <f aca="false">Drivers!$C$398-Drivers!$C$430</f>
        <v>9.61</v>
      </c>
      <c r="F136" s="41" t="n">
        <f aca="false">Drivers!$C$398</f>
        <v>10.11</v>
      </c>
      <c r="G136" s="41" t="n">
        <f aca="false">Drivers!$C$398+Drivers!$C$430</f>
        <v>10.61</v>
      </c>
      <c r="H136" s="41" t="n">
        <f aca="false">Drivers!$C$398+Drivers!$C$431</f>
        <v>11.11</v>
      </c>
      <c r="I136" s="11"/>
      <c r="J136" s="11"/>
      <c r="K136" s="11"/>
      <c r="L136" s="11"/>
      <c r="M136" s="11"/>
      <c r="N136" s="11"/>
    </row>
    <row r="137" customFormat="false" ht="14.25" hidden="false" customHeight="true" outlineLevel="0" collapsed="false">
      <c r="C137" s="152" t="n">
        <f aca="false">D65-Drivers!$C$429</f>
        <v>0.0496533775559964</v>
      </c>
      <c r="D137" s="32" t="n">
        <f aca="false">(D$29/(1+$C$137)^D$86+E$29/(1+$C$137)^E$86+F$29/(1+$C$137)^F$86+G$29/(1+$C$137)^G$86+H$29/(1+$C$137)^H$86+I$29/(1+$C$137)^I$86+J$29/(1+$C$137)^J$86+K$29/(1+$C$137)^K$86+L$29/(1+$C$137)^L$86+M$29/(1+$C$137)^M$86+(D$76*D$136/(1+$C$137)^M$86)+$D$105+$D$106+$D$107+$D$108+$D$110+$D$113)/$D$116</f>
        <v>84.455067605518</v>
      </c>
      <c r="E137" s="32" t="n">
        <f aca="false">(D$29/(1+$C$137)^D$86+E$29/(1+$C$137)^E$86+F$29/(1+$C$137)^F$86+G$29/(1+$C$137)^G$86+H$29/(1+$C$137)^H$86+I$29/(1+$C$137)^I$86+J$29/(1+$C$137)^J$86+K$29/(1+$C$137)^K$86+L$29/(1+$C$137)^L$86+M$29/(1+$C$137)^M$86+(D$76*E$136/(1+$C$137)^M$86)+$D$105+$D$106+$D$107+$D$108+$D$110+$D$113)/$D$116</f>
        <v>100.980573129695</v>
      </c>
      <c r="F137" s="32" t="n">
        <f aca="false">(D$29/(1+$C$137)^D$86+E$29/(1+$C$137)^E$86+F$29/(1+$C$137)^F$86+G$29/(1+$C$137)^G$86+H$29/(1+$C$137)^H$86+I$29/(1+$C$137)^I$86+J$29/(1+$C$137)^J$86+K$29/(1+$C$137)^K$86+L$29/(1+$C$137)^L$86+M$29/(1+$C$137)^M$86+(D$76*F$136/(1+$C$137)^M$86)+$D$105+$D$106+$D$107+$D$108+$D$110+$D$113)/$D$116</f>
        <v>117.506078653871</v>
      </c>
      <c r="G137" s="32" t="n">
        <f aca="false">(D$29/(1+$C$137)^D$86+E$29/(1+$C$137)^E$86+F$29/(1+$C$137)^F$86+G$29/(1+$C$137)^G$86+H$29/(1+$C$137)^H$86+I$29/(1+$C$137)^I$86+J$29/(1+$C$137)^J$86+K$29/(1+$C$137)^K$86+L$29/(1+$C$137)^L$86+M$29/(1+$C$137)^M$86+(D$76*G$136/(1+$C$137)^M$86)+$D$105+$D$106+$D$107+$D$108+$D$110+$D$113)/$D$116</f>
        <v>134.031584178048</v>
      </c>
      <c r="H137" s="32" t="n">
        <f aca="false">(D$29/(1+$C$137)^D$86+E$29/(1+$C$137)^E$86+F$29/(1+$C$137)^F$86+G$29/(1+$C$137)^G$86+H$29/(1+$C$137)^H$86+I$29/(1+$C$137)^I$86+J$29/(1+$C$137)^J$86+K$29/(1+$C$137)^K$86+L$29/(1+$C$137)^L$86+M$29/(1+$C$137)^M$86+(D$76*H$136/(1+$C$137)^M$86)+$D$105+$D$106+$D$107+$D$108+$D$110+$D$113)/$D$116</f>
        <v>150.557089702224</v>
      </c>
      <c r="I137" s="11"/>
      <c r="J137" s="11"/>
      <c r="K137" s="11"/>
      <c r="L137" s="11"/>
      <c r="M137" s="11"/>
      <c r="N137" s="11"/>
    </row>
    <row r="138" customFormat="false" ht="14.25" hidden="false" customHeight="true" outlineLevel="0" collapsed="false">
      <c r="C138" s="152" t="n">
        <f aca="false">D65-Drivers!$C$428</f>
        <v>0.0521533775559964</v>
      </c>
      <c r="D138" s="32" t="n">
        <f aca="false">(D$29/(1+$C$138)^D$86+E$29/(1+$C$138)^E$86+F$29/(1+$C$138)^F$86+G$29/(1+$C$138)^G$86+H$29/(1+$C$138)^H$86+I$29/(1+$C$138)^I$86+J$29/(1+$C$138)^J$86+K$29/(1+$C$138)^K$86+L$29/(1+$C$138)^L$86+M$29/(1+$C$138)^M$86+(D$76*D$136/(1+$C$138)^M$86)+$D$105+$D$106+$D$107+$D$108+$D$110+$D$113)/$D$116</f>
        <v>76.1511068907749</v>
      </c>
      <c r="E138" s="32" t="n">
        <f aca="false">(D$29/(1+$C$138)^D$86+E$29/(1+$C$138)^E$86+F$29/(1+$C$138)^F$86+G$29/(1+$C$138)^G$86+H$29/(1+$C$138)^H$86+I$29/(1+$C$138)^I$86+J$29/(1+$C$138)^J$86+K$29/(1+$C$138)^K$86+L$29/(1+$C$138)^L$86+M$29/(1+$C$138)^M$86+(D$76*E$136/(1+$C$138)^M$86)+$D$105+$D$106+$D$107+$D$108+$D$110+$D$113)/$D$116</f>
        <v>92.2881252369903</v>
      </c>
      <c r="F138" s="32" t="n">
        <f aca="false">(D$29/(1+$C$138)^D$86+E$29/(1+$C$138)^E$86+F$29/(1+$C$138)^F$86+G$29/(1+$C$138)^G$86+H$29/(1+$C$138)^H$86+I$29/(1+$C$138)^I$86+J$29/(1+$C$138)^J$86+K$29/(1+$C$138)^K$86+L$29/(1+$C$138)^L$86+M$29/(1+$C$138)^M$86+(D$76*F$136/(1+$C$138)^M$86)+$D$105+$D$106+$D$107+$D$108+$D$110+$D$113)/$D$116</f>
        <v>108.425143583206</v>
      </c>
      <c r="G138" s="32" t="n">
        <f aca="false">(D$29/(1+$C$138)^D$86+E$29/(1+$C$138)^E$86+F$29/(1+$C$138)^F$86+G$29/(1+$C$138)^G$86+H$29/(1+$C$138)^H$86+I$29/(1+$C$138)^I$86+J$29/(1+$C$138)^J$86+K$29/(1+$C$138)^K$86+L$29/(1+$C$138)^L$86+M$29/(1+$C$138)^M$86+(D$76*G$136/(1+$C$138)^M$86)+$D$105+$D$106+$D$107+$D$108+$D$110+$D$113)/$D$116</f>
        <v>124.562161929421</v>
      </c>
      <c r="H138" s="32" t="n">
        <f aca="false">(D$29/(1+$C$138)^D$86+E$29/(1+$C$138)^E$86+F$29/(1+$C$138)^F$86+G$29/(1+$C$138)^G$86+H$29/(1+$C$138)^H$86+I$29/(1+$C$138)^I$86+J$29/(1+$C$138)^J$86+K$29/(1+$C$138)^K$86+L$29/(1+$C$138)^L$86+M$29/(1+$C$138)^M$86+(D$76*H$136/(1+$C$138)^M$86)+$D$105+$D$106+$D$107+$D$108+$D$110+$D$113)/$D$116</f>
        <v>140.699180275637</v>
      </c>
      <c r="I138" s="11"/>
      <c r="J138" s="11"/>
      <c r="K138" s="11"/>
      <c r="L138" s="11"/>
      <c r="M138" s="11"/>
      <c r="N138" s="11"/>
    </row>
    <row r="139" customFormat="false" ht="14.25" hidden="false" customHeight="true" outlineLevel="0" collapsed="false">
      <c r="C139" s="152" t="n">
        <f aca="false">D65-Drivers!$C$427</f>
        <v>0.0546533775559964</v>
      </c>
      <c r="D139" s="32" t="n">
        <f aca="false">(D$29/(1+$C$139)^D$86+E$29/(1+$C$139)^E$86+F$29/(1+$C$139)^F$86+G$29/(1+$C$139)^G$86+H$29/(1+$C$139)^H$86+I$29/(1+$C$139)^I$86+J$29/(1+$C$139)^J$86+K$29/(1+$C$139)^K$86+L$29/(1+$C$139)^L$86+M$29/(1+$C$139)^M$86+(D$76*D$136/(1+$C$139)^M$86)+$D$105+$D$106+$D$107+$D$108+$D$110+$D$113)/$D$116</f>
        <v>68.053873061642</v>
      </c>
      <c r="E139" s="32" t="n">
        <f aca="false">(D$29/(1+$C$139)^D$86+E$29/(1+$C$139)^E$86+F$29/(1+$C$139)^F$86+G$29/(1+$C$139)^G$86+H$29/(1+$C$139)^H$86+I$29/(1+$C$139)^I$86+J$29/(1+$C$139)^J$86+K$29/(1+$C$139)^K$86+L$29/(1+$C$139)^L$86+M$29/(1+$C$139)^M$86+(D$76*E$136/(1+$C$139)^M$86)+$D$105+$D$106+$D$107+$D$108+$D$110+$D$113)/$D$116</f>
        <v>83.812426584463</v>
      </c>
      <c r="F139" s="32" t="n">
        <f aca="false">(D$29/(1+$C$139)^D$86+E$29/(1+$C$139)^E$86+F$29/(1+$C$139)^F$86+G$29/(1+$C$139)^G$86+H$29/(1+$C$139)^H$86+I$29/(1+$C$139)^I$86+J$29/(1+$C$139)^J$86+K$29/(1+$C$139)^K$86+L$29/(1+$C$139)^L$86+M$29/(1+$C$139)^M$86+(D$76*F$136/(1+$C$139)^M$86)+$D$105+$D$106+$D$107+$D$108+$D$110+$D$113)/$D$116</f>
        <v>99.5709801072839</v>
      </c>
      <c r="G139" s="32" t="n">
        <f aca="false">(D$29/(1+$C$139)^D$86+E$29/(1+$C$139)^E$86+F$29/(1+$C$139)^F$86+G$29/(1+$C$139)^G$86+H$29/(1+$C$139)^H$86+I$29/(1+$C$139)^I$86+J$29/(1+$C$139)^J$86+K$29/(1+$C$139)^K$86+L$29/(1+$C$139)^L$86+M$29/(1+$C$139)^M$86+(D$76*G$136/(1+$C$139)^M$86)+$D$105+$D$106+$D$107+$D$108+$D$110+$D$113)/$D$116</f>
        <v>115.329533630105</v>
      </c>
      <c r="H139" s="32" t="n">
        <f aca="false">(D$29/(1+$C$139)^D$86+E$29/(1+$C$139)^E$86+F$29/(1+$C$139)^F$86+G$29/(1+$C$139)^G$86+H$29/(1+$C$139)^H$86+I$29/(1+$C$139)^I$86+J$29/(1+$C$139)^J$86+K$29/(1+$C$139)^K$86+L$29/(1+$C$139)^L$86+M$29/(1+$C$139)^M$86+(D$76*H$136/(1+$C$139)^M$86)+$D$105+$D$106+$D$107+$D$108+$D$110+$D$113)/$D$116</f>
        <v>131.088087152926</v>
      </c>
      <c r="I139" s="11"/>
      <c r="J139" s="11"/>
      <c r="K139" s="11"/>
      <c r="L139" s="11"/>
      <c r="M139" s="11"/>
      <c r="N139" s="11"/>
    </row>
    <row r="140" customFormat="false" ht="14.25" hidden="false" customHeight="true" outlineLevel="0" collapsed="false">
      <c r="C140" s="152" t="n">
        <f aca="false">D65-Drivers!$C$426</f>
        <v>0.0571533775559964</v>
      </c>
      <c r="D140" s="32" t="n">
        <f aca="false">(D$29/(1+$C$140)^D$86+E$29/(1+$C$140)^E$86+F$29/(1+$C$140)^F$86+G$29/(1+$C$140)^G$86+H$29/(1+$C$140)^H$86+I$29/(1+$C$140)^I$86+J$29/(1+$C$140)^J$86+K$29/(1+$C$140)^K$86+L$29/(1+$C$140)^L$86+M$29/(1+$C$140)^M$86+(D$76*D$136/(1+$C$140)^M$86)+$D$105+$D$106+$D$107+$D$108+$D$110+$D$113)/$D$116</f>
        <v>60.1576735645318</v>
      </c>
      <c r="E140" s="32" t="n">
        <f aca="false">(D$29/(1+$C$140)^D$86+E$29/(1+$C$140)^E$86+F$29/(1+$C$140)^F$86+G$29/(1+$C$140)^G$86+H$29/(1+$C$140)^H$86+I$29/(1+$C$140)^I$86+J$29/(1+$C$140)^J$86+K$29/(1+$C$140)^K$86+L$29/(1+$C$140)^L$86+M$29/(1+$C$140)^M$86+(D$76*E$136/(1+$C$140)^M$86)+$D$105+$D$106+$D$107+$D$108+$D$110+$D$113)/$D$116</f>
        <v>75.5475032132386</v>
      </c>
      <c r="F140" s="32" t="n">
        <f aca="false">(D$29/(1+$C$140)^D$86+E$29/(1+$C$140)^E$86+F$29/(1+$C$140)^F$86+G$29/(1+$C$140)^G$86+H$29/(1+$C$140)^H$86+I$29/(1+$C$140)^I$86+J$29/(1+$C$140)^J$86+K$29/(1+$C$140)^K$86+L$29/(1+$C$140)^L$86+M$29/(1+$C$140)^M$86+(D$76*F$136/(1+$C$140)^M$86)+$D$105+$D$106+$D$107+$D$108+$D$110+$D$113)/$D$116</f>
        <v>90.9373328619453</v>
      </c>
      <c r="G140" s="32" t="n">
        <f aca="false">(D$29/(1+$C$140)^D$86+E$29/(1+$C$140)^E$86+F$29/(1+$C$140)^F$86+G$29/(1+$C$140)^G$86+H$29/(1+$C$140)^H$86+I$29/(1+$C$140)^I$86+J$29/(1+$C$140)^J$86+K$29/(1+$C$140)^K$86+L$29/(1+$C$140)^L$86+M$29/(1+$C$140)^M$86+(D$76*G$136/(1+$C$140)^M$86)+$D$105+$D$106+$D$107+$D$108+$D$110+$D$113)/$D$116</f>
        <v>106.327162510652</v>
      </c>
      <c r="H140" s="32" t="n">
        <f aca="false">(D$29/(1+$C$140)^D$86+E$29/(1+$C$140)^E$86+F$29/(1+$C$140)^F$86+G$29/(1+$C$140)^G$86+H$29/(1+$C$140)^H$86+I$29/(1+$C$140)^I$86+J$29/(1+$C$140)^J$86+K$29/(1+$C$140)^K$86+L$29/(1+$C$140)^L$86+M$29/(1+$C$140)^M$86+(D$76*H$136/(1+$C$140)^M$86)+$D$105+$D$106+$D$107+$D$108+$D$110+$D$113)/$D$116</f>
        <v>121.716992159359</v>
      </c>
      <c r="I140" s="11"/>
      <c r="J140" s="11"/>
      <c r="K140" s="11"/>
      <c r="L140" s="11"/>
      <c r="M140" s="11"/>
      <c r="N140" s="11"/>
    </row>
    <row r="141" customFormat="false" ht="14.25" hidden="false" customHeight="true" outlineLevel="0" collapsed="false">
      <c r="C141" s="34" t="n">
        <f aca="false">D65</f>
        <v>0.0596533775559964</v>
      </c>
      <c r="D141" s="32" t="n">
        <f aca="false">(D$29/(1+$C$141)^D$86+E$29/(1+$C$141)^E$86+F$29/(1+$C$141)^F$86+G$29/(1+$C$141)^G$86+H$29/(1+$C$141)^H$86+I$29/(1+$C$141)^I$86+J$29/(1+$C$141)^J$86+K$29/(1+$C$141)^K$86+L$29/(1+$C$141)^L$86+M$29/(1+$C$141)^M$86+(D$76*D$136/(1+$C$141)^M$86)+$D$105+$D$106+$D$107+$D$108+$D$110+$D$113)/$D$116</f>
        <v>52.4569864429203</v>
      </c>
      <c r="E141" s="32" t="n">
        <f aca="false">(D$29/(1+$C$141)^D$86+E$29/(1+$C$141)^E$86+F$29/(1+$C$141)^F$86+G$29/(1+$C$141)^G$86+H$29/(1+$C$141)^H$86+I$29/(1+$C$141)^I$86+J$29/(1+$C$141)^J$86+K$29/(1+$C$141)^K$86+L$29/(1+$C$141)^L$86+M$29/(1+$C$141)^M$86+(D$76*E$136/(1+$C$141)^M$86)+$D$105+$D$106+$D$107+$D$108+$D$110+$D$113)/$D$116</f>
        <v>67.4875603011573</v>
      </c>
      <c r="F141" s="32" t="n">
        <f aca="false">(D$29/(1+$C$141)^D$86+E$29/(1+$C$141)^E$86+F$29/(1+$C$141)^F$86+G$29/(1+$C$141)^G$86+H$29/(1+$C$141)^H$86+I$29/(1+$C$141)^I$86+J$29/(1+$C$141)^J$86+K$29/(1+$C$141)^K$86+L$29/(1+$C$141)^L$86+M$29/(1+$C$141)^M$86+(D$76*F$136/(1+$C$141)^M$86)+$D$105+$D$106+$D$107+$D$108+$D$110+$D$113)/$D$116</f>
        <v>82.5181341593946</v>
      </c>
      <c r="G141" s="32" t="n">
        <f aca="false">(D$29/(1+$C$141)^D$86+E$29/(1+$C$141)^E$86+F$29/(1+$C$141)^F$86+G$29/(1+$C$141)^G$86+H$29/(1+$C$141)^H$86+I$29/(1+$C$141)^I$86+J$29/(1+$C$141)^J$86+K$29/(1+$C$141)^K$86+L$29/(1+$C$141)^L$86+M$29/(1+$C$141)^M$86+(D$76*G$136/(1+$C$141)^M$86)+$D$105+$D$106+$D$107+$D$108+$D$110+$D$113)/$D$116</f>
        <v>97.5487080176317</v>
      </c>
      <c r="H141" s="32" t="n">
        <f aca="false">(D$29/(1+$C$141)^D$86+E$29/(1+$C$141)^E$86+F$29/(1+$C$141)^F$86+G$29/(1+$C$141)^G$86+H$29/(1+$C$141)^H$86+I$29/(1+$C$141)^I$86+J$29/(1+$C$141)^J$86+K$29/(1+$C$141)^K$86+L$29/(1+$C$141)^L$86+M$29/(1+$C$141)^M$86+(D$76*H$136/(1+$C$141)^M$86)+$D$105+$D$106+$D$107+$D$108+$D$110+$D$113)/$D$116</f>
        <v>112.579281875869</v>
      </c>
      <c r="I141" s="11"/>
      <c r="J141" s="11"/>
      <c r="K141" s="11"/>
      <c r="L141" s="11"/>
      <c r="M141" s="11"/>
      <c r="N141" s="11"/>
    </row>
    <row r="142" customFormat="false" ht="14.25" hidden="false" customHeight="true" outlineLevel="0" collapsed="false">
      <c r="C142" s="152" t="n">
        <f aca="false">D65+Drivers!$C$426</f>
        <v>0.0621533775559964</v>
      </c>
      <c r="D142" s="32" t="n">
        <f aca="false">(D$29/(1+$C$142)^D$86+E$29/(1+$C$142)^E$86+F$29/(1+$C$142)^F$86+G$29/(1+$C$142)^G$86+H$29/(1+$C$142)^H$86+I$29/(1+$C$142)^I$86+J$29/(1+$C$142)^J$86+K$29/(1+$C$142)^K$86+L$29/(1+$C$142)^L$86+M$29/(1+$C$142)^M$86+(D$76*D$136/(1+$C$142)^M$86)+$D$105+$D$106+$D$107+$D$108+$D$110+$D$113)/$D$116</f>
        <v>44.9464548238137</v>
      </c>
      <c r="E142" s="32" t="n">
        <f aca="false">(D$29/(1+$C$142)^D$86+E$29/(1+$C$142)^E$86+F$29/(1+$C$142)^F$86+G$29/(1+$C$142)^G$86+H$29/(1+$C$142)^H$86+I$29/(1+$C$142)^I$86+J$29/(1+$C$142)^J$86+K$29/(1+$C$142)^K$86+L$29/(1+$C$142)^L$86+M$29/(1+$C$142)^M$86+(D$76*E$136/(1+$C$142)^M$86)+$D$105+$D$106+$D$107+$D$108+$D$110+$D$113)/$D$116</f>
        <v>59.6269763708091</v>
      </c>
      <c r="F142" s="32" t="n">
        <f aca="false">(D$29/(1+$C$142)^D$86+E$29/(1+$C$142)^E$86+F$29/(1+$C$142)^F$86+G$29/(1+$C$142)^G$86+H$29/(1+$C$142)^H$86+I$29/(1+$C$142)^I$86+J$29/(1+$C$142)^J$86+K$29/(1+$C$142)^K$86+L$29/(1+$C$142)^L$86+M$29/(1+$C$142)^M$86+(D$76*F$136/(1+$C$142)^M$86)+$D$105+$D$106+$D$107+$D$108+$D$110+$D$113)/$D$116</f>
        <v>74.3074979178045</v>
      </c>
      <c r="G142" s="32" t="n">
        <f aca="false">(D$29/(1+$C$142)^D$86+E$29/(1+$C$142)^E$86+F$29/(1+$C$142)^F$86+G$29/(1+$C$142)^G$86+H$29/(1+$C$142)^H$86+I$29/(1+$C$142)^I$86+J$29/(1+$C$142)^J$86+K$29/(1+$C$142)^K$86+L$29/(1+$C$142)^L$86+M$29/(1+$C$142)^M$86+(D$76*G$136/(1+$C$142)^M$86)+$D$105+$D$106+$D$107+$D$108+$D$110+$D$113)/$D$116</f>
        <v>88.9880194647999</v>
      </c>
      <c r="H142" s="32" t="n">
        <f aca="false">(D$29/(1+$C$142)^D$86+E$29/(1+$C$142)^E$86+F$29/(1+$C$142)^F$86+G$29/(1+$C$142)^G$86+H$29/(1+$C$142)^H$86+I$29/(1+$C$142)^I$86+J$29/(1+$C$142)^J$86+K$29/(1+$C$142)^K$86+L$29/(1+$C$142)^L$86+M$29/(1+$C$142)^M$86+(D$76*H$136/(1+$C$142)^M$86)+$D$105+$D$106+$D$107+$D$108+$D$110+$D$113)/$D$116</f>
        <v>103.668541011795</v>
      </c>
      <c r="I142" s="11"/>
      <c r="J142" s="11"/>
      <c r="K142" s="11"/>
      <c r="L142" s="11"/>
      <c r="M142" s="11"/>
      <c r="N142" s="11"/>
    </row>
    <row r="143" customFormat="false" ht="14.25" hidden="false" customHeight="true" outlineLevel="0" collapsed="false">
      <c r="C143" s="152" t="n">
        <f aca="false">D65+Drivers!$C$427</f>
        <v>0.0646533775559964</v>
      </c>
      <c r="D143" s="32" t="n">
        <f aca="false">(D$29/(1+$C$143)^D$86+E$29/(1+$C$143)^E$86+F$29/(1+$C$143)^F$86+G$29/(1+$C$143)^G$86+H$29/(1+$C$143)^H$86+I$29/(1+$C$143)^I$86+J$29/(1+$C$143)^J$86+K$29/(1+$C$143)^K$86+L$29/(1+$C$143)^L$86+M$29/(1+$C$143)^M$86+(D$76*D$136/(1+$C$143)^M$86)+$D$105+$D$106+$D$107+$D$108+$D$110+$D$113)/$D$116</f>
        <v>37.62088159512</v>
      </c>
      <c r="E143" s="32" t="n">
        <f aca="false">(D$29/(1+$C$143)^D$86+E$29/(1+$C$143)^E$86+F$29/(1+$C$143)^F$86+G$29/(1+$C$143)^G$86+H$29/(1+$C$143)^H$86+I$29/(1+$C$143)^I$86+J$29/(1+$C$143)^J$86+K$29/(1+$C$143)^K$86+L$29/(1+$C$143)^L$86+M$29/(1+$C$143)^M$86+(D$76*E$136/(1+$C$143)^M$86)+$D$105+$D$106+$D$107+$D$108+$D$110+$D$113)/$D$116</f>
        <v>51.9602976981759</v>
      </c>
      <c r="F143" s="32" t="n">
        <f aca="false">(D$29/(1+$C$143)^D$86+E$29/(1+$C$143)^E$86+F$29/(1+$C$143)^F$86+G$29/(1+$C$143)^G$86+H$29/(1+$C$143)^H$86+I$29/(1+$C$143)^I$86+J$29/(1+$C$143)^J$86+K$29/(1+$C$143)^K$86+L$29/(1+$C$143)^L$86+M$29/(1+$C$143)^M$86+(D$76*F$136/(1+$C$143)^M$86)+$D$105+$D$106+$D$107+$D$108+$D$110+$D$113)/$D$116</f>
        <v>66.2997138012319</v>
      </c>
      <c r="G143" s="32" t="n">
        <f aca="false">(D$29/(1+$C$143)^D$86+E$29/(1+$C$143)^E$86+F$29/(1+$C$143)^F$86+G$29/(1+$C$143)^G$86+H$29/(1+$C$143)^H$86+I$29/(1+$C$143)^I$86+J$29/(1+$C$143)^J$86+K$29/(1+$C$143)^K$86+L$29/(1+$C$143)^L$86+M$29/(1+$C$143)^M$86+(D$76*G$136/(1+$C$143)^M$86)+$D$105+$D$106+$D$107+$D$108+$D$110+$D$113)/$D$116</f>
        <v>80.6391299042878</v>
      </c>
      <c r="H143" s="32" t="n">
        <f aca="false">(D$29/(1+$C$143)^D$86+E$29/(1+$C$143)^E$86+F$29/(1+$C$143)^F$86+G$29/(1+$C$143)^G$86+H$29/(1+$C$143)^H$86+I$29/(1+$C$143)^I$86+J$29/(1+$C$143)^J$86+K$29/(1+$C$143)^K$86+L$29/(1+$C$143)^L$86+M$29/(1+$C$143)^M$86+(D$76*H$136/(1+$C$143)^M$86)+$D$105+$D$106+$D$107+$D$108+$D$110+$D$113)/$D$116</f>
        <v>94.9785460073438</v>
      </c>
      <c r="I143" s="11"/>
      <c r="J143" s="11"/>
      <c r="K143" s="11"/>
      <c r="L143" s="11"/>
      <c r="M143" s="11"/>
      <c r="N143" s="11"/>
    </row>
    <row r="144" customFormat="false" ht="14.25" hidden="false" customHeight="true" outlineLevel="0" collapsed="false">
      <c r="C144" s="152" t="n">
        <f aca="false">D65+Drivers!$C$428</f>
        <v>0.0671533775559964</v>
      </c>
      <c r="D144" s="32" t="n">
        <f aca="false">(D$29/(1+$C$144)^D$86+E$29/(1+$C$144)^E$86+F$29/(1+$C$144)^F$86+G$29/(1+$C$144)^G$86+H$29/(1+$C$144)^H$86+I$29/(1+$C$144)^I$86+J$29/(1+$C$144)^J$86+K$29/(1+$C$144)^K$86+L$29/(1+$C$144)^L$86+M$29/(1+$C$144)^M$86+(D$76*D$136/(1+$C$144)^M$86)+$D$105+$D$106+$D$107+$D$108+$D$110+$D$113)/$D$116</f>
        <v>30.4752242668899</v>
      </c>
      <c r="E144" s="32" t="n">
        <f aca="false">(D$29/(1+$C$144)^D$86+E$29/(1+$C$144)^E$86+F$29/(1+$C$144)^F$86+G$29/(1+$C$144)^G$86+H$29/(1+$C$144)^H$86+I$29/(1+$C$144)^I$86+J$29/(1+$C$144)^J$86+K$29/(1+$C$144)^K$86+L$29/(1+$C$144)^L$86+M$29/(1+$C$144)^M$86+(D$76*E$136/(1+$C$144)^M$86)+$D$105+$D$106+$D$107+$D$108+$D$110+$D$113)/$D$116</f>
        <v>44.4822329144914</v>
      </c>
      <c r="F144" s="32" t="n">
        <f aca="false">(D$29/(1+$C$144)^D$86+E$29/(1+$C$144)^E$86+F$29/(1+$C$144)^F$86+G$29/(1+$C$144)^G$86+H$29/(1+$C$144)^H$86+I$29/(1+$C$144)^I$86+J$29/(1+$C$144)^J$86+K$29/(1+$C$144)^K$86+L$29/(1+$C$144)^L$86+M$29/(1+$C$144)^M$86+(D$76*F$136/(1+$C$144)^M$86)+$D$105+$D$106+$D$107+$D$108+$D$110+$D$113)/$D$116</f>
        <v>58.4892415620929</v>
      </c>
      <c r="G144" s="32" t="n">
        <f aca="false">(D$29/(1+$C$144)^D$86+E$29/(1+$C$144)^E$86+F$29/(1+$C$144)^F$86+G$29/(1+$C$144)^G$86+H$29/(1+$C$144)^H$86+I$29/(1+$C$144)^I$86+J$29/(1+$C$144)^J$86+K$29/(1+$C$144)^K$86+L$29/(1+$C$144)^L$86+M$29/(1+$C$144)^M$86+(D$76*G$136/(1+$C$144)^M$86)+$D$105+$D$106+$D$107+$D$108+$D$110+$D$113)/$D$116</f>
        <v>72.4962502096944</v>
      </c>
      <c r="H144" s="32" t="n">
        <f aca="false">(D$29/(1+$C$144)^D$86+E$29/(1+$C$144)^E$86+F$29/(1+$C$144)^F$86+G$29/(1+$C$144)^G$86+H$29/(1+$C$144)^H$86+I$29/(1+$C$144)^I$86+J$29/(1+$C$144)^J$86+K$29/(1+$C$144)^K$86+L$29/(1+$C$144)^L$86+M$29/(1+$C$144)^M$86+(D$76*H$136/(1+$C$144)^M$86)+$D$105+$D$106+$D$107+$D$108+$D$110+$D$113)/$D$116</f>
        <v>86.5032588572959</v>
      </c>
      <c r="I144" s="11"/>
      <c r="J144" s="11"/>
      <c r="K144" s="11"/>
      <c r="L144" s="11"/>
      <c r="M144" s="11"/>
      <c r="N144" s="11"/>
    </row>
    <row r="145" customFormat="false" ht="14.25" hidden="false" customHeight="true" outlineLevel="0" collapsed="false">
      <c r="C145" s="152" t="n">
        <f aca="false">D65+Drivers!$C$429</f>
        <v>0.0696533775559964</v>
      </c>
      <c r="D145" s="32" t="n">
        <f aca="false">(D$29/(1+$C$145)^D$86+E$29/(1+$C$145)^E$86+F$29/(1+$C$145)^F$86+G$29/(1+$C$145)^G$86+H$29/(1+$C$145)^H$86+I$29/(1+$C$145)^I$86+J$29/(1+$C$145)^J$86+K$29/(1+$C$145)^K$86+L$29/(1+$C$145)^L$86+M$29/(1+$C$145)^M$86+(D$76*D$136/(1+$C$145)^M$86)+$D$105+$D$106+$D$107+$D$108+$D$110+$D$113)/$D$116</f>
        <v>23.5045900096518</v>
      </c>
      <c r="E145" s="32" t="n">
        <f aca="false">(D$29/(1+$C$145)^D$86+E$29/(1+$C$145)^E$86+F$29/(1+$C$145)^F$86+G$29/(1+$C$145)^G$86+H$29/(1+$C$145)^H$86+I$29/(1+$C$145)^I$86+J$29/(1+$C$145)^J$86+K$29/(1+$C$145)^K$86+L$29/(1+$C$145)^L$86+M$29/(1+$C$145)^M$86+(D$76*E$136/(1+$C$145)^M$86)+$D$105+$D$106+$D$107+$D$108+$D$110+$D$113)/$D$116</f>
        <v>37.1876477941892</v>
      </c>
      <c r="F145" s="32" t="n">
        <f aca="false">(D$29/(1+$C$145)^D$86+E$29/(1+$C$145)^E$86+F$29/(1+$C$145)^F$86+G$29/(1+$C$145)^G$86+H$29/(1+$C$145)^H$86+I$29/(1+$C$145)^I$86+J$29/(1+$C$145)^J$86+K$29/(1+$C$145)^K$86+L$29/(1+$C$145)^L$86+M$29/(1+$C$145)^M$86+(D$76*F$136/(1+$C$145)^M$86)+$D$105+$D$106+$D$107+$D$108+$D$110+$D$113)/$D$116</f>
        <v>50.8707055787267</v>
      </c>
      <c r="G145" s="32" t="n">
        <f aca="false">(D$29/(1+$C$145)^D$86+E$29/(1+$C$145)^E$86+F$29/(1+$C$145)^F$86+G$29/(1+$C$145)^G$86+H$29/(1+$C$145)^H$86+I$29/(1+$C$145)^I$86+J$29/(1+$C$145)^J$86+K$29/(1+$C$145)^K$86+L$29/(1+$C$145)^L$86+M$29/(1+$C$145)^M$86+(D$76*G$136/(1+$C$145)^M$86)+$D$105+$D$106+$D$107+$D$108+$D$110+$D$113)/$D$116</f>
        <v>64.5537633632642</v>
      </c>
      <c r="H145" s="32" t="n">
        <f aca="false">(D$29/(1+$C$145)^D$86+E$29/(1+$C$145)^E$86+F$29/(1+$C$145)^F$86+G$29/(1+$C$145)^G$86+H$29/(1+$C$145)^H$86+I$29/(1+$C$145)^I$86+J$29/(1+$C$145)^J$86+K$29/(1+$C$145)^K$86+L$29/(1+$C$145)^L$86+M$29/(1+$C$145)^M$86+(D$76*H$136/(1+$C$145)^M$86)+$D$105+$D$106+$D$107+$D$108+$D$110+$D$113)/$D$116</f>
        <v>78.2368211478016</v>
      </c>
      <c r="I145" s="11"/>
      <c r="J145" s="11"/>
      <c r="K145" s="11"/>
      <c r="L145" s="11"/>
      <c r="M145" s="11"/>
      <c r="N145" s="11"/>
    </row>
    <row r="146" customFormat="false" ht="14.25" hidden="false" customHeight="true" outlineLevel="0" collapsed="false">
      <c r="C146" s="11"/>
      <c r="D146" s="11"/>
      <c r="E146" s="11"/>
      <c r="F146" s="11"/>
      <c r="G146" s="11"/>
      <c r="H146" s="11"/>
      <c r="I146" s="11"/>
      <c r="J146" s="11"/>
      <c r="K146" s="11"/>
      <c r="L146" s="11"/>
      <c r="M146" s="11"/>
      <c r="N146" s="11"/>
    </row>
    <row r="147" customFormat="false" ht="14.25" hidden="false" customHeight="true" outlineLevel="0" collapsed="false">
      <c r="C147" s="10" t="s">
        <v>2464</v>
      </c>
      <c r="D147" s="11"/>
      <c r="E147" s="11"/>
      <c r="F147" s="11"/>
      <c r="G147" s="11"/>
      <c r="H147" s="11"/>
      <c r="I147" s="11"/>
      <c r="J147" s="11"/>
      <c r="K147" s="11"/>
      <c r="L147" s="11"/>
      <c r="M147" s="11"/>
      <c r="N147" s="11"/>
    </row>
    <row r="148" customFormat="false" ht="14.25" hidden="false" customHeight="true" outlineLevel="0" collapsed="false">
      <c r="C148" s="11" t="s">
        <v>2465</v>
      </c>
      <c r="D148" s="11"/>
      <c r="E148" s="11"/>
      <c r="F148" s="11"/>
      <c r="G148" s="11"/>
      <c r="H148" s="11"/>
      <c r="I148" s="11"/>
      <c r="J148" s="11"/>
      <c r="K148" s="11"/>
      <c r="L148" s="11"/>
      <c r="M148" s="11"/>
      <c r="N148" s="11"/>
    </row>
    <row r="149" customFormat="false" ht="14.25" hidden="false" customHeight="true" outlineLevel="0" collapsed="false">
      <c r="C149" s="11" t="s">
        <v>2466</v>
      </c>
      <c r="D149" s="41" t="n">
        <f aca="false">Drivers!C102</f>
        <v>0.053</v>
      </c>
      <c r="E149" s="11"/>
      <c r="F149" s="11"/>
      <c r="G149" s="11"/>
      <c r="H149" s="11"/>
      <c r="I149" s="11"/>
      <c r="J149" s="11"/>
      <c r="K149" s="11"/>
      <c r="L149" s="11"/>
      <c r="M149" s="11"/>
      <c r="N149" s="11"/>
    </row>
    <row r="150" customFormat="false" ht="14.25" hidden="false" customHeight="true" outlineLevel="0" collapsed="false">
      <c r="A150" s="22" t="s">
        <v>11</v>
      </c>
      <c r="C150" s="71" t="s">
        <v>2467</v>
      </c>
      <c r="D150" s="147" t="n">
        <f aca="false">Drivers!$C$410</f>
        <v>0.045</v>
      </c>
      <c r="E150" s="147" t="n">
        <f aca="false">Drivers!$C$411</f>
        <v>0.05</v>
      </c>
      <c r="F150" s="147" t="n">
        <f aca="false">Drivers!$C$412</f>
        <v>0.053</v>
      </c>
      <c r="G150" s="147" t="n">
        <f aca="false">Drivers!$C$413</f>
        <v>0.055</v>
      </c>
      <c r="H150" s="147" t="n">
        <f aca="false">Drivers!$C$414</f>
        <v>0.0595</v>
      </c>
      <c r="I150" s="147" t="n">
        <f aca="false">Drivers!$C$415</f>
        <v>0.06</v>
      </c>
      <c r="J150" s="147" t="n">
        <f aca="false">Drivers!$C$416</f>
        <v>0.065</v>
      </c>
      <c r="K150" s="54"/>
      <c r="L150" s="54"/>
      <c r="M150" s="54"/>
      <c r="N150" s="54"/>
    </row>
    <row r="151" customFormat="false" ht="14.25" hidden="false" customHeight="true" outlineLevel="0" collapsed="false">
      <c r="C151" s="152" t="n">
        <f aca="false">D65-Drivers!$C$429</f>
        <v>0.0496533775559964</v>
      </c>
      <c r="D151" s="42" t="n">
        <f aca="false">((D$29+(-(D$150-$D$149)*Drivers!$C$392*(1-$D$59)))/(1+$C$151)^D$86+(E$29+(-(D$150-$D$149)*Drivers!$C$392*(1-$D$59)))/(1+$C$151)^E$86+(F$29+(-(D$150-$D$149)*Drivers!$C$392*(1-$D$59)))/(1+$C$151)^F$86+(G$29+(-(D$150-$D$149)*Drivers!$C$392*(1-$D$59)))/(1+$C$151)^G$86+(H$29+(-(D$150-$D$149)*Drivers!$C$392*(1-$D$59)))/(1+$C$151)^H$86+(I$29+(-(D$150-$D$149)*Drivers!$C$392*(1-$D$59)))/(1+$C$151)^I$86+(J$29+(-(D$150-$D$149)*Drivers!$C$392*(1-$D$59)))/(1+$C$151)^J$86+(K$29+(-(D$150-$D$149)*Drivers!$C$392*(1-$D$59)))/(1+$C$151)^K$86+(L$29+(-(D$150-$D$149)*Drivers!$C$392*(1-$D$59)))/(1+$C$151)^L$86+(M$29+(-(D$150-$D$149)*Drivers!$C$392*(1-$D$59)))/(1+$C$151)^M$86+((N$29+(-(D$150-$D$149)*Drivers!$C$392*(1-$D$59)))/($C$151-Drivers!$C$397))/(1+$C$151)^M$86)/$D$116</f>
        <v>1452.80927160345</v>
      </c>
      <c r="E151" s="42" t="n">
        <f aca="false">((D$29+(-(E$150-$D$149)*Drivers!$C$392*(1-$D$59)))/(1+$C$151)^D$86+(E$29+(-(E$150-$D$149)*Drivers!$C$392*(1-$D$59)))/(1+$C$151)^E$86+(F$29+(-(E$150-$D$149)*Drivers!$C$392*(1-$D$59)))/(1+$C$151)^F$86+(G$29+(-(E$150-$D$149)*Drivers!$C$392*(1-$D$59)))/(1+$C$151)^G$86+(H$29+(-(E$150-$D$149)*Drivers!$C$392*(1-$D$59)))/(1+$C$151)^H$86+(I$29+(-(E$150-$D$149)*Drivers!$C$392*(1-$D$59)))/(1+$C$151)^I$86+(J$29+(-(E$150-$D$149)*Drivers!$C$392*(1-$D$59)))/(1+$C$151)^J$86+(K$29+(-(E$150-$D$149)*Drivers!$C$392*(1-$D$59)))/(1+$C$151)^K$86+(L$29+(-(E$150-$D$149)*Drivers!$C$392*(1-$D$59)))/(1+$C$151)^L$86+(M$29+(-(E$150-$D$149)*Drivers!$C$392*(1-$D$59)))/(1+$C$151)^M$86+((N$29+(-(E$150-$D$149)*Drivers!$C$392*(1-$D$59)))/($C$151-Drivers!$C$397))/(1+$C$151)^M$86)/$D$116</f>
        <v>1387.65563293466</v>
      </c>
      <c r="F151" s="42" t="n">
        <f aca="false">((D$29+(-(F$150-$D$149)*Drivers!$C$392*(1-$D$59)))/(1+$C$151)^D$86+(E$29+(-(F$150-$D$149)*Drivers!$C$392*(1-$D$59)))/(1+$C$151)^E$86+(F$29+(-(F$150-$D$149)*Drivers!$C$392*(1-$D$59)))/(1+$C$151)^F$86+(G$29+(-(F$150-$D$149)*Drivers!$C$392*(1-$D$59)))/(1+$C$151)^G$86+(H$29+(-(F$150-$D$149)*Drivers!$C$392*(1-$D$59)))/(1+$C$151)^H$86+(I$29+(-(F$150-$D$149)*Drivers!$C$392*(1-$D$59)))/(1+$C$151)^I$86+(J$29+(-(F$150-$D$149)*Drivers!$C$392*(1-$D$59)))/(1+$C$151)^J$86+(K$29+(-(F$150-$D$149)*Drivers!$C$392*(1-$D$59)))/(1+$C$151)^K$86+(L$29+(-(F$150-$D$149)*Drivers!$C$392*(1-$D$59)))/(1+$C$151)^L$86+(M$29+(-(F$150-$D$149)*Drivers!$C$392*(1-$D$59)))/(1+$C$151)^M$86+((N$29+(-(F$150-$D$149)*Drivers!$C$392*(1-$D$59)))/($C$151-Drivers!$C$397))/(1+$C$151)^M$86)/$D$116</f>
        <v>1348.56344973338</v>
      </c>
      <c r="G151" s="42" t="n">
        <f aca="false">((D$29+(-(G$150-$D$149)*Drivers!$C$392*(1-$D$59)))/(1+$C$151)^D$86+(E$29+(-(G$150-$D$149)*Drivers!$C$392*(1-$D$59)))/(1+$C$151)^E$86+(F$29+(-(G$150-$D$149)*Drivers!$C$392*(1-$D$59)))/(1+$C$151)^F$86+(G$29+(-(G$150-$D$149)*Drivers!$C$392*(1-$D$59)))/(1+$C$151)^G$86+(H$29+(-(G$150-$D$149)*Drivers!$C$392*(1-$D$59)))/(1+$C$151)^H$86+(I$29+(-(G$150-$D$149)*Drivers!$C$392*(1-$D$59)))/(1+$C$151)^I$86+(J$29+(-(G$150-$D$149)*Drivers!$C$392*(1-$D$59)))/(1+$C$151)^J$86+(K$29+(-(G$150-$D$149)*Drivers!$C$392*(1-$D$59)))/(1+$C$151)^K$86+(L$29+(-(G$150-$D$149)*Drivers!$C$392*(1-$D$59)))/(1+$C$151)^L$86+(M$29+(-(G$150-$D$149)*Drivers!$C$392*(1-$D$59)))/(1+$C$151)^M$86+((N$29+(-(G$150-$D$149)*Drivers!$C$392*(1-$D$59)))/($C$151-Drivers!$C$397))/(1+$C$151)^M$86)/$D$116</f>
        <v>1322.50199426587</v>
      </c>
      <c r="H151" s="42" t="n">
        <f aca="false">((D$29+(-(H$150-$D$149)*Drivers!$C$392*(1-$D$59)))/(1+$C$151)^D$86+(E$29+(-(H$150-$D$149)*Drivers!$C$392*(1-$D$59)))/(1+$C$151)^E$86+(F$29+(-(H$150-$D$149)*Drivers!$C$392*(1-$D$59)))/(1+$C$151)^F$86+(G$29+(-(H$150-$D$149)*Drivers!$C$392*(1-$D$59)))/(1+$C$151)^G$86+(H$29+(-(H$150-$D$149)*Drivers!$C$392*(1-$D$59)))/(1+$C$151)^H$86+(I$29+(-(H$150-$D$149)*Drivers!$C$392*(1-$D$59)))/(1+$C$151)^I$86+(J$29+(-(H$150-$D$149)*Drivers!$C$392*(1-$D$59)))/(1+$C$151)^J$86+(K$29+(-(H$150-$D$149)*Drivers!$C$392*(1-$D$59)))/(1+$C$151)^K$86+(L$29+(-(H$150-$D$149)*Drivers!$C$392*(1-$D$59)))/(1+$C$151)^L$86+(M$29+(-(H$150-$D$149)*Drivers!$C$392*(1-$D$59)))/(1+$C$151)^M$86+((N$29+(-(H$150-$D$149)*Drivers!$C$392*(1-$D$59)))/($C$151-Drivers!$C$397))/(1+$C$151)^M$86)/$D$116</f>
        <v>1263.86371946395</v>
      </c>
      <c r="I151" s="42" t="n">
        <f aca="false">((D$29+(-(I$150-$D$149)*Drivers!$C$392*(1-$D$59)))/(1+$C$151)^D$86+(E$29+(-(I$150-$D$149)*Drivers!$C$392*(1-$D$59)))/(1+$C$151)^E$86+(F$29+(-(I$150-$D$149)*Drivers!$C$392*(1-$D$59)))/(1+$C$151)^F$86+(G$29+(-(I$150-$D$149)*Drivers!$C$392*(1-$D$59)))/(1+$C$151)^G$86+(H$29+(-(I$150-$D$149)*Drivers!$C$392*(1-$D$59)))/(1+$C$151)^H$86+(I$29+(-(I$150-$D$149)*Drivers!$C$392*(1-$D$59)))/(1+$C$151)^I$86+(J$29+(-(I$150-$D$149)*Drivers!$C$392*(1-$D$59)))/(1+$C$151)^J$86+(K$29+(-(I$150-$D$149)*Drivers!$C$392*(1-$D$59)))/(1+$C$151)^K$86+(L$29+(-(I$150-$D$149)*Drivers!$C$392*(1-$D$59)))/(1+$C$151)^L$86+(M$29+(-(I$150-$D$149)*Drivers!$C$392*(1-$D$59)))/(1+$C$151)^M$86+((N$29+(-(I$150-$D$149)*Drivers!$C$392*(1-$D$59)))/($C$151-Drivers!$C$397))/(1+$C$151)^M$86)/$D$116</f>
        <v>1257.34835559707</v>
      </c>
      <c r="J151" s="42" t="n">
        <f aca="false">((D$29+(-(J$150-$D$149)*Drivers!$C$392*(1-$D$59)))/(1+$C$151)^D$86+(E$29+(-(J$150-$D$149)*Drivers!$C$392*(1-$D$59)))/(1+$C$151)^E$86+(F$29+(-(J$150-$D$149)*Drivers!$C$392*(1-$D$59)))/(1+$C$151)^F$86+(G$29+(-(J$150-$D$149)*Drivers!$C$392*(1-$D$59)))/(1+$C$151)^G$86+(H$29+(-(J$150-$D$149)*Drivers!$C$392*(1-$D$59)))/(1+$C$151)^H$86+(I$29+(-(J$150-$D$149)*Drivers!$C$392*(1-$D$59)))/(1+$C$151)^I$86+(J$29+(-(J$150-$D$149)*Drivers!$C$392*(1-$D$59)))/(1+$C$151)^J$86+(K$29+(-(J$150-$D$149)*Drivers!$C$392*(1-$D$59)))/(1+$C$151)^K$86+(L$29+(-(J$150-$D$149)*Drivers!$C$392*(1-$D$59)))/(1+$C$151)^L$86+(M$29+(-(J$150-$D$149)*Drivers!$C$392*(1-$D$59)))/(1+$C$151)^M$86+((N$29+(-(J$150-$D$149)*Drivers!$C$392*(1-$D$59)))/($C$151-Drivers!$C$397))/(1+$C$151)^M$86)/$D$116</f>
        <v>1192.19471692828</v>
      </c>
      <c r="K151" s="11"/>
      <c r="L151" s="11"/>
      <c r="M151" s="11"/>
      <c r="N151" s="11"/>
    </row>
    <row r="152" customFormat="false" ht="14.25" hidden="false" customHeight="true" outlineLevel="0" collapsed="false">
      <c r="C152" s="152" t="n">
        <f aca="false">D65-Drivers!$C$428</f>
        <v>0.0521533775559964</v>
      </c>
      <c r="D152" s="42" t="n">
        <f aca="false">((D$29+(-(D$150-$D$149)*Drivers!$C$392*(1-$D$59)))/(1+$C$152)^D$86+(E$29+(-(D$150-$D$149)*Drivers!$C$392*(1-$D$59)))/(1+$C$152)^E$86+(F$29+(-(D$150-$D$149)*Drivers!$C$392*(1-$D$59)))/(1+$C$152)^F$86+(G$29+(-(D$150-$D$149)*Drivers!$C$392*(1-$D$59)))/(1+$C$152)^G$86+(H$29+(-(D$150-$D$149)*Drivers!$C$392*(1-$D$59)))/(1+$C$152)^H$86+(I$29+(-(D$150-$D$149)*Drivers!$C$392*(1-$D$59)))/(1+$C$152)^I$86+(J$29+(-(D$150-$D$149)*Drivers!$C$392*(1-$D$59)))/(1+$C$152)^J$86+(K$29+(-(D$150-$D$149)*Drivers!$C$392*(1-$D$59)))/(1+$C$152)^K$86+(L$29+(-(D$150-$D$149)*Drivers!$C$392*(1-$D$59)))/(1+$C$152)^L$86+(M$29+(-(D$150-$D$149)*Drivers!$C$392*(1-$D$59)))/(1+$C$152)^M$86+((N$29+(-(D$150-$D$149)*Drivers!$C$392*(1-$D$59)))/($C$152-Drivers!$C$397))/(1+$C$152)^M$86)/$D$116</f>
        <v>1228.10380889372</v>
      </c>
      <c r="E152" s="42" t="n">
        <f aca="false">((D$29+(-(E$150-$D$149)*Drivers!$C$392*(1-$D$59)))/(1+$C$152)^D$86+(E$29+(-(E$150-$D$149)*Drivers!$C$392*(1-$D$59)))/(1+$C$152)^E$86+(F$29+(-(E$150-$D$149)*Drivers!$C$392*(1-$D$59)))/(1+$C$152)^F$86+(G$29+(-(E$150-$D$149)*Drivers!$C$392*(1-$D$59)))/(1+$C$152)^G$86+(H$29+(-(E$150-$D$149)*Drivers!$C$392*(1-$D$59)))/(1+$C$152)^H$86+(I$29+(-(E$150-$D$149)*Drivers!$C$392*(1-$D$59)))/(1+$C$152)^I$86+(J$29+(-(E$150-$D$149)*Drivers!$C$392*(1-$D$59)))/(1+$C$152)^J$86+(K$29+(-(E$150-$D$149)*Drivers!$C$392*(1-$D$59)))/(1+$C$152)^K$86+(L$29+(-(E$150-$D$149)*Drivers!$C$392*(1-$D$59)))/(1+$C$152)^L$86+(M$29+(-(E$150-$D$149)*Drivers!$C$392*(1-$D$59)))/(1+$C$152)^M$86+((N$29+(-(E$150-$D$149)*Drivers!$C$392*(1-$D$59)))/($C$152-Drivers!$C$397))/(1+$C$152)^M$86)/$D$116</f>
        <v>1172.1971498865</v>
      </c>
      <c r="F152" s="42" t="n">
        <f aca="false">((D$29+(-(F$150-$D$149)*Drivers!$C$392*(1-$D$59)))/(1+$C$152)^D$86+(E$29+(-(F$150-$D$149)*Drivers!$C$392*(1-$D$59)))/(1+$C$152)^E$86+(F$29+(-(F$150-$D$149)*Drivers!$C$392*(1-$D$59)))/(1+$C$152)^F$86+(G$29+(-(F$150-$D$149)*Drivers!$C$392*(1-$D$59)))/(1+$C$152)^G$86+(H$29+(-(F$150-$D$149)*Drivers!$C$392*(1-$D$59)))/(1+$C$152)^H$86+(I$29+(-(F$150-$D$149)*Drivers!$C$392*(1-$D$59)))/(1+$C$152)^I$86+(J$29+(-(F$150-$D$149)*Drivers!$C$392*(1-$D$59)))/(1+$C$152)^J$86+(K$29+(-(F$150-$D$149)*Drivers!$C$392*(1-$D$59)))/(1+$C$152)^K$86+(L$29+(-(F$150-$D$149)*Drivers!$C$392*(1-$D$59)))/(1+$C$152)^L$86+(M$29+(-(F$150-$D$149)*Drivers!$C$392*(1-$D$59)))/(1+$C$152)^M$86+((N$29+(-(F$150-$D$149)*Drivers!$C$392*(1-$D$59)))/($C$152-Drivers!$C$397))/(1+$C$152)^M$86)/$D$116</f>
        <v>1138.65315448217</v>
      </c>
      <c r="G152" s="42" t="n">
        <f aca="false">((D$29+(-(G$150-$D$149)*Drivers!$C$392*(1-$D$59)))/(1+$C$152)^D$86+(E$29+(-(G$150-$D$149)*Drivers!$C$392*(1-$D$59)))/(1+$C$152)^E$86+(F$29+(-(G$150-$D$149)*Drivers!$C$392*(1-$D$59)))/(1+$C$152)^F$86+(G$29+(-(G$150-$D$149)*Drivers!$C$392*(1-$D$59)))/(1+$C$152)^G$86+(H$29+(-(G$150-$D$149)*Drivers!$C$392*(1-$D$59)))/(1+$C$152)^H$86+(I$29+(-(G$150-$D$149)*Drivers!$C$392*(1-$D$59)))/(1+$C$152)^I$86+(J$29+(-(G$150-$D$149)*Drivers!$C$392*(1-$D$59)))/(1+$C$152)^J$86+(K$29+(-(G$150-$D$149)*Drivers!$C$392*(1-$D$59)))/(1+$C$152)^K$86+(L$29+(-(G$150-$D$149)*Drivers!$C$392*(1-$D$59)))/(1+$C$152)^L$86+(M$29+(-(G$150-$D$149)*Drivers!$C$392*(1-$D$59)))/(1+$C$152)^M$86+((N$29+(-(G$150-$D$149)*Drivers!$C$392*(1-$D$59)))/($C$152-Drivers!$C$397))/(1+$C$152)^M$86)/$D$116</f>
        <v>1116.29049087929</v>
      </c>
      <c r="H152" s="42" t="n">
        <f aca="false">((D$29+(-(H$150-$D$149)*Drivers!$C$392*(1-$D$59)))/(1+$C$152)^D$86+(E$29+(-(H$150-$D$149)*Drivers!$C$392*(1-$D$59)))/(1+$C$152)^E$86+(F$29+(-(H$150-$D$149)*Drivers!$C$392*(1-$D$59)))/(1+$C$152)^F$86+(G$29+(-(H$150-$D$149)*Drivers!$C$392*(1-$D$59)))/(1+$C$152)^G$86+(H$29+(-(H$150-$D$149)*Drivers!$C$392*(1-$D$59)))/(1+$C$152)^H$86+(I$29+(-(H$150-$D$149)*Drivers!$C$392*(1-$D$59)))/(1+$C$152)^I$86+(J$29+(-(H$150-$D$149)*Drivers!$C$392*(1-$D$59)))/(1+$C$152)^J$86+(K$29+(-(H$150-$D$149)*Drivers!$C$392*(1-$D$59)))/(1+$C$152)^K$86+(L$29+(-(H$150-$D$149)*Drivers!$C$392*(1-$D$59)))/(1+$C$152)^L$86+(M$29+(-(H$150-$D$149)*Drivers!$C$392*(1-$D$59)))/(1+$C$152)^M$86+((N$29+(-(H$150-$D$149)*Drivers!$C$392*(1-$D$59)))/($C$152-Drivers!$C$397))/(1+$C$152)^M$86)/$D$116</f>
        <v>1065.9744977728</v>
      </c>
      <c r="I152" s="42" t="n">
        <f aca="false">((D$29+(-(I$150-$D$149)*Drivers!$C$392*(1-$D$59)))/(1+$C$152)^D$86+(E$29+(-(I$150-$D$149)*Drivers!$C$392*(1-$D$59)))/(1+$C$152)^E$86+(F$29+(-(I$150-$D$149)*Drivers!$C$392*(1-$D$59)))/(1+$C$152)^F$86+(G$29+(-(I$150-$D$149)*Drivers!$C$392*(1-$D$59)))/(1+$C$152)^G$86+(H$29+(-(I$150-$D$149)*Drivers!$C$392*(1-$D$59)))/(1+$C$152)^H$86+(I$29+(-(I$150-$D$149)*Drivers!$C$392*(1-$D$59)))/(1+$C$152)^I$86+(J$29+(-(I$150-$D$149)*Drivers!$C$392*(1-$D$59)))/(1+$C$152)^J$86+(K$29+(-(I$150-$D$149)*Drivers!$C$392*(1-$D$59)))/(1+$C$152)^K$86+(L$29+(-(I$150-$D$149)*Drivers!$C$392*(1-$D$59)))/(1+$C$152)^L$86+(M$29+(-(I$150-$D$149)*Drivers!$C$392*(1-$D$59)))/(1+$C$152)^M$86+((N$29+(-(I$150-$D$149)*Drivers!$C$392*(1-$D$59)))/($C$152-Drivers!$C$397))/(1+$C$152)^M$86)/$D$116</f>
        <v>1060.38383187208</v>
      </c>
      <c r="J152" s="42" t="n">
        <f aca="false">((D$29+(-(J$150-$D$149)*Drivers!$C$392*(1-$D$59)))/(1+$C$152)^D$86+(E$29+(-(J$150-$D$149)*Drivers!$C$392*(1-$D$59)))/(1+$C$152)^E$86+(F$29+(-(J$150-$D$149)*Drivers!$C$392*(1-$D$59)))/(1+$C$152)^F$86+(G$29+(-(J$150-$D$149)*Drivers!$C$392*(1-$D$59)))/(1+$C$152)^G$86+(H$29+(-(J$150-$D$149)*Drivers!$C$392*(1-$D$59)))/(1+$C$152)^H$86+(I$29+(-(J$150-$D$149)*Drivers!$C$392*(1-$D$59)))/(1+$C$152)^I$86+(J$29+(-(J$150-$D$149)*Drivers!$C$392*(1-$D$59)))/(1+$C$152)^J$86+(K$29+(-(J$150-$D$149)*Drivers!$C$392*(1-$D$59)))/(1+$C$152)^K$86+(L$29+(-(J$150-$D$149)*Drivers!$C$392*(1-$D$59)))/(1+$C$152)^L$86+(M$29+(-(J$150-$D$149)*Drivers!$C$392*(1-$D$59)))/(1+$C$152)^M$86+((N$29+(-(J$150-$D$149)*Drivers!$C$392*(1-$D$59)))/($C$152-Drivers!$C$397))/(1+$C$152)^M$86)/$D$116</f>
        <v>1004.47717286486</v>
      </c>
      <c r="K152" s="11"/>
      <c r="L152" s="11"/>
      <c r="M152" s="11"/>
      <c r="N152" s="11"/>
    </row>
    <row r="153" customFormat="false" ht="14.25" hidden="false" customHeight="true" outlineLevel="0" collapsed="false">
      <c r="C153" s="152" t="n">
        <f aca="false">D65-Drivers!$C$427</f>
        <v>0.0546533775559964</v>
      </c>
      <c r="D153" s="42" t="n">
        <f aca="false">((D$29+(-(D$150-$D$149)*Drivers!$C$392*(1-$D$59)))/(1+$C$153)^D$86+(E$29+(-(D$150-$D$149)*Drivers!$C$392*(1-$D$59)))/(1+$C$153)^E$86+(F$29+(-(D$150-$D$149)*Drivers!$C$392*(1-$D$59)))/(1+$C$153)^F$86+(G$29+(-(D$150-$D$149)*Drivers!$C$392*(1-$D$59)))/(1+$C$153)^G$86+(H$29+(-(D$150-$D$149)*Drivers!$C$392*(1-$D$59)))/(1+$C$153)^H$86+(I$29+(-(D$150-$D$149)*Drivers!$C$392*(1-$D$59)))/(1+$C$153)^I$86+(J$29+(-(D$150-$D$149)*Drivers!$C$392*(1-$D$59)))/(1+$C$153)^J$86+(K$29+(-(D$150-$D$149)*Drivers!$C$392*(1-$D$59)))/(1+$C$153)^K$86+(L$29+(-(D$150-$D$149)*Drivers!$C$392*(1-$D$59)))/(1+$C$153)^L$86+(M$29+(-(D$150-$D$149)*Drivers!$C$392*(1-$D$59)))/(1+$C$153)^M$86+((N$29+(-(D$150-$D$149)*Drivers!$C$392*(1-$D$59)))/($C$153-Drivers!$C$397))/(1+$C$153)^M$86)/$D$116</f>
        <v>1060.8405344447</v>
      </c>
      <c r="E153" s="42" t="n">
        <f aca="false">((D$29+(-(E$150-$D$149)*Drivers!$C$392*(1-$D$59)))/(1+$C$153)^D$86+(E$29+(-(E$150-$D$149)*Drivers!$C$392*(1-$D$59)))/(1+$C$153)^E$86+(F$29+(-(E$150-$D$149)*Drivers!$C$392*(1-$D$59)))/(1+$C$153)^F$86+(G$29+(-(E$150-$D$149)*Drivers!$C$392*(1-$D$59)))/(1+$C$153)^G$86+(H$29+(-(E$150-$D$149)*Drivers!$C$392*(1-$D$59)))/(1+$C$153)^H$86+(I$29+(-(E$150-$D$149)*Drivers!$C$392*(1-$D$59)))/(1+$C$153)^I$86+(J$29+(-(E$150-$D$149)*Drivers!$C$392*(1-$D$59)))/(1+$C$153)^J$86+(K$29+(-(E$150-$D$149)*Drivers!$C$392*(1-$D$59)))/(1+$C$153)^K$86+(L$29+(-(E$150-$D$149)*Drivers!$C$392*(1-$D$59)))/(1+$C$153)^L$86+(M$29+(-(E$150-$D$149)*Drivers!$C$392*(1-$D$59)))/(1+$C$153)^M$86+((N$29+(-(E$150-$D$149)*Drivers!$C$392*(1-$D$59)))/($C$153-Drivers!$C$397))/(1+$C$153)^M$86)/$D$116</f>
        <v>1011.8322669863</v>
      </c>
      <c r="F153" s="42" t="n">
        <f aca="false">((D$29+(-(F$150-$D$149)*Drivers!$C$392*(1-$D$59)))/(1+$C$153)^D$86+(E$29+(-(F$150-$D$149)*Drivers!$C$392*(1-$D$59)))/(1+$C$153)^E$86+(F$29+(-(F$150-$D$149)*Drivers!$C$392*(1-$D$59)))/(1+$C$153)^F$86+(G$29+(-(F$150-$D$149)*Drivers!$C$392*(1-$D$59)))/(1+$C$153)^G$86+(H$29+(-(F$150-$D$149)*Drivers!$C$392*(1-$D$59)))/(1+$C$153)^H$86+(I$29+(-(F$150-$D$149)*Drivers!$C$392*(1-$D$59)))/(1+$C$153)^I$86+(J$29+(-(F$150-$D$149)*Drivers!$C$392*(1-$D$59)))/(1+$C$153)^J$86+(K$29+(-(F$150-$D$149)*Drivers!$C$392*(1-$D$59)))/(1+$C$153)^K$86+(L$29+(-(F$150-$D$149)*Drivers!$C$392*(1-$D$59)))/(1+$C$153)^L$86+(M$29+(-(F$150-$D$149)*Drivers!$C$392*(1-$D$59)))/(1+$C$153)^M$86+((N$29+(-(F$150-$D$149)*Drivers!$C$392*(1-$D$59)))/($C$153-Drivers!$C$397))/(1+$C$153)^M$86)/$D$116</f>
        <v>982.427306511263</v>
      </c>
      <c r="G153" s="42" t="n">
        <f aca="false">((D$29+(-(G$150-$D$149)*Drivers!$C$392*(1-$D$59)))/(1+$C$153)^D$86+(E$29+(-(G$150-$D$149)*Drivers!$C$392*(1-$D$59)))/(1+$C$153)^E$86+(F$29+(-(G$150-$D$149)*Drivers!$C$392*(1-$D$59)))/(1+$C$153)^F$86+(G$29+(-(G$150-$D$149)*Drivers!$C$392*(1-$D$59)))/(1+$C$153)^G$86+(H$29+(-(G$150-$D$149)*Drivers!$C$392*(1-$D$59)))/(1+$C$153)^H$86+(I$29+(-(G$150-$D$149)*Drivers!$C$392*(1-$D$59)))/(1+$C$153)^I$86+(J$29+(-(G$150-$D$149)*Drivers!$C$392*(1-$D$59)))/(1+$C$153)^J$86+(K$29+(-(G$150-$D$149)*Drivers!$C$392*(1-$D$59)))/(1+$C$153)^K$86+(L$29+(-(G$150-$D$149)*Drivers!$C$392*(1-$D$59)))/(1+$C$153)^L$86+(M$29+(-(G$150-$D$149)*Drivers!$C$392*(1-$D$59)))/(1+$C$153)^M$86+((N$29+(-(G$150-$D$149)*Drivers!$C$392*(1-$D$59)))/($C$153-Drivers!$C$397))/(1+$C$153)^M$86)/$D$116</f>
        <v>962.823999527904</v>
      </c>
      <c r="H153" s="42" t="n">
        <f aca="false">((D$29+(-(H$150-$D$149)*Drivers!$C$392*(1-$D$59)))/(1+$C$153)^D$86+(E$29+(-(H$150-$D$149)*Drivers!$C$392*(1-$D$59)))/(1+$C$153)^E$86+(F$29+(-(H$150-$D$149)*Drivers!$C$392*(1-$D$59)))/(1+$C$153)^F$86+(G$29+(-(H$150-$D$149)*Drivers!$C$392*(1-$D$59)))/(1+$C$153)^G$86+(H$29+(-(H$150-$D$149)*Drivers!$C$392*(1-$D$59)))/(1+$C$153)^H$86+(I$29+(-(H$150-$D$149)*Drivers!$C$392*(1-$D$59)))/(1+$C$153)^I$86+(J$29+(-(H$150-$D$149)*Drivers!$C$392*(1-$D$59)))/(1+$C$153)^J$86+(K$29+(-(H$150-$D$149)*Drivers!$C$392*(1-$D$59)))/(1+$C$153)^K$86+(L$29+(-(H$150-$D$149)*Drivers!$C$392*(1-$D$59)))/(1+$C$153)^L$86+(M$29+(-(H$150-$D$149)*Drivers!$C$392*(1-$D$59)))/(1+$C$153)^M$86+((N$29+(-(H$150-$D$149)*Drivers!$C$392*(1-$D$59)))/($C$153-Drivers!$C$397))/(1+$C$153)^M$86)/$D$116</f>
        <v>918.716558815346</v>
      </c>
      <c r="I153" s="42" t="n">
        <f aca="false">((D$29+(-(I$150-$D$149)*Drivers!$C$392*(1-$D$59)))/(1+$C$153)^D$86+(E$29+(-(I$150-$D$149)*Drivers!$C$392*(1-$D$59)))/(1+$C$153)^E$86+(F$29+(-(I$150-$D$149)*Drivers!$C$392*(1-$D$59)))/(1+$C$153)^F$86+(G$29+(-(I$150-$D$149)*Drivers!$C$392*(1-$D$59)))/(1+$C$153)^G$86+(H$29+(-(I$150-$D$149)*Drivers!$C$392*(1-$D$59)))/(1+$C$153)^H$86+(I$29+(-(I$150-$D$149)*Drivers!$C$392*(1-$D$59)))/(1+$C$153)^I$86+(J$29+(-(I$150-$D$149)*Drivers!$C$392*(1-$D$59)))/(1+$C$153)^J$86+(K$29+(-(I$150-$D$149)*Drivers!$C$392*(1-$D$59)))/(1+$C$153)^K$86+(L$29+(-(I$150-$D$149)*Drivers!$C$392*(1-$D$59)))/(1+$C$153)^L$86+(M$29+(-(I$150-$D$149)*Drivers!$C$392*(1-$D$59)))/(1+$C$153)^M$86+((N$29+(-(I$150-$D$149)*Drivers!$C$392*(1-$D$59)))/($C$153-Drivers!$C$397))/(1+$C$153)^M$86)/$D$116</f>
        <v>913.815732069506</v>
      </c>
      <c r="J153" s="42" t="n">
        <f aca="false">((D$29+(-(J$150-$D$149)*Drivers!$C$392*(1-$D$59)))/(1+$C$153)^D$86+(E$29+(-(J$150-$D$149)*Drivers!$C$392*(1-$D$59)))/(1+$C$153)^E$86+(F$29+(-(J$150-$D$149)*Drivers!$C$392*(1-$D$59)))/(1+$C$153)^F$86+(G$29+(-(J$150-$D$149)*Drivers!$C$392*(1-$D$59)))/(1+$C$153)^G$86+(H$29+(-(J$150-$D$149)*Drivers!$C$392*(1-$D$59)))/(1+$C$153)^H$86+(I$29+(-(J$150-$D$149)*Drivers!$C$392*(1-$D$59)))/(1+$C$153)^I$86+(J$29+(-(J$150-$D$149)*Drivers!$C$392*(1-$D$59)))/(1+$C$153)^J$86+(K$29+(-(J$150-$D$149)*Drivers!$C$392*(1-$D$59)))/(1+$C$153)^K$86+(L$29+(-(J$150-$D$149)*Drivers!$C$392*(1-$D$59)))/(1+$C$153)^L$86+(M$29+(-(J$150-$D$149)*Drivers!$C$392*(1-$D$59)))/(1+$C$153)^M$86+((N$29+(-(J$150-$D$149)*Drivers!$C$392*(1-$D$59)))/($C$153-Drivers!$C$397))/(1+$C$153)^M$86)/$D$116</f>
        <v>864.807464611108</v>
      </c>
      <c r="K153" s="11"/>
      <c r="L153" s="11"/>
      <c r="M153" s="11"/>
      <c r="N153" s="11"/>
    </row>
    <row r="154" customFormat="false" ht="14.25" hidden="false" customHeight="true" outlineLevel="0" collapsed="false">
      <c r="C154" s="152" t="n">
        <f aca="false">D65-Drivers!$C$426</f>
        <v>0.0571533775559964</v>
      </c>
      <c r="D154" s="42" t="n">
        <f aca="false">((D$29+(-(D$150-$D$149)*Drivers!$C$392*(1-$D$59)))/(1+$C$154)^D$86+(E$29+(-(D$150-$D$149)*Drivers!$C$392*(1-$D$59)))/(1+$C$154)^E$86+(F$29+(-(D$150-$D$149)*Drivers!$C$392*(1-$D$59)))/(1+$C$154)^F$86+(G$29+(-(D$150-$D$149)*Drivers!$C$392*(1-$D$59)))/(1+$C$154)^G$86+(H$29+(-(D$150-$D$149)*Drivers!$C$392*(1-$D$59)))/(1+$C$154)^H$86+(I$29+(-(D$150-$D$149)*Drivers!$C$392*(1-$D$59)))/(1+$C$154)^I$86+(J$29+(-(D$150-$D$149)*Drivers!$C$392*(1-$D$59)))/(1+$C$154)^J$86+(K$29+(-(D$150-$D$149)*Drivers!$C$392*(1-$D$59)))/(1+$C$154)^K$86+(L$29+(-(D$150-$D$149)*Drivers!$C$392*(1-$D$59)))/(1+$C$154)^L$86+(M$29+(-(D$150-$D$149)*Drivers!$C$392*(1-$D$59)))/(1+$C$154)^M$86+((N$29+(-(D$150-$D$149)*Drivers!$C$392*(1-$D$59)))/($C$154-Drivers!$C$397))/(1+$C$154)^M$86)/$D$116</f>
        <v>931.566012862595</v>
      </c>
      <c r="E154" s="42" t="n">
        <f aca="false">((D$29+(-(E$150-$D$149)*Drivers!$C$392*(1-$D$59)))/(1+$C$154)^D$86+(E$29+(-(E$150-$D$149)*Drivers!$C$392*(1-$D$59)))/(1+$C$154)^E$86+(F$29+(-(E$150-$D$149)*Drivers!$C$392*(1-$D$59)))/(1+$C$154)^F$86+(G$29+(-(E$150-$D$149)*Drivers!$C$392*(1-$D$59)))/(1+$C$154)^G$86+(H$29+(-(E$150-$D$149)*Drivers!$C$392*(1-$D$59)))/(1+$C$154)^H$86+(I$29+(-(E$150-$D$149)*Drivers!$C$392*(1-$D$59)))/(1+$C$154)^I$86+(J$29+(-(E$150-$D$149)*Drivers!$C$392*(1-$D$59)))/(1+$C$154)^J$86+(K$29+(-(E$150-$D$149)*Drivers!$C$392*(1-$D$59)))/(1+$C$154)^K$86+(L$29+(-(E$150-$D$149)*Drivers!$C$392*(1-$D$59)))/(1+$C$154)^L$86+(M$29+(-(E$150-$D$149)*Drivers!$C$392*(1-$D$59)))/(1+$C$154)^M$86+((N$29+(-(E$150-$D$149)*Drivers!$C$392*(1-$D$59)))/($C$154-Drivers!$C$397))/(1+$C$154)^M$86)/$D$116</f>
        <v>887.902582805002</v>
      </c>
      <c r="F154" s="42" t="n">
        <f aca="false">((D$29+(-(F$150-$D$149)*Drivers!$C$392*(1-$D$59)))/(1+$C$154)^D$86+(E$29+(-(F$150-$D$149)*Drivers!$C$392*(1-$D$59)))/(1+$C$154)^E$86+(F$29+(-(F$150-$D$149)*Drivers!$C$392*(1-$D$59)))/(1+$C$154)^F$86+(G$29+(-(F$150-$D$149)*Drivers!$C$392*(1-$D$59)))/(1+$C$154)^G$86+(H$29+(-(F$150-$D$149)*Drivers!$C$392*(1-$D$59)))/(1+$C$154)^H$86+(I$29+(-(F$150-$D$149)*Drivers!$C$392*(1-$D$59)))/(1+$C$154)^I$86+(J$29+(-(F$150-$D$149)*Drivers!$C$392*(1-$D$59)))/(1+$C$154)^J$86+(K$29+(-(F$150-$D$149)*Drivers!$C$392*(1-$D$59)))/(1+$C$154)^K$86+(L$29+(-(F$150-$D$149)*Drivers!$C$392*(1-$D$59)))/(1+$C$154)^L$86+(M$29+(-(F$150-$D$149)*Drivers!$C$392*(1-$D$59)))/(1+$C$154)^M$86+((N$29+(-(F$150-$D$149)*Drivers!$C$392*(1-$D$59)))/($C$154-Drivers!$C$397))/(1+$C$154)^M$86)/$D$116</f>
        <v>861.704524770447</v>
      </c>
      <c r="G154" s="42" t="n">
        <f aca="false">((D$29+(-(G$150-$D$149)*Drivers!$C$392*(1-$D$59)))/(1+$C$154)^D$86+(E$29+(-(G$150-$D$149)*Drivers!$C$392*(1-$D$59)))/(1+$C$154)^E$86+(F$29+(-(G$150-$D$149)*Drivers!$C$392*(1-$D$59)))/(1+$C$154)^F$86+(G$29+(-(G$150-$D$149)*Drivers!$C$392*(1-$D$59)))/(1+$C$154)^G$86+(H$29+(-(G$150-$D$149)*Drivers!$C$392*(1-$D$59)))/(1+$C$154)^H$86+(I$29+(-(G$150-$D$149)*Drivers!$C$392*(1-$D$59)))/(1+$C$154)^I$86+(J$29+(-(G$150-$D$149)*Drivers!$C$392*(1-$D$59)))/(1+$C$154)^J$86+(K$29+(-(G$150-$D$149)*Drivers!$C$392*(1-$D$59)))/(1+$C$154)^K$86+(L$29+(-(G$150-$D$149)*Drivers!$C$392*(1-$D$59)))/(1+$C$154)^L$86+(M$29+(-(G$150-$D$149)*Drivers!$C$392*(1-$D$59)))/(1+$C$154)^M$86+((N$29+(-(G$150-$D$149)*Drivers!$C$392*(1-$D$59)))/($C$154-Drivers!$C$397))/(1+$C$154)^M$86)/$D$116</f>
        <v>844.239152747409</v>
      </c>
      <c r="H154" s="42" t="n">
        <f aca="false">((D$29+(-(H$150-$D$149)*Drivers!$C$392*(1-$D$59)))/(1+$C$154)^D$86+(E$29+(-(H$150-$D$149)*Drivers!$C$392*(1-$D$59)))/(1+$C$154)^E$86+(F$29+(-(H$150-$D$149)*Drivers!$C$392*(1-$D$59)))/(1+$C$154)^F$86+(G$29+(-(H$150-$D$149)*Drivers!$C$392*(1-$D$59)))/(1+$C$154)^G$86+(H$29+(-(H$150-$D$149)*Drivers!$C$392*(1-$D$59)))/(1+$C$154)^H$86+(I$29+(-(H$150-$D$149)*Drivers!$C$392*(1-$D$59)))/(1+$C$154)^I$86+(J$29+(-(H$150-$D$149)*Drivers!$C$392*(1-$D$59)))/(1+$C$154)^J$86+(K$29+(-(H$150-$D$149)*Drivers!$C$392*(1-$D$59)))/(1+$C$154)^K$86+(L$29+(-(H$150-$D$149)*Drivers!$C$392*(1-$D$59)))/(1+$C$154)^L$86+(M$29+(-(H$150-$D$149)*Drivers!$C$392*(1-$D$59)))/(1+$C$154)^M$86+((N$29+(-(H$150-$D$149)*Drivers!$C$392*(1-$D$59)))/($C$154-Drivers!$C$397))/(1+$C$154)^M$86)/$D$116</f>
        <v>804.942065695576</v>
      </c>
      <c r="I154" s="42" t="n">
        <f aca="false">((D$29+(-(I$150-$D$149)*Drivers!$C$392*(1-$D$59)))/(1+$C$154)^D$86+(E$29+(-(I$150-$D$149)*Drivers!$C$392*(1-$D$59)))/(1+$C$154)^E$86+(F$29+(-(I$150-$D$149)*Drivers!$C$392*(1-$D$59)))/(1+$C$154)^F$86+(G$29+(-(I$150-$D$149)*Drivers!$C$392*(1-$D$59)))/(1+$C$154)^G$86+(H$29+(-(I$150-$D$149)*Drivers!$C$392*(1-$D$59)))/(1+$C$154)^H$86+(I$29+(-(I$150-$D$149)*Drivers!$C$392*(1-$D$59)))/(1+$C$154)^I$86+(J$29+(-(I$150-$D$149)*Drivers!$C$392*(1-$D$59)))/(1+$C$154)^J$86+(K$29+(-(I$150-$D$149)*Drivers!$C$392*(1-$D$59)))/(1+$C$154)^K$86+(L$29+(-(I$150-$D$149)*Drivers!$C$392*(1-$D$59)))/(1+$C$154)^L$86+(M$29+(-(I$150-$D$149)*Drivers!$C$392*(1-$D$59)))/(1+$C$154)^M$86+((N$29+(-(I$150-$D$149)*Drivers!$C$392*(1-$D$59)))/($C$154-Drivers!$C$397))/(1+$C$154)^M$86)/$D$116</f>
        <v>800.575722689817</v>
      </c>
      <c r="J154" s="42" t="n">
        <f aca="false">((D$29+(-(J$150-$D$149)*Drivers!$C$392*(1-$D$59)))/(1+$C$154)^D$86+(E$29+(-(J$150-$D$149)*Drivers!$C$392*(1-$D$59)))/(1+$C$154)^E$86+(F$29+(-(J$150-$D$149)*Drivers!$C$392*(1-$D$59)))/(1+$C$154)^F$86+(G$29+(-(J$150-$D$149)*Drivers!$C$392*(1-$D$59)))/(1+$C$154)^G$86+(H$29+(-(J$150-$D$149)*Drivers!$C$392*(1-$D$59)))/(1+$C$154)^H$86+(I$29+(-(J$150-$D$149)*Drivers!$C$392*(1-$D$59)))/(1+$C$154)^I$86+(J$29+(-(J$150-$D$149)*Drivers!$C$392*(1-$D$59)))/(1+$C$154)^J$86+(K$29+(-(J$150-$D$149)*Drivers!$C$392*(1-$D$59)))/(1+$C$154)^K$86+(L$29+(-(J$150-$D$149)*Drivers!$C$392*(1-$D$59)))/(1+$C$154)^L$86+(M$29+(-(J$150-$D$149)*Drivers!$C$392*(1-$D$59)))/(1+$C$154)^M$86+((N$29+(-(J$150-$D$149)*Drivers!$C$392*(1-$D$59)))/($C$154-Drivers!$C$397))/(1+$C$154)^M$86)/$D$116</f>
        <v>756.912292632224</v>
      </c>
      <c r="K154" s="11"/>
      <c r="L154" s="11"/>
      <c r="M154" s="11"/>
      <c r="N154" s="11"/>
    </row>
    <row r="155" customFormat="false" ht="14.25" hidden="false" customHeight="true" outlineLevel="0" collapsed="false">
      <c r="C155" s="34" t="n">
        <f aca="false">D65</f>
        <v>0.0596533775559964</v>
      </c>
      <c r="D155" s="42" t="n">
        <f aca="false">((D$29+(-(D$150-$D$149)*Drivers!$C$392*(1-$D$59)))/(1+$C$155)^D$86+(E$29+(-(D$150-$D$149)*Drivers!$C$392*(1-$D$59)))/(1+$C$155)^E$86+(F$29+(-(D$150-$D$149)*Drivers!$C$392*(1-$D$59)))/(1+$C$155)^F$86+(G$29+(-(D$150-$D$149)*Drivers!$C$392*(1-$D$59)))/(1+$C$155)^G$86+(H$29+(-(D$150-$D$149)*Drivers!$C$392*(1-$D$59)))/(1+$C$155)^H$86+(I$29+(-(D$150-$D$149)*Drivers!$C$392*(1-$D$59)))/(1+$C$155)^I$86+(J$29+(-(D$150-$D$149)*Drivers!$C$392*(1-$D$59)))/(1+$C$155)^J$86+(K$29+(-(D$150-$D$149)*Drivers!$C$392*(1-$D$59)))/(1+$C$155)^K$86+(L$29+(-(D$150-$D$149)*Drivers!$C$392*(1-$D$59)))/(1+$C$155)^L$86+(M$29+(-(D$150-$D$149)*Drivers!$C$392*(1-$D$59)))/(1+$C$155)^M$86+((N$29+(-(D$150-$D$149)*Drivers!$C$392*(1-$D$59)))/($C$155-Drivers!$C$397))/(1+$C$155)^M$86)/$D$116</f>
        <v>828.717757090033</v>
      </c>
      <c r="E155" s="42" t="n">
        <f aca="false">((D$29+(-(E$150-$D$149)*Drivers!$C$392*(1-$D$59)))/(1+$C$155)^D$86+(E$29+(-(E$150-$D$149)*Drivers!$C$392*(1-$D$59)))/(1+$C$155)^E$86+(F$29+(-(E$150-$D$149)*Drivers!$C$392*(1-$D$59)))/(1+$C$155)^F$86+(G$29+(-(E$150-$D$149)*Drivers!$C$392*(1-$D$59)))/(1+$C$155)^G$86+(H$29+(-(E$150-$D$149)*Drivers!$C$392*(1-$D$59)))/(1+$C$155)^H$86+(I$29+(-(E$150-$D$149)*Drivers!$C$392*(1-$D$59)))/(1+$C$155)^I$86+(J$29+(-(E$150-$D$149)*Drivers!$C$392*(1-$D$59)))/(1+$C$155)^J$86+(K$29+(-(E$150-$D$149)*Drivers!$C$392*(1-$D$59)))/(1+$C$155)^K$86+(L$29+(-(E$150-$D$149)*Drivers!$C$392*(1-$D$59)))/(1+$C$155)^L$86+(M$29+(-(E$150-$D$149)*Drivers!$C$392*(1-$D$59)))/(1+$C$155)^M$86+((N$29+(-(E$150-$D$149)*Drivers!$C$392*(1-$D$59)))/($C$155-Drivers!$C$397))/(1+$C$155)^M$86)/$D$116</f>
        <v>789.318161246226</v>
      </c>
      <c r="F155" s="42" t="n">
        <f aca="false">((D$29+(-(F$150-$D$149)*Drivers!$C$392*(1-$D$59)))/(1+$C$155)^D$86+(E$29+(-(F$150-$D$149)*Drivers!$C$392*(1-$D$59)))/(1+$C$155)^E$86+(F$29+(-(F$150-$D$149)*Drivers!$C$392*(1-$D$59)))/(1+$C$155)^F$86+(G$29+(-(F$150-$D$149)*Drivers!$C$392*(1-$D$59)))/(1+$C$155)^G$86+(H$29+(-(F$150-$D$149)*Drivers!$C$392*(1-$D$59)))/(1+$C$155)^H$86+(I$29+(-(F$150-$D$149)*Drivers!$C$392*(1-$D$59)))/(1+$C$155)^I$86+(J$29+(-(F$150-$D$149)*Drivers!$C$392*(1-$D$59)))/(1+$C$155)^J$86+(K$29+(-(F$150-$D$149)*Drivers!$C$392*(1-$D$59)))/(1+$C$155)^K$86+(L$29+(-(F$150-$D$149)*Drivers!$C$392*(1-$D$59)))/(1+$C$155)^L$86+(M$29+(-(F$150-$D$149)*Drivers!$C$392*(1-$D$59)))/(1+$C$155)^M$86+((N$29+(-(F$150-$D$149)*Drivers!$C$392*(1-$D$59)))/($C$155-Drivers!$C$397))/(1+$C$155)^M$86)/$D$116</f>
        <v>765.678403739942</v>
      </c>
      <c r="G155" s="42" t="n">
        <f aca="false">((D$29+(-(G$150-$D$149)*Drivers!$C$392*(1-$D$59)))/(1+$C$155)^D$86+(E$29+(-(G$150-$D$149)*Drivers!$C$392*(1-$D$59)))/(1+$C$155)^E$86+(F$29+(-(G$150-$D$149)*Drivers!$C$392*(1-$D$59)))/(1+$C$155)^F$86+(G$29+(-(G$150-$D$149)*Drivers!$C$392*(1-$D$59)))/(1+$C$155)^G$86+(H$29+(-(G$150-$D$149)*Drivers!$C$392*(1-$D$59)))/(1+$C$155)^H$86+(I$29+(-(G$150-$D$149)*Drivers!$C$392*(1-$D$59)))/(1+$C$155)^I$86+(J$29+(-(G$150-$D$149)*Drivers!$C$392*(1-$D$59)))/(1+$C$155)^J$86+(K$29+(-(G$150-$D$149)*Drivers!$C$392*(1-$D$59)))/(1+$C$155)^K$86+(L$29+(-(G$150-$D$149)*Drivers!$C$392*(1-$D$59)))/(1+$C$155)^L$86+(M$29+(-(G$150-$D$149)*Drivers!$C$392*(1-$D$59)))/(1+$C$155)^M$86+((N$29+(-(G$150-$D$149)*Drivers!$C$392*(1-$D$59)))/($C$155-Drivers!$C$397))/(1+$C$155)^M$86)/$D$116</f>
        <v>749.918565402419</v>
      </c>
      <c r="H155" s="42" t="n">
        <f aca="false">((D$29+(-(H$150-$D$149)*Drivers!$C$392*(1-$D$59)))/(1+$C$155)^D$86+(E$29+(-(H$150-$D$149)*Drivers!$C$392*(1-$D$59)))/(1+$C$155)^E$86+(F$29+(-(H$150-$D$149)*Drivers!$C$392*(1-$D$59)))/(1+$C$155)^F$86+(G$29+(-(H$150-$D$149)*Drivers!$C$392*(1-$D$59)))/(1+$C$155)^G$86+(H$29+(-(H$150-$D$149)*Drivers!$C$392*(1-$D$59)))/(1+$C$155)^H$86+(I$29+(-(H$150-$D$149)*Drivers!$C$392*(1-$D$59)))/(1+$C$155)^I$86+(J$29+(-(H$150-$D$149)*Drivers!$C$392*(1-$D$59)))/(1+$C$155)^J$86+(K$29+(-(H$150-$D$149)*Drivers!$C$392*(1-$D$59)))/(1+$C$155)^K$86+(L$29+(-(H$150-$D$149)*Drivers!$C$392*(1-$D$59)))/(1+$C$155)^L$86+(M$29+(-(H$150-$D$149)*Drivers!$C$392*(1-$D$59)))/(1+$C$155)^M$86+((N$29+(-(H$150-$D$149)*Drivers!$C$392*(1-$D$59)))/($C$155-Drivers!$C$397))/(1+$C$155)^M$86)/$D$116</f>
        <v>714.458929142994</v>
      </c>
      <c r="I155" s="42" t="n">
        <f aca="false">((D$29+(-(I$150-$D$149)*Drivers!$C$392*(1-$D$59)))/(1+$C$155)^D$86+(E$29+(-(I$150-$D$149)*Drivers!$C$392*(1-$D$59)))/(1+$C$155)^E$86+(F$29+(-(I$150-$D$149)*Drivers!$C$392*(1-$D$59)))/(1+$C$155)^F$86+(G$29+(-(I$150-$D$149)*Drivers!$C$392*(1-$D$59)))/(1+$C$155)^G$86+(H$29+(-(I$150-$D$149)*Drivers!$C$392*(1-$D$59)))/(1+$C$155)^H$86+(I$29+(-(I$150-$D$149)*Drivers!$C$392*(1-$D$59)))/(1+$C$155)^I$86+(J$29+(-(I$150-$D$149)*Drivers!$C$392*(1-$D$59)))/(1+$C$155)^J$86+(K$29+(-(I$150-$D$149)*Drivers!$C$392*(1-$D$59)))/(1+$C$155)^K$86+(L$29+(-(I$150-$D$149)*Drivers!$C$392*(1-$D$59)))/(1+$C$155)^L$86+(M$29+(-(I$150-$D$149)*Drivers!$C$392*(1-$D$59)))/(1+$C$155)^M$86+((N$29+(-(I$150-$D$149)*Drivers!$C$392*(1-$D$59)))/($C$155-Drivers!$C$397))/(1+$C$155)^M$86)/$D$116</f>
        <v>710.518969558613</v>
      </c>
      <c r="J155" s="42" t="n">
        <f aca="false">((D$29+(-(J$150-$D$149)*Drivers!$C$392*(1-$D$59)))/(1+$C$155)^D$86+(E$29+(-(J$150-$D$149)*Drivers!$C$392*(1-$D$59)))/(1+$C$155)^E$86+(F$29+(-(J$150-$D$149)*Drivers!$C$392*(1-$D$59)))/(1+$C$155)^F$86+(G$29+(-(J$150-$D$149)*Drivers!$C$392*(1-$D$59)))/(1+$C$155)^G$86+(H$29+(-(J$150-$D$149)*Drivers!$C$392*(1-$D$59)))/(1+$C$155)^H$86+(I$29+(-(J$150-$D$149)*Drivers!$C$392*(1-$D$59)))/(1+$C$155)^I$86+(J$29+(-(J$150-$D$149)*Drivers!$C$392*(1-$D$59)))/(1+$C$155)^J$86+(K$29+(-(J$150-$D$149)*Drivers!$C$392*(1-$D$59)))/(1+$C$155)^K$86+(L$29+(-(J$150-$D$149)*Drivers!$C$392*(1-$D$59)))/(1+$C$155)^L$86+(M$29+(-(J$150-$D$149)*Drivers!$C$392*(1-$D$59)))/(1+$C$155)^M$86+((N$29+(-(J$150-$D$149)*Drivers!$C$392*(1-$D$59)))/($C$155-Drivers!$C$397))/(1+$C$155)^M$86)/$D$116</f>
        <v>671.119373714807</v>
      </c>
      <c r="K155" s="11"/>
      <c r="L155" s="11"/>
      <c r="M155" s="11"/>
      <c r="N155" s="11"/>
    </row>
    <row r="156" customFormat="false" ht="14.25" hidden="false" customHeight="true" outlineLevel="0" collapsed="false">
      <c r="C156" s="152" t="n">
        <f aca="false">D65+Drivers!$C$426</f>
        <v>0.0621533775559964</v>
      </c>
      <c r="D156" s="42" t="n">
        <f aca="false">((D$29+(-(D$150-$D$149)*Drivers!$C$392*(1-$D$59)))/(1+$C$156)^D$86+(E$29+(-(D$150-$D$149)*Drivers!$C$392*(1-$D$59)))/(1+$C$156)^E$86+(F$29+(-(D$150-$D$149)*Drivers!$C$392*(1-$D$59)))/(1+$C$156)^F$86+(G$29+(-(D$150-$D$149)*Drivers!$C$392*(1-$D$59)))/(1+$C$156)^G$86+(H$29+(-(D$150-$D$149)*Drivers!$C$392*(1-$D$59)))/(1+$C$156)^H$86+(I$29+(-(D$150-$D$149)*Drivers!$C$392*(1-$D$59)))/(1+$C$156)^I$86+(J$29+(-(D$150-$D$149)*Drivers!$C$392*(1-$D$59)))/(1+$C$156)^J$86+(K$29+(-(D$150-$D$149)*Drivers!$C$392*(1-$D$59)))/(1+$C$156)^K$86+(L$29+(-(D$150-$D$149)*Drivers!$C$392*(1-$D$59)))/(1+$C$156)^L$86+(M$29+(-(D$150-$D$149)*Drivers!$C$392*(1-$D$59)))/(1+$C$156)^M$86+((N$29+(-(D$150-$D$149)*Drivers!$C$392*(1-$D$59)))/($C$156-Drivers!$C$397))/(1+$C$156)^M$86)/$D$116</f>
        <v>744.991642107861</v>
      </c>
      <c r="E156" s="42" t="n">
        <f aca="false">((D$29+(-(E$150-$D$149)*Drivers!$C$392*(1-$D$59)))/(1+$C$156)^D$86+(E$29+(-(E$150-$D$149)*Drivers!$C$392*(1-$D$59)))/(1+$C$156)^E$86+(F$29+(-(E$150-$D$149)*Drivers!$C$392*(1-$D$59)))/(1+$C$156)^F$86+(G$29+(-(E$150-$D$149)*Drivers!$C$392*(1-$D$59)))/(1+$C$156)^G$86+(H$29+(-(E$150-$D$149)*Drivers!$C$392*(1-$D$59)))/(1+$C$156)^H$86+(I$29+(-(E$150-$D$149)*Drivers!$C$392*(1-$D$59)))/(1+$C$156)^I$86+(J$29+(-(E$150-$D$149)*Drivers!$C$392*(1-$D$59)))/(1+$C$156)^J$86+(K$29+(-(E$150-$D$149)*Drivers!$C$392*(1-$D$59)))/(1+$C$156)^K$86+(L$29+(-(E$150-$D$149)*Drivers!$C$392*(1-$D$59)))/(1+$C$156)^L$86+(M$29+(-(E$150-$D$149)*Drivers!$C$392*(1-$D$59)))/(1+$C$156)^M$86+((N$29+(-(E$150-$D$149)*Drivers!$C$392*(1-$D$59)))/($C$156-Drivers!$C$397))/(1+$C$156)^M$86)/$D$116</f>
        <v>709.073399570519</v>
      </c>
      <c r="F156" s="42" t="n">
        <f aca="false">((D$29+(-(F$150-$D$149)*Drivers!$C$392*(1-$D$59)))/(1+$C$156)^D$86+(E$29+(-(F$150-$D$149)*Drivers!$C$392*(1-$D$59)))/(1+$C$156)^E$86+(F$29+(-(F$150-$D$149)*Drivers!$C$392*(1-$D$59)))/(1+$C$156)^F$86+(G$29+(-(F$150-$D$149)*Drivers!$C$392*(1-$D$59)))/(1+$C$156)^G$86+(H$29+(-(F$150-$D$149)*Drivers!$C$392*(1-$D$59)))/(1+$C$156)^H$86+(I$29+(-(F$150-$D$149)*Drivers!$C$392*(1-$D$59)))/(1+$C$156)^I$86+(J$29+(-(F$150-$D$149)*Drivers!$C$392*(1-$D$59)))/(1+$C$156)^J$86+(K$29+(-(F$150-$D$149)*Drivers!$C$392*(1-$D$59)))/(1+$C$156)^K$86+(L$29+(-(F$150-$D$149)*Drivers!$C$392*(1-$D$59)))/(1+$C$156)^L$86+(M$29+(-(F$150-$D$149)*Drivers!$C$392*(1-$D$59)))/(1+$C$156)^M$86+((N$29+(-(F$150-$D$149)*Drivers!$C$392*(1-$D$59)))/($C$156-Drivers!$C$397))/(1+$C$156)^M$86)/$D$116</f>
        <v>687.522454048114</v>
      </c>
      <c r="G156" s="42" t="n">
        <f aca="false">((D$29+(-(G$150-$D$149)*Drivers!$C$392*(1-$D$59)))/(1+$C$156)^D$86+(E$29+(-(G$150-$D$149)*Drivers!$C$392*(1-$D$59)))/(1+$C$156)^E$86+(F$29+(-(G$150-$D$149)*Drivers!$C$392*(1-$D$59)))/(1+$C$156)^F$86+(G$29+(-(G$150-$D$149)*Drivers!$C$392*(1-$D$59)))/(1+$C$156)^G$86+(H$29+(-(G$150-$D$149)*Drivers!$C$392*(1-$D$59)))/(1+$C$156)^H$86+(I$29+(-(G$150-$D$149)*Drivers!$C$392*(1-$D$59)))/(1+$C$156)^I$86+(J$29+(-(G$150-$D$149)*Drivers!$C$392*(1-$D$59)))/(1+$C$156)^J$86+(K$29+(-(G$150-$D$149)*Drivers!$C$392*(1-$D$59)))/(1+$C$156)^K$86+(L$29+(-(G$150-$D$149)*Drivers!$C$392*(1-$D$59)))/(1+$C$156)^L$86+(M$29+(-(G$150-$D$149)*Drivers!$C$392*(1-$D$59)))/(1+$C$156)^M$86+((N$29+(-(G$150-$D$149)*Drivers!$C$392*(1-$D$59)))/($C$156-Drivers!$C$397))/(1+$C$156)^M$86)/$D$116</f>
        <v>673.155157033177</v>
      </c>
      <c r="H156" s="42" t="n">
        <f aca="false">((D$29+(-(H$150-$D$149)*Drivers!$C$392*(1-$D$59)))/(1+$C$156)^D$86+(E$29+(-(H$150-$D$149)*Drivers!$C$392*(1-$D$59)))/(1+$C$156)^E$86+(F$29+(-(H$150-$D$149)*Drivers!$C$392*(1-$D$59)))/(1+$C$156)^F$86+(G$29+(-(H$150-$D$149)*Drivers!$C$392*(1-$D$59)))/(1+$C$156)^G$86+(H$29+(-(H$150-$D$149)*Drivers!$C$392*(1-$D$59)))/(1+$C$156)^H$86+(I$29+(-(H$150-$D$149)*Drivers!$C$392*(1-$D$59)))/(1+$C$156)^I$86+(J$29+(-(H$150-$D$149)*Drivers!$C$392*(1-$D$59)))/(1+$C$156)^J$86+(K$29+(-(H$150-$D$149)*Drivers!$C$392*(1-$D$59)))/(1+$C$156)^K$86+(L$29+(-(H$150-$D$149)*Drivers!$C$392*(1-$D$59)))/(1+$C$156)^L$86+(M$29+(-(H$150-$D$149)*Drivers!$C$392*(1-$D$59)))/(1+$C$156)^M$86+((N$29+(-(H$150-$D$149)*Drivers!$C$392*(1-$D$59)))/($C$156-Drivers!$C$397))/(1+$C$156)^M$86)/$D$116</f>
        <v>640.82873874957</v>
      </c>
      <c r="I156" s="42" t="n">
        <f aca="false">((D$29+(-(I$150-$D$149)*Drivers!$C$392*(1-$D$59)))/(1+$C$156)^D$86+(E$29+(-(I$150-$D$149)*Drivers!$C$392*(1-$D$59)))/(1+$C$156)^E$86+(F$29+(-(I$150-$D$149)*Drivers!$C$392*(1-$D$59)))/(1+$C$156)^F$86+(G$29+(-(I$150-$D$149)*Drivers!$C$392*(1-$D$59)))/(1+$C$156)^G$86+(H$29+(-(I$150-$D$149)*Drivers!$C$392*(1-$D$59)))/(1+$C$156)^H$86+(I$29+(-(I$150-$D$149)*Drivers!$C$392*(1-$D$59)))/(1+$C$156)^I$86+(J$29+(-(I$150-$D$149)*Drivers!$C$392*(1-$D$59)))/(1+$C$156)^J$86+(K$29+(-(I$150-$D$149)*Drivers!$C$392*(1-$D$59)))/(1+$C$156)^K$86+(L$29+(-(I$150-$D$149)*Drivers!$C$392*(1-$D$59)))/(1+$C$156)^L$86+(M$29+(-(I$150-$D$149)*Drivers!$C$392*(1-$D$59)))/(1+$C$156)^M$86+((N$29+(-(I$150-$D$149)*Drivers!$C$392*(1-$D$59)))/($C$156-Drivers!$C$397))/(1+$C$156)^M$86)/$D$116</f>
        <v>637.236914495836</v>
      </c>
      <c r="J156" s="42" t="n">
        <f aca="false">((D$29+(-(J$150-$D$149)*Drivers!$C$392*(1-$D$59)))/(1+$C$156)^D$86+(E$29+(-(J$150-$D$149)*Drivers!$C$392*(1-$D$59)))/(1+$C$156)^E$86+(F$29+(-(J$150-$D$149)*Drivers!$C$392*(1-$D$59)))/(1+$C$156)^F$86+(G$29+(-(J$150-$D$149)*Drivers!$C$392*(1-$D$59)))/(1+$C$156)^G$86+(H$29+(-(J$150-$D$149)*Drivers!$C$392*(1-$D$59)))/(1+$C$156)^H$86+(I$29+(-(J$150-$D$149)*Drivers!$C$392*(1-$D$59)))/(1+$C$156)^I$86+(J$29+(-(J$150-$D$149)*Drivers!$C$392*(1-$D$59)))/(1+$C$156)^J$86+(K$29+(-(J$150-$D$149)*Drivers!$C$392*(1-$D$59)))/(1+$C$156)^K$86+(L$29+(-(J$150-$D$149)*Drivers!$C$392*(1-$D$59)))/(1+$C$156)^L$86+(M$29+(-(J$150-$D$149)*Drivers!$C$392*(1-$D$59)))/(1+$C$156)^M$86+((N$29+(-(J$150-$D$149)*Drivers!$C$392*(1-$D$59)))/($C$156-Drivers!$C$397))/(1+$C$156)^M$86)/$D$116</f>
        <v>601.318671958494</v>
      </c>
      <c r="K156" s="11"/>
      <c r="L156" s="11"/>
      <c r="M156" s="11"/>
      <c r="N156" s="11"/>
    </row>
    <row r="157" customFormat="false" ht="14.25" hidden="false" customHeight="true" outlineLevel="0" collapsed="false">
      <c r="C157" s="152" t="n">
        <f aca="false">D65+Drivers!$C$427</f>
        <v>0.0646533775559964</v>
      </c>
      <c r="D157" s="42" t="n">
        <f aca="false">((D$29+(-(D$150-$D$149)*Drivers!$C$392*(1-$D$59)))/(1+$C$157)^D$86+(E$29+(-(D$150-$D$149)*Drivers!$C$392*(1-$D$59)))/(1+$C$157)^E$86+(F$29+(-(D$150-$D$149)*Drivers!$C$392*(1-$D$59)))/(1+$C$157)^F$86+(G$29+(-(D$150-$D$149)*Drivers!$C$392*(1-$D$59)))/(1+$C$157)^G$86+(H$29+(-(D$150-$D$149)*Drivers!$C$392*(1-$D$59)))/(1+$C$157)^H$86+(I$29+(-(D$150-$D$149)*Drivers!$C$392*(1-$D$59)))/(1+$C$157)^I$86+(J$29+(-(D$150-$D$149)*Drivers!$C$392*(1-$D$59)))/(1+$C$157)^J$86+(K$29+(-(D$150-$D$149)*Drivers!$C$392*(1-$D$59)))/(1+$C$157)^K$86+(L$29+(-(D$150-$D$149)*Drivers!$C$392*(1-$D$59)))/(1+$C$157)^L$86+(M$29+(-(D$150-$D$149)*Drivers!$C$392*(1-$D$59)))/(1+$C$157)^M$86+((N$29+(-(D$150-$D$149)*Drivers!$C$392*(1-$D$59)))/($C$157-Drivers!$C$397))/(1+$C$157)^M$86)/$D$116</f>
        <v>675.54684284286</v>
      </c>
      <c r="E157" s="42" t="n">
        <f aca="false">((D$29+(-(E$150-$D$149)*Drivers!$C$392*(1-$D$59)))/(1+$C$157)^D$86+(E$29+(-(E$150-$D$149)*Drivers!$C$392*(1-$D$59)))/(1+$C$157)^E$86+(F$29+(-(E$150-$D$149)*Drivers!$C$392*(1-$D$59)))/(1+$C$157)^F$86+(G$29+(-(E$150-$D$149)*Drivers!$C$392*(1-$D$59)))/(1+$C$157)^G$86+(H$29+(-(E$150-$D$149)*Drivers!$C$392*(1-$D$59)))/(1+$C$157)^H$86+(I$29+(-(E$150-$D$149)*Drivers!$C$392*(1-$D$59)))/(1+$C$157)^I$86+(J$29+(-(E$150-$D$149)*Drivers!$C$392*(1-$D$59)))/(1+$C$157)^J$86+(K$29+(-(E$150-$D$149)*Drivers!$C$392*(1-$D$59)))/(1+$C$157)^K$86+(L$29+(-(E$150-$D$149)*Drivers!$C$392*(1-$D$59)))/(1+$C$157)^L$86+(M$29+(-(E$150-$D$149)*Drivers!$C$392*(1-$D$59)))/(1+$C$157)^M$86+((N$29+(-(E$150-$D$149)*Drivers!$C$392*(1-$D$59)))/($C$157-Drivers!$C$397))/(1+$C$157)^M$86)/$D$116</f>
        <v>642.525325814084</v>
      </c>
      <c r="F157" s="42" t="n">
        <f aca="false">((D$29+(-(F$150-$D$149)*Drivers!$C$392*(1-$D$59)))/(1+$C$157)^D$86+(E$29+(-(F$150-$D$149)*Drivers!$C$392*(1-$D$59)))/(1+$C$157)^E$86+(F$29+(-(F$150-$D$149)*Drivers!$C$392*(1-$D$59)))/(1+$C$157)^F$86+(G$29+(-(F$150-$D$149)*Drivers!$C$392*(1-$D$59)))/(1+$C$157)^G$86+(H$29+(-(F$150-$D$149)*Drivers!$C$392*(1-$D$59)))/(1+$C$157)^H$86+(I$29+(-(F$150-$D$149)*Drivers!$C$392*(1-$D$59)))/(1+$C$157)^I$86+(J$29+(-(F$150-$D$149)*Drivers!$C$392*(1-$D$59)))/(1+$C$157)^J$86+(K$29+(-(F$150-$D$149)*Drivers!$C$392*(1-$D$59)))/(1+$C$157)^K$86+(L$29+(-(F$150-$D$149)*Drivers!$C$392*(1-$D$59)))/(1+$C$157)^L$86+(M$29+(-(F$150-$D$149)*Drivers!$C$392*(1-$D$59)))/(1+$C$157)^M$86+((N$29+(-(F$150-$D$149)*Drivers!$C$392*(1-$D$59)))/($C$157-Drivers!$C$397))/(1+$C$157)^M$86)/$D$116</f>
        <v>622.712415596818</v>
      </c>
      <c r="G157" s="42" t="n">
        <f aca="false">((D$29+(-(G$150-$D$149)*Drivers!$C$392*(1-$D$59)))/(1+$C$157)^D$86+(E$29+(-(G$150-$D$149)*Drivers!$C$392*(1-$D$59)))/(1+$C$157)^E$86+(F$29+(-(G$150-$D$149)*Drivers!$C$392*(1-$D$59)))/(1+$C$157)^F$86+(G$29+(-(G$150-$D$149)*Drivers!$C$392*(1-$D$59)))/(1+$C$157)^G$86+(H$29+(-(G$150-$D$149)*Drivers!$C$392*(1-$D$59)))/(1+$C$157)^H$86+(I$29+(-(G$150-$D$149)*Drivers!$C$392*(1-$D$59)))/(1+$C$157)^I$86+(J$29+(-(G$150-$D$149)*Drivers!$C$392*(1-$D$59)))/(1+$C$157)^J$86+(K$29+(-(G$150-$D$149)*Drivers!$C$392*(1-$D$59)))/(1+$C$157)^K$86+(L$29+(-(G$150-$D$149)*Drivers!$C$392*(1-$D$59)))/(1+$C$157)^L$86+(M$29+(-(G$150-$D$149)*Drivers!$C$392*(1-$D$59)))/(1+$C$157)^M$86+((N$29+(-(G$150-$D$149)*Drivers!$C$392*(1-$D$59)))/($C$157-Drivers!$C$397))/(1+$C$157)^M$86)/$D$116</f>
        <v>609.503808785308</v>
      </c>
      <c r="H157" s="42" t="n">
        <f aca="false">((D$29+(-(H$150-$D$149)*Drivers!$C$392*(1-$D$59)))/(1+$C$157)^D$86+(E$29+(-(H$150-$D$149)*Drivers!$C$392*(1-$D$59)))/(1+$C$157)^E$86+(F$29+(-(H$150-$D$149)*Drivers!$C$392*(1-$D$59)))/(1+$C$157)^F$86+(G$29+(-(H$150-$D$149)*Drivers!$C$392*(1-$D$59)))/(1+$C$157)^G$86+(H$29+(-(H$150-$D$149)*Drivers!$C$392*(1-$D$59)))/(1+$C$157)^H$86+(I$29+(-(H$150-$D$149)*Drivers!$C$392*(1-$D$59)))/(1+$C$157)^I$86+(J$29+(-(H$150-$D$149)*Drivers!$C$392*(1-$D$59)))/(1+$C$157)^J$86+(K$29+(-(H$150-$D$149)*Drivers!$C$392*(1-$D$59)))/(1+$C$157)^K$86+(L$29+(-(H$150-$D$149)*Drivers!$C$392*(1-$D$59)))/(1+$C$157)^L$86+(M$29+(-(H$150-$D$149)*Drivers!$C$392*(1-$D$59)))/(1+$C$157)^M$86+((N$29+(-(H$150-$D$149)*Drivers!$C$392*(1-$D$59)))/($C$157-Drivers!$C$397))/(1+$C$157)^M$86)/$D$116</f>
        <v>579.784443459409</v>
      </c>
      <c r="I157" s="42" t="n">
        <f aca="false">((D$29+(-(I$150-$D$149)*Drivers!$C$392*(1-$D$59)))/(1+$C$157)^D$86+(E$29+(-(I$150-$D$149)*Drivers!$C$392*(1-$D$59)))/(1+$C$157)^E$86+(F$29+(-(I$150-$D$149)*Drivers!$C$392*(1-$D$59)))/(1+$C$157)^F$86+(G$29+(-(I$150-$D$149)*Drivers!$C$392*(1-$D$59)))/(1+$C$157)^G$86+(H$29+(-(I$150-$D$149)*Drivers!$C$392*(1-$D$59)))/(1+$C$157)^H$86+(I$29+(-(I$150-$D$149)*Drivers!$C$392*(1-$D$59)))/(1+$C$157)^I$86+(J$29+(-(I$150-$D$149)*Drivers!$C$392*(1-$D$59)))/(1+$C$157)^J$86+(K$29+(-(I$150-$D$149)*Drivers!$C$392*(1-$D$59)))/(1+$C$157)^K$86+(L$29+(-(I$150-$D$149)*Drivers!$C$392*(1-$D$59)))/(1+$C$157)^L$86+(M$29+(-(I$150-$D$149)*Drivers!$C$392*(1-$D$59)))/(1+$C$157)^M$86+((N$29+(-(I$150-$D$149)*Drivers!$C$392*(1-$D$59)))/($C$157-Drivers!$C$397))/(1+$C$157)^M$86)/$D$116</f>
        <v>576.482291756531</v>
      </c>
      <c r="J157" s="42" t="n">
        <f aca="false">((D$29+(-(J$150-$D$149)*Drivers!$C$392*(1-$D$59)))/(1+$C$157)^D$86+(E$29+(-(J$150-$D$149)*Drivers!$C$392*(1-$D$59)))/(1+$C$157)^E$86+(F$29+(-(J$150-$D$149)*Drivers!$C$392*(1-$D$59)))/(1+$C$157)^F$86+(G$29+(-(J$150-$D$149)*Drivers!$C$392*(1-$D$59)))/(1+$C$157)^G$86+(H$29+(-(J$150-$D$149)*Drivers!$C$392*(1-$D$59)))/(1+$C$157)^H$86+(I$29+(-(J$150-$D$149)*Drivers!$C$392*(1-$D$59)))/(1+$C$157)^I$86+(J$29+(-(J$150-$D$149)*Drivers!$C$392*(1-$D$59)))/(1+$C$157)^J$86+(K$29+(-(J$150-$D$149)*Drivers!$C$392*(1-$D$59)))/(1+$C$157)^K$86+(L$29+(-(J$150-$D$149)*Drivers!$C$392*(1-$D$59)))/(1+$C$157)^L$86+(M$29+(-(J$150-$D$149)*Drivers!$C$392*(1-$D$59)))/(1+$C$157)^M$86+((N$29+(-(J$150-$D$149)*Drivers!$C$392*(1-$D$59)))/($C$157-Drivers!$C$397))/(1+$C$157)^M$86)/$D$116</f>
        <v>543.460774727755</v>
      </c>
      <c r="K157" s="11"/>
      <c r="L157" s="11"/>
      <c r="M157" s="11"/>
      <c r="N157" s="11"/>
    </row>
    <row r="158" customFormat="false" ht="14.25" hidden="false" customHeight="true" outlineLevel="0" collapsed="false">
      <c r="C158" s="152" t="n">
        <f aca="false">D65+Drivers!$C$428</f>
        <v>0.0671533775559964</v>
      </c>
      <c r="D158" s="42" t="n">
        <f aca="false">((D$29+(-(D$150-$D$149)*Drivers!$C$392*(1-$D$59)))/(1+$C$158)^D$86+(E$29+(-(D$150-$D$149)*Drivers!$C$392*(1-$D$59)))/(1+$C$158)^E$86+(F$29+(-(D$150-$D$149)*Drivers!$C$392*(1-$D$59)))/(1+$C$158)^F$86+(G$29+(-(D$150-$D$149)*Drivers!$C$392*(1-$D$59)))/(1+$C$158)^G$86+(H$29+(-(D$150-$D$149)*Drivers!$C$392*(1-$D$59)))/(1+$C$158)^H$86+(I$29+(-(D$150-$D$149)*Drivers!$C$392*(1-$D$59)))/(1+$C$158)^I$86+(J$29+(-(D$150-$D$149)*Drivers!$C$392*(1-$D$59)))/(1+$C$158)^J$86+(K$29+(-(D$150-$D$149)*Drivers!$C$392*(1-$D$59)))/(1+$C$158)^K$86+(L$29+(-(D$150-$D$149)*Drivers!$C$392*(1-$D$59)))/(1+$C$158)^L$86+(M$29+(-(D$150-$D$149)*Drivers!$C$392*(1-$D$59)))/(1+$C$158)^M$86+((N$29+(-(D$150-$D$149)*Drivers!$C$392*(1-$D$59)))/($C$158-Drivers!$C$397))/(1+$C$158)^M$86)/$D$116</f>
        <v>617.048193766043</v>
      </c>
      <c r="E158" s="42" t="n">
        <f aca="false">((D$29+(-(E$150-$D$149)*Drivers!$C$392*(1-$D$59)))/(1+$C$158)^D$86+(E$29+(-(E$150-$D$149)*Drivers!$C$392*(1-$D$59)))/(1+$C$158)^E$86+(F$29+(-(E$150-$D$149)*Drivers!$C$392*(1-$D$59)))/(1+$C$158)^F$86+(G$29+(-(E$150-$D$149)*Drivers!$C$392*(1-$D$59)))/(1+$C$158)^G$86+(H$29+(-(E$150-$D$149)*Drivers!$C$392*(1-$D$59)))/(1+$C$158)^H$86+(I$29+(-(E$150-$D$149)*Drivers!$C$392*(1-$D$59)))/(1+$C$158)^I$86+(J$29+(-(E$150-$D$149)*Drivers!$C$392*(1-$D$59)))/(1+$C$158)^J$86+(K$29+(-(E$150-$D$149)*Drivers!$C$392*(1-$D$59)))/(1+$C$158)^K$86+(L$29+(-(E$150-$D$149)*Drivers!$C$392*(1-$D$59)))/(1+$C$158)^L$86+(M$29+(-(E$150-$D$149)*Drivers!$C$392*(1-$D$59)))/(1+$C$158)^M$86+((N$29+(-(E$150-$D$149)*Drivers!$C$392*(1-$D$59)))/($C$158-Drivers!$C$397))/(1+$C$158)^M$86)/$D$116</f>
        <v>586.475094662158</v>
      </c>
      <c r="F158" s="42" t="n">
        <f aca="false">((D$29+(-(F$150-$D$149)*Drivers!$C$392*(1-$D$59)))/(1+$C$158)^D$86+(E$29+(-(F$150-$D$149)*Drivers!$C$392*(1-$D$59)))/(1+$C$158)^E$86+(F$29+(-(F$150-$D$149)*Drivers!$C$392*(1-$D$59)))/(1+$C$158)^F$86+(G$29+(-(F$150-$D$149)*Drivers!$C$392*(1-$D$59)))/(1+$C$158)^G$86+(H$29+(-(F$150-$D$149)*Drivers!$C$392*(1-$D$59)))/(1+$C$158)^H$86+(I$29+(-(F$150-$D$149)*Drivers!$C$392*(1-$D$59)))/(1+$C$158)^I$86+(J$29+(-(F$150-$D$149)*Drivers!$C$392*(1-$D$59)))/(1+$C$158)^J$86+(K$29+(-(F$150-$D$149)*Drivers!$C$392*(1-$D$59)))/(1+$C$158)^K$86+(L$29+(-(F$150-$D$149)*Drivers!$C$392*(1-$D$59)))/(1+$C$158)^L$86+(M$29+(-(F$150-$D$149)*Drivers!$C$392*(1-$D$59)))/(1+$C$158)^M$86+((N$29+(-(F$150-$D$149)*Drivers!$C$392*(1-$D$59)))/($C$158-Drivers!$C$397))/(1+$C$158)^M$86)/$D$116</f>
        <v>568.131235199828</v>
      </c>
      <c r="G158" s="42" t="n">
        <f aca="false">((D$29+(-(G$150-$D$149)*Drivers!$C$392*(1-$D$59)))/(1+$C$158)^D$86+(E$29+(-(G$150-$D$149)*Drivers!$C$392*(1-$D$59)))/(1+$C$158)^E$86+(F$29+(-(G$150-$D$149)*Drivers!$C$392*(1-$D$59)))/(1+$C$158)^F$86+(G$29+(-(G$150-$D$149)*Drivers!$C$392*(1-$D$59)))/(1+$C$158)^G$86+(H$29+(-(G$150-$D$149)*Drivers!$C$392*(1-$D$59)))/(1+$C$158)^H$86+(I$29+(-(G$150-$D$149)*Drivers!$C$392*(1-$D$59)))/(1+$C$158)^I$86+(J$29+(-(G$150-$D$149)*Drivers!$C$392*(1-$D$59)))/(1+$C$158)^J$86+(K$29+(-(G$150-$D$149)*Drivers!$C$392*(1-$D$59)))/(1+$C$158)^K$86+(L$29+(-(G$150-$D$149)*Drivers!$C$392*(1-$D$59)))/(1+$C$158)^L$86+(M$29+(-(G$150-$D$149)*Drivers!$C$392*(1-$D$59)))/(1+$C$158)^M$86+((N$29+(-(G$150-$D$149)*Drivers!$C$392*(1-$D$59)))/($C$158-Drivers!$C$397))/(1+$C$158)^M$86)/$D$116</f>
        <v>555.901995558274</v>
      </c>
      <c r="H158" s="42" t="n">
        <f aca="false">((D$29+(-(H$150-$D$149)*Drivers!$C$392*(1-$D$59)))/(1+$C$158)^D$86+(E$29+(-(H$150-$D$149)*Drivers!$C$392*(1-$D$59)))/(1+$C$158)^E$86+(F$29+(-(H$150-$D$149)*Drivers!$C$392*(1-$D$59)))/(1+$C$158)^F$86+(G$29+(-(H$150-$D$149)*Drivers!$C$392*(1-$D$59)))/(1+$C$158)^G$86+(H$29+(-(H$150-$D$149)*Drivers!$C$392*(1-$D$59)))/(1+$C$158)^H$86+(I$29+(-(H$150-$D$149)*Drivers!$C$392*(1-$D$59)))/(1+$C$158)^I$86+(J$29+(-(H$150-$D$149)*Drivers!$C$392*(1-$D$59)))/(1+$C$158)^J$86+(K$29+(-(H$150-$D$149)*Drivers!$C$392*(1-$D$59)))/(1+$C$158)^K$86+(L$29+(-(H$150-$D$149)*Drivers!$C$392*(1-$D$59)))/(1+$C$158)^L$86+(M$29+(-(H$150-$D$149)*Drivers!$C$392*(1-$D$59)))/(1+$C$158)^M$86+((N$29+(-(H$150-$D$149)*Drivers!$C$392*(1-$D$59)))/($C$158-Drivers!$C$397))/(1+$C$158)^M$86)/$D$116</f>
        <v>528.386206364778</v>
      </c>
      <c r="I158" s="42" t="n">
        <f aca="false">((D$29+(-(I$150-$D$149)*Drivers!$C$392*(1-$D$59)))/(1+$C$158)^D$86+(E$29+(-(I$150-$D$149)*Drivers!$C$392*(1-$D$59)))/(1+$C$158)^E$86+(F$29+(-(I$150-$D$149)*Drivers!$C$392*(1-$D$59)))/(1+$C$158)^F$86+(G$29+(-(I$150-$D$149)*Drivers!$C$392*(1-$D$59)))/(1+$C$158)^G$86+(H$29+(-(I$150-$D$149)*Drivers!$C$392*(1-$D$59)))/(1+$C$158)^H$86+(I$29+(-(I$150-$D$149)*Drivers!$C$392*(1-$D$59)))/(1+$C$158)^I$86+(J$29+(-(I$150-$D$149)*Drivers!$C$392*(1-$D$59)))/(1+$C$158)^J$86+(K$29+(-(I$150-$D$149)*Drivers!$C$392*(1-$D$59)))/(1+$C$158)^K$86+(L$29+(-(I$150-$D$149)*Drivers!$C$392*(1-$D$59)))/(1+$C$158)^L$86+(M$29+(-(I$150-$D$149)*Drivers!$C$392*(1-$D$59)))/(1+$C$158)^M$86+((N$29+(-(I$150-$D$149)*Drivers!$C$392*(1-$D$59)))/($C$158-Drivers!$C$397))/(1+$C$158)^M$86)/$D$116</f>
        <v>525.32889645439</v>
      </c>
      <c r="J158" s="42" t="n">
        <f aca="false">((D$29+(-(J$150-$D$149)*Drivers!$C$392*(1-$D$59)))/(1+$C$158)^D$86+(E$29+(-(J$150-$D$149)*Drivers!$C$392*(1-$D$59)))/(1+$C$158)^E$86+(F$29+(-(J$150-$D$149)*Drivers!$C$392*(1-$D$59)))/(1+$C$158)^F$86+(G$29+(-(J$150-$D$149)*Drivers!$C$392*(1-$D$59)))/(1+$C$158)^G$86+(H$29+(-(J$150-$D$149)*Drivers!$C$392*(1-$D$59)))/(1+$C$158)^H$86+(I$29+(-(J$150-$D$149)*Drivers!$C$392*(1-$D$59)))/(1+$C$158)^I$86+(J$29+(-(J$150-$D$149)*Drivers!$C$392*(1-$D$59)))/(1+$C$158)^J$86+(K$29+(-(J$150-$D$149)*Drivers!$C$392*(1-$D$59)))/(1+$C$158)^K$86+(L$29+(-(J$150-$D$149)*Drivers!$C$392*(1-$D$59)))/(1+$C$158)^L$86+(M$29+(-(J$150-$D$149)*Drivers!$C$392*(1-$D$59)))/(1+$C$158)^M$86+((N$29+(-(J$150-$D$149)*Drivers!$C$392*(1-$D$59)))/($C$158-Drivers!$C$397))/(1+$C$158)^M$86)/$D$116</f>
        <v>494.755797350505</v>
      </c>
      <c r="K158" s="11"/>
      <c r="L158" s="11"/>
      <c r="M158" s="11"/>
      <c r="N158" s="11"/>
    </row>
    <row r="159" customFormat="false" ht="14.25" hidden="false" customHeight="true" outlineLevel="0" collapsed="false">
      <c r="C159" s="152" t="n">
        <f aca="false">D65+Drivers!$C$429</f>
        <v>0.0696533775559964</v>
      </c>
      <c r="D159" s="42" t="n">
        <f aca="false">((D$29+(-(D$150-$D$149)*Drivers!$C$392*(1-$D$59)))/(1+$C$159)^D$86+(E$29+(-(D$150-$D$149)*Drivers!$C$392*(1-$D$59)))/(1+$C$159)^E$86+(F$29+(-(D$150-$D$149)*Drivers!$C$392*(1-$D$59)))/(1+$C$159)^F$86+(G$29+(-(D$150-$D$149)*Drivers!$C$392*(1-$D$59)))/(1+$C$159)^G$86+(H$29+(-(D$150-$D$149)*Drivers!$C$392*(1-$D$59)))/(1+$C$159)^H$86+(I$29+(-(D$150-$D$149)*Drivers!$C$392*(1-$D$59)))/(1+$C$159)^I$86+(J$29+(-(D$150-$D$149)*Drivers!$C$392*(1-$D$59)))/(1+$C$159)^J$86+(K$29+(-(D$150-$D$149)*Drivers!$C$392*(1-$D$59)))/(1+$C$159)^K$86+(L$29+(-(D$150-$D$149)*Drivers!$C$392*(1-$D$59)))/(1+$C$159)^L$86+(M$29+(-(D$150-$D$149)*Drivers!$C$392*(1-$D$59)))/(1+$C$159)^M$86+((N$29+(-(D$150-$D$149)*Drivers!$C$392*(1-$D$59)))/($C$159-Drivers!$C$397))/(1+$C$159)^M$86)/$D$116</f>
        <v>567.123071151731</v>
      </c>
      <c r="E159" s="42" t="n">
        <f aca="false">((D$29+(-(E$150-$D$149)*Drivers!$C$392*(1-$D$59)))/(1+$C$159)^D$86+(E$29+(-(E$150-$D$149)*Drivers!$C$392*(1-$D$59)))/(1+$C$159)^E$86+(F$29+(-(E$150-$D$149)*Drivers!$C$392*(1-$D$59)))/(1+$C$159)^F$86+(G$29+(-(E$150-$D$149)*Drivers!$C$392*(1-$D$59)))/(1+$C$159)^G$86+(H$29+(-(E$150-$D$149)*Drivers!$C$392*(1-$D$59)))/(1+$C$159)^H$86+(I$29+(-(E$150-$D$149)*Drivers!$C$392*(1-$D$59)))/(1+$C$159)^I$86+(J$29+(-(E$150-$D$149)*Drivers!$C$392*(1-$D$59)))/(1+$C$159)^J$86+(K$29+(-(E$150-$D$149)*Drivers!$C$392*(1-$D$59)))/(1+$C$159)^K$86+(L$29+(-(E$150-$D$149)*Drivers!$C$392*(1-$D$59)))/(1+$C$159)^L$86+(M$29+(-(E$150-$D$149)*Drivers!$C$392*(1-$D$59)))/(1+$C$159)^M$86+((N$29+(-(E$150-$D$149)*Drivers!$C$392*(1-$D$59)))/($C$159-Drivers!$C$397))/(1+$C$159)^M$86)/$D$116</f>
        <v>538.647065525135</v>
      </c>
      <c r="F159" s="42" t="n">
        <f aca="false">((D$29+(-(F$150-$D$149)*Drivers!$C$392*(1-$D$59)))/(1+$C$159)^D$86+(E$29+(-(F$150-$D$149)*Drivers!$C$392*(1-$D$59)))/(1+$C$159)^E$86+(F$29+(-(F$150-$D$149)*Drivers!$C$392*(1-$D$59)))/(1+$C$159)^F$86+(G$29+(-(F$150-$D$149)*Drivers!$C$392*(1-$D$59)))/(1+$C$159)^G$86+(H$29+(-(F$150-$D$149)*Drivers!$C$392*(1-$D$59)))/(1+$C$159)^H$86+(I$29+(-(F$150-$D$149)*Drivers!$C$392*(1-$D$59)))/(1+$C$159)^I$86+(J$29+(-(F$150-$D$149)*Drivers!$C$392*(1-$D$59)))/(1+$C$159)^J$86+(K$29+(-(F$150-$D$149)*Drivers!$C$392*(1-$D$59)))/(1+$C$159)^K$86+(L$29+(-(F$150-$D$149)*Drivers!$C$392*(1-$D$59)))/(1+$C$159)^L$86+(M$29+(-(F$150-$D$149)*Drivers!$C$392*(1-$D$59)))/(1+$C$159)^M$86+((N$29+(-(F$150-$D$149)*Drivers!$C$392*(1-$D$59)))/($C$159-Drivers!$C$397))/(1+$C$159)^M$86)/$D$116</f>
        <v>521.561462149178</v>
      </c>
      <c r="G159" s="42" t="n">
        <f aca="false">((D$29+(-(G$150-$D$149)*Drivers!$C$392*(1-$D$59)))/(1+$C$159)^D$86+(E$29+(-(G$150-$D$149)*Drivers!$C$392*(1-$D$59)))/(1+$C$159)^E$86+(F$29+(-(G$150-$D$149)*Drivers!$C$392*(1-$D$59)))/(1+$C$159)^F$86+(G$29+(-(G$150-$D$149)*Drivers!$C$392*(1-$D$59)))/(1+$C$159)^G$86+(H$29+(-(G$150-$D$149)*Drivers!$C$392*(1-$D$59)))/(1+$C$159)^H$86+(I$29+(-(G$150-$D$149)*Drivers!$C$392*(1-$D$59)))/(1+$C$159)^I$86+(J$29+(-(G$150-$D$149)*Drivers!$C$392*(1-$D$59)))/(1+$C$159)^J$86+(K$29+(-(G$150-$D$149)*Drivers!$C$392*(1-$D$59)))/(1+$C$159)^K$86+(L$29+(-(G$150-$D$149)*Drivers!$C$392*(1-$D$59)))/(1+$C$159)^L$86+(M$29+(-(G$150-$D$149)*Drivers!$C$392*(1-$D$59)))/(1+$C$159)^M$86+((N$29+(-(G$150-$D$149)*Drivers!$C$392*(1-$D$59)))/($C$159-Drivers!$C$397))/(1+$C$159)^M$86)/$D$116</f>
        <v>510.17105989854</v>
      </c>
      <c r="H159" s="42" t="n">
        <f aca="false">((D$29+(-(H$150-$D$149)*Drivers!$C$392*(1-$D$59)))/(1+$C$159)^D$86+(E$29+(-(H$150-$D$149)*Drivers!$C$392*(1-$D$59)))/(1+$C$159)^E$86+(F$29+(-(H$150-$D$149)*Drivers!$C$392*(1-$D$59)))/(1+$C$159)^F$86+(G$29+(-(H$150-$D$149)*Drivers!$C$392*(1-$D$59)))/(1+$C$159)^G$86+(H$29+(-(H$150-$D$149)*Drivers!$C$392*(1-$D$59)))/(1+$C$159)^H$86+(I$29+(-(H$150-$D$149)*Drivers!$C$392*(1-$D$59)))/(1+$C$159)^I$86+(J$29+(-(H$150-$D$149)*Drivers!$C$392*(1-$D$59)))/(1+$C$159)^J$86+(K$29+(-(H$150-$D$149)*Drivers!$C$392*(1-$D$59)))/(1+$C$159)^K$86+(L$29+(-(H$150-$D$149)*Drivers!$C$392*(1-$D$59)))/(1+$C$159)^L$86+(M$29+(-(H$150-$D$149)*Drivers!$C$392*(1-$D$59)))/(1+$C$159)^M$86+((N$29+(-(H$150-$D$149)*Drivers!$C$392*(1-$D$59)))/($C$159-Drivers!$C$397))/(1+$C$159)^M$86)/$D$116</f>
        <v>484.542654834604</v>
      </c>
      <c r="I159" s="42" t="n">
        <f aca="false">((D$29+(-(I$150-$D$149)*Drivers!$C$392*(1-$D$59)))/(1+$C$159)^D$86+(E$29+(-(I$150-$D$149)*Drivers!$C$392*(1-$D$59)))/(1+$C$159)^E$86+(F$29+(-(I$150-$D$149)*Drivers!$C$392*(1-$D$59)))/(1+$C$159)^F$86+(G$29+(-(I$150-$D$149)*Drivers!$C$392*(1-$D$59)))/(1+$C$159)^G$86+(H$29+(-(I$150-$D$149)*Drivers!$C$392*(1-$D$59)))/(1+$C$159)^H$86+(I$29+(-(I$150-$D$149)*Drivers!$C$392*(1-$D$59)))/(1+$C$159)^I$86+(J$29+(-(I$150-$D$149)*Drivers!$C$392*(1-$D$59)))/(1+$C$159)^J$86+(K$29+(-(I$150-$D$149)*Drivers!$C$392*(1-$D$59)))/(1+$C$159)^K$86+(L$29+(-(I$150-$D$149)*Drivers!$C$392*(1-$D$59)))/(1+$C$159)^L$86+(M$29+(-(I$150-$D$149)*Drivers!$C$392*(1-$D$59)))/(1+$C$159)^M$86+((N$29+(-(I$150-$D$149)*Drivers!$C$392*(1-$D$59)))/($C$159-Drivers!$C$397))/(1+$C$159)^M$86)/$D$116</f>
        <v>481.695054271945</v>
      </c>
      <c r="J159" s="42" t="n">
        <f aca="false">((D$29+(-(J$150-$D$149)*Drivers!$C$392*(1-$D$59)))/(1+$C$159)^D$86+(E$29+(-(J$150-$D$149)*Drivers!$C$392*(1-$D$59)))/(1+$C$159)^E$86+(F$29+(-(J$150-$D$149)*Drivers!$C$392*(1-$D$59)))/(1+$C$159)^F$86+(G$29+(-(J$150-$D$149)*Drivers!$C$392*(1-$D$59)))/(1+$C$159)^G$86+(H$29+(-(J$150-$D$149)*Drivers!$C$392*(1-$D$59)))/(1+$C$159)^H$86+(I$29+(-(J$150-$D$149)*Drivers!$C$392*(1-$D$59)))/(1+$C$159)^I$86+(J$29+(-(J$150-$D$149)*Drivers!$C$392*(1-$D$59)))/(1+$C$159)^J$86+(K$29+(-(J$150-$D$149)*Drivers!$C$392*(1-$D$59)))/(1+$C$159)^K$86+(L$29+(-(J$150-$D$149)*Drivers!$C$392*(1-$D$59)))/(1+$C$159)^L$86+(M$29+(-(J$150-$D$149)*Drivers!$C$392*(1-$D$59)))/(1+$C$159)^M$86+((N$29+(-(J$150-$D$149)*Drivers!$C$392*(1-$D$59)))/($C$159-Drivers!$C$397))/(1+$C$159)^M$86)/$D$116</f>
        <v>453.21904864535</v>
      </c>
      <c r="K159" s="11"/>
      <c r="L159" s="11"/>
      <c r="M159" s="11"/>
      <c r="N159" s="11"/>
    </row>
    <row r="160" customFormat="false" ht="14.25" hidden="false" customHeight="true" outlineLevel="0" collapsed="false">
      <c r="C160" s="11" t="s">
        <v>2468</v>
      </c>
      <c r="D160" s="153" t="n">
        <f aca="false">I155</f>
        <v>710.518969558613</v>
      </c>
      <c r="E160" s="11"/>
      <c r="F160" s="11"/>
      <c r="G160" s="11"/>
      <c r="H160" s="11"/>
      <c r="I160" s="11"/>
      <c r="J160" s="11"/>
      <c r="K160" s="11"/>
      <c r="L160" s="11"/>
      <c r="M160" s="11"/>
      <c r="N160" s="11"/>
    </row>
    <row r="161" customFormat="false" ht="14.25" hidden="false" customHeight="true" outlineLevel="0" collapsed="false">
      <c r="C161" s="11" t="s">
        <v>2469</v>
      </c>
      <c r="D161" s="153" t="n">
        <f aca="false">F155</f>
        <v>765.678403739942</v>
      </c>
      <c r="E161" s="11"/>
      <c r="F161" s="11"/>
      <c r="G161" s="11"/>
      <c r="H161" s="11"/>
      <c r="I161" s="11"/>
      <c r="J161" s="11"/>
      <c r="K161" s="11"/>
      <c r="L161" s="11"/>
      <c r="M161" s="11"/>
      <c r="N161" s="11"/>
    </row>
    <row r="162" customFormat="false" ht="14.25" hidden="false" customHeight="true" outlineLevel="0" collapsed="false">
      <c r="C162" s="11"/>
      <c r="D162" s="11"/>
      <c r="E162" s="11"/>
      <c r="F162" s="11"/>
      <c r="G162" s="11"/>
      <c r="H162" s="11"/>
      <c r="I162" s="11"/>
      <c r="J162" s="11"/>
      <c r="K162" s="11"/>
      <c r="L162" s="11"/>
      <c r="M162" s="11"/>
      <c r="N162" s="11"/>
    </row>
    <row r="163" customFormat="false" ht="14.25" hidden="false" customHeight="true" outlineLevel="0" collapsed="false">
      <c r="A163" s="22" t="s">
        <v>11</v>
      </c>
      <c r="C163" s="138" t="s">
        <v>2470</v>
      </c>
      <c r="D163" s="54"/>
      <c r="E163" s="54"/>
      <c r="F163" s="54"/>
      <c r="G163" s="54"/>
      <c r="H163" s="54"/>
      <c r="I163" s="54"/>
      <c r="J163" s="54"/>
      <c r="K163" s="54"/>
      <c r="L163" s="54"/>
      <c r="M163" s="54"/>
      <c r="N163" s="54"/>
    </row>
    <row r="164" customFormat="false" ht="14.25" hidden="false" customHeight="true" outlineLevel="0" collapsed="false">
      <c r="C164" s="11" t="s">
        <v>2471</v>
      </c>
      <c r="D164" s="32" t="n">
        <f aca="false">D118</f>
        <v>458.930130203241</v>
      </c>
      <c r="E164" s="11"/>
      <c r="F164" s="11"/>
      <c r="G164" s="11"/>
      <c r="H164" s="11"/>
      <c r="I164" s="11"/>
      <c r="J164" s="11"/>
      <c r="K164" s="11"/>
      <c r="L164" s="11"/>
      <c r="M164" s="11"/>
      <c r="N164" s="11"/>
    </row>
    <row r="165" customFormat="false" ht="14.25" hidden="false" customHeight="true" outlineLevel="0" collapsed="false">
      <c r="C165" s="11" t="s">
        <v>2472</v>
      </c>
      <c r="D165" s="154" t="n">
        <f aca="false">D120</f>
        <v>82.5181341593946</v>
      </c>
      <c r="E165" s="11"/>
      <c r="F165" s="11"/>
      <c r="G165" s="11"/>
      <c r="H165" s="11"/>
      <c r="I165" s="11"/>
      <c r="J165" s="11"/>
      <c r="K165" s="11"/>
      <c r="L165" s="11"/>
      <c r="M165" s="11"/>
      <c r="N165" s="11"/>
    </row>
    <row r="166" customFormat="false" ht="14.25" hidden="false" customHeight="true" outlineLevel="0" collapsed="false">
      <c r="C166" s="11" t="s">
        <v>2473</v>
      </c>
      <c r="D166" s="45" t="n">
        <f aca="false">D118-Valuation!I69</f>
        <v>291.26871198377</v>
      </c>
      <c r="E166" s="11"/>
      <c r="F166" s="11"/>
      <c r="G166" s="11"/>
      <c r="H166" s="11"/>
      <c r="I166" s="11"/>
      <c r="J166" s="11"/>
      <c r="K166" s="11"/>
      <c r="L166" s="11"/>
      <c r="M166" s="11"/>
      <c r="N166" s="11"/>
    </row>
    <row r="167" customFormat="false" ht="14.25" hidden="false" customHeight="true" outlineLevel="0" collapsed="false">
      <c r="C167" s="11" t="s">
        <v>2474</v>
      </c>
      <c r="D167" s="34" t="n">
        <f aca="false">D81</f>
        <v>0.0044660374046511</v>
      </c>
      <c r="E167" s="11"/>
      <c r="F167" s="11"/>
      <c r="G167" s="11"/>
      <c r="H167" s="11"/>
      <c r="I167" s="11"/>
      <c r="J167" s="11"/>
      <c r="K167" s="11"/>
      <c r="L167" s="11"/>
      <c r="M167" s="11"/>
      <c r="N167" s="11"/>
    </row>
    <row r="168" customFormat="false" ht="14.25" hidden="false" customHeight="true" outlineLevel="0" collapsed="false">
      <c r="C168" s="11" t="s">
        <v>2475</v>
      </c>
      <c r="D168" s="32" t="n">
        <f aca="false">D82</f>
        <v>22.6315444065551</v>
      </c>
      <c r="E168" s="11"/>
      <c r="F168" s="11"/>
      <c r="G168" s="11"/>
      <c r="H168" s="11"/>
      <c r="I168" s="11"/>
      <c r="J168" s="11"/>
      <c r="K168" s="11"/>
      <c r="L168" s="11"/>
      <c r="M168" s="11"/>
      <c r="N168" s="11"/>
    </row>
    <row r="169" customFormat="false" ht="14.25" hidden="false" customHeight="true" outlineLevel="0" collapsed="false">
      <c r="C169" s="11" t="s">
        <v>2476</v>
      </c>
      <c r="D169" s="32" t="n">
        <f aca="false">D76</f>
        <v>1920.99773034398</v>
      </c>
      <c r="E169" s="11"/>
      <c r="F169" s="11"/>
      <c r="G169" s="11"/>
      <c r="H169" s="11"/>
      <c r="I169" s="11"/>
      <c r="J169" s="11"/>
      <c r="K169" s="11"/>
      <c r="L169" s="11"/>
      <c r="M169" s="11"/>
      <c r="N169" s="11"/>
    </row>
    <row r="170" customFormat="false" ht="14.25" hidden="false" customHeight="true" outlineLevel="0" collapsed="false">
      <c r="C170" s="11"/>
      <c r="D170" s="11"/>
      <c r="E170" s="11"/>
      <c r="F170" s="11"/>
      <c r="G170" s="11"/>
      <c r="H170" s="11"/>
      <c r="I170" s="11"/>
      <c r="J170" s="11"/>
      <c r="K170" s="11"/>
      <c r="L170" s="11"/>
      <c r="M170" s="11"/>
      <c r="N170" s="11"/>
    </row>
    <row r="171" customFormat="false" ht="14.25" hidden="false" customHeight="true" outlineLevel="0" collapsed="false">
      <c r="A171" s="22" t="s">
        <v>11</v>
      </c>
      <c r="C171" s="71" t="s">
        <v>2477</v>
      </c>
      <c r="D171" s="54"/>
      <c r="E171" s="54"/>
      <c r="F171" s="54"/>
      <c r="G171" s="54"/>
      <c r="H171" s="54"/>
      <c r="I171" s="54"/>
      <c r="J171" s="54"/>
      <c r="K171" s="54"/>
      <c r="L171" s="54"/>
      <c r="M171" s="54"/>
      <c r="N171" s="54"/>
    </row>
    <row r="172" customFormat="false" ht="14.25" hidden="false" customHeight="true" outlineLevel="0" collapsed="false">
      <c r="C172" s="11" t="s">
        <v>2478</v>
      </c>
      <c r="D172" s="42" t="n">
        <f aca="false">Drivers!$C$404*Drivers!$C$405</f>
        <v>732.3</v>
      </c>
      <c r="E172" s="11"/>
      <c r="F172" s="11"/>
      <c r="G172" s="11"/>
      <c r="H172" s="11"/>
      <c r="I172" s="11"/>
      <c r="J172" s="11"/>
      <c r="K172" s="11"/>
      <c r="L172" s="11"/>
      <c r="M172" s="11"/>
      <c r="N172" s="11"/>
    </row>
    <row r="173" customFormat="false" ht="14.25" hidden="false" customHeight="true" outlineLevel="0" collapsed="false">
      <c r="C173" s="11" t="s">
        <v>2479</v>
      </c>
      <c r="D173" s="42" t="n">
        <f aca="false">Drivers!$C$404*Drivers!$C$406</f>
        <v>1098.45</v>
      </c>
      <c r="E173" s="11"/>
      <c r="F173" s="11"/>
      <c r="G173" s="11"/>
      <c r="H173" s="11"/>
      <c r="I173" s="11"/>
      <c r="J173" s="11"/>
      <c r="K173" s="11"/>
      <c r="L173" s="11"/>
      <c r="M173" s="11"/>
      <c r="N173" s="11"/>
    </row>
    <row r="174" customFormat="false" ht="14.25" hidden="false" customHeight="true" outlineLevel="0" collapsed="false">
      <c r="C174" s="11" t="s">
        <v>2480</v>
      </c>
      <c r="D174" s="42" t="n">
        <f aca="false">UPPER(Drivers!C572)="A"</f>
        <v>1</v>
      </c>
      <c r="E174" s="11"/>
      <c r="F174" s="11"/>
      <c r="G174" s="11"/>
      <c r="H174" s="11"/>
      <c r="I174" s="11"/>
      <c r="J174" s="11"/>
      <c r="K174" s="11"/>
      <c r="L174" s="11"/>
      <c r="M174" s="11"/>
      <c r="N174" s="11"/>
    </row>
    <row r="175" customFormat="false" ht="14.25" hidden="false" customHeight="true" outlineLevel="0" collapsed="false">
      <c r="C175" s="11" t="s">
        <v>2481</v>
      </c>
      <c r="D175" s="42" t="n">
        <f aca="false">Drivers!C115</f>
        <v>140</v>
      </c>
      <c r="E175" s="11"/>
      <c r="F175" s="11"/>
      <c r="G175" s="11"/>
      <c r="H175" s="11"/>
      <c r="I175" s="11"/>
      <c r="J175" s="11"/>
      <c r="K175" s="11"/>
      <c r="L175" s="11"/>
      <c r="M175" s="11"/>
      <c r="N175" s="11"/>
    </row>
    <row r="176" customFormat="false" ht="14.25" hidden="false" customHeight="true" outlineLevel="0" collapsed="false">
      <c r="C176" s="11" t="s">
        <v>2482</v>
      </c>
      <c r="D176" s="41" t="n">
        <f aca="false">Drivers!C435</f>
        <v>0.0902</v>
      </c>
      <c r="E176" s="11"/>
      <c r="F176" s="11"/>
      <c r="G176" s="11"/>
      <c r="H176" s="11"/>
      <c r="I176" s="11"/>
      <c r="J176" s="11"/>
      <c r="K176" s="11"/>
      <c r="L176" s="11"/>
      <c r="M176" s="11"/>
      <c r="N176" s="11"/>
    </row>
    <row r="177" customFormat="false" ht="14.25" hidden="false" customHeight="true" outlineLevel="0" collapsed="false">
      <c r="C177" s="11" t="s">
        <v>2483</v>
      </c>
      <c r="D177" s="41" t="n">
        <f aca="false">Drivers!C571</f>
        <v>0.02</v>
      </c>
      <c r="E177" s="11"/>
      <c r="F177" s="11"/>
      <c r="G177" s="11"/>
      <c r="H177" s="11"/>
      <c r="I177" s="11"/>
      <c r="J177" s="11"/>
      <c r="K177" s="11"/>
      <c r="L177" s="11"/>
      <c r="M177" s="11"/>
      <c r="N177" s="11"/>
    </row>
    <row r="178" customFormat="false" ht="14.25" hidden="false" customHeight="true" outlineLevel="0" collapsed="false">
      <c r="C178" s="11" t="s">
        <v>2484</v>
      </c>
      <c r="D178" s="42" t="n">
        <f aca="false">Drivers!C114</f>
        <v>150</v>
      </c>
      <c r="E178" s="11"/>
      <c r="F178" s="11"/>
      <c r="G178" s="11"/>
      <c r="H178" s="11"/>
      <c r="I178" s="11"/>
      <c r="J178" s="11"/>
      <c r="K178" s="11"/>
      <c r="L178" s="11"/>
      <c r="M178" s="11"/>
      <c r="N178" s="11"/>
    </row>
    <row r="179" customFormat="false" ht="14.25" hidden="false" customHeight="true" outlineLevel="0" collapsed="false">
      <c r="C179" s="11" t="s">
        <v>2485</v>
      </c>
      <c r="D179" s="45" t="n">
        <f aca="false">Valuation!D20</f>
        <v>16.34</v>
      </c>
      <c r="E179" s="11"/>
      <c r="F179" s="11"/>
      <c r="G179" s="11"/>
      <c r="H179" s="11"/>
      <c r="I179" s="11"/>
      <c r="J179" s="11"/>
      <c r="K179" s="11"/>
      <c r="L179" s="11"/>
      <c r="M179" s="11"/>
      <c r="N179" s="11"/>
    </row>
    <row r="180" customFormat="false" ht="14.25" hidden="false" customHeight="true" outlineLevel="0" collapsed="false">
      <c r="C180" s="11" t="s">
        <v>2486</v>
      </c>
      <c r="D180" s="42" t="str">
        <f aca="false">Drivers!C572</f>
        <v>A</v>
      </c>
      <c r="E180" s="11"/>
      <c r="F180" s="11"/>
      <c r="G180" s="11"/>
      <c r="H180" s="11"/>
      <c r="I180" s="11"/>
      <c r="J180" s="11"/>
      <c r="K180" s="11"/>
      <c r="L180" s="11"/>
      <c r="M180" s="11"/>
      <c r="N180" s="11"/>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M1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3" topLeftCell="D14" activePane="bottomRight" state="frozen"/>
      <selection pane="topLeft" activeCell="A1" activeCellId="0" sqref="A1"/>
      <selection pane="topRight" activeCell="D1" activeCellId="0" sqref="D1"/>
      <selection pane="bottomLeft" activeCell="A14" activeCellId="0" sqref="A14"/>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1" width="1.7"/>
    <col collapsed="false" customWidth="true" hidden="false" outlineLevel="0" max="3" min="3" style="1" width="46"/>
    <col collapsed="false" customWidth="true" hidden="false" outlineLevel="0" max="13" min="4" style="1" width="12.3"/>
  </cols>
  <sheetData>
    <row r="2" customFormat="false" ht="21.75" hidden="false" customHeight="true" outlineLevel="0" collapsed="false">
      <c r="C2" s="46" t="str">
        <f aca="false">"Discounted Cash Flow Valuation - "&amp;Cover!$D$5</f>
        <v>Discounted Cash Flow Valuation - GATX Corporation</v>
      </c>
      <c r="D2" s="47"/>
      <c r="E2" s="47"/>
      <c r="F2" s="47"/>
      <c r="G2" s="47"/>
      <c r="H2" s="47"/>
      <c r="I2" s="47"/>
      <c r="J2" s="47"/>
      <c r="K2" s="47"/>
      <c r="L2" s="47"/>
      <c r="M2" s="47"/>
    </row>
    <row r="3" customFormat="false" ht="15" hidden="false" customHeight="true" outlineLevel="0" collapsed="false">
      <c r="C3" s="48" t="s">
        <v>1</v>
      </c>
    </row>
    <row r="5" customFormat="false" ht="15" hidden="false" customHeight="true" outlineLevel="0" collapsed="false">
      <c r="C5" s="4" t="s">
        <v>2</v>
      </c>
      <c r="D5" s="49" t="str">
        <f aca="false">Cover!$D$5</f>
        <v>GATX Corporation</v>
      </c>
    </row>
    <row r="6" customFormat="false" ht="15" hidden="false" customHeight="true" outlineLevel="0" collapsed="false">
      <c r="C6" s="4" t="s">
        <v>4</v>
      </c>
      <c r="D6" s="49" t="str">
        <f aca="false">Cover!$D$6</f>
        <v>GATX</v>
      </c>
    </row>
    <row r="7" customFormat="false" ht="15" hidden="false" customHeight="true" outlineLevel="0" collapsed="false">
      <c r="C7" s="4" t="s">
        <v>1551</v>
      </c>
      <c r="D7" s="49" t="n">
        <f aca="false">Cover!$D$7</f>
        <v>1</v>
      </c>
    </row>
    <row r="8" customFormat="false" ht="15" hidden="false" customHeight="true" outlineLevel="0" collapsed="false">
      <c r="C8" s="4" t="s">
        <v>7</v>
      </c>
      <c r="D8" s="6" t="n">
        <f aca="false">Cover!$D$8</f>
        <v>162.78</v>
      </c>
    </row>
    <row r="9" customFormat="false" ht="15" hidden="false" customHeight="true" outlineLevel="0" collapsed="false">
      <c r="C9" s="4" t="s">
        <v>8</v>
      </c>
      <c r="D9" s="50" t="n">
        <f aca="false">Cover!$D$9</f>
        <v>46303</v>
      </c>
    </row>
    <row r="10" customFormat="false" ht="15" hidden="false" customHeight="true" outlineLevel="0" collapsed="false">
      <c r="C10" s="4" t="s">
        <v>9</v>
      </c>
      <c r="D10" s="50" t="n">
        <f aca="false">Cover!$D$10</f>
        <v>46022</v>
      </c>
    </row>
    <row r="11" customFormat="false" ht="15" hidden="false" customHeight="true" outlineLevel="0" collapsed="false">
      <c r="C11" s="4" t="s">
        <v>1552</v>
      </c>
      <c r="D11" s="8" t="n">
        <f aca="false">Cover!$D$11</f>
        <v>35.8</v>
      </c>
    </row>
    <row r="13" customFormat="false" ht="15" hidden="false" customHeight="true" outlineLevel="0" collapsed="false">
      <c r="C13" s="10" t="s">
        <v>2487</v>
      </c>
      <c r="D13" s="11"/>
      <c r="E13" s="11"/>
      <c r="F13" s="11"/>
      <c r="G13" s="11"/>
      <c r="H13" s="11"/>
      <c r="I13" s="11"/>
      <c r="J13" s="11"/>
      <c r="K13" s="11"/>
      <c r="L13" s="11"/>
      <c r="M13" s="11"/>
    </row>
    <row r="14" customFormat="false" ht="14.25" hidden="false" customHeight="true" outlineLevel="0" collapsed="false">
      <c r="C14" s="11" t="s">
        <v>2488</v>
      </c>
      <c r="D14" s="11"/>
      <c r="E14" s="11"/>
      <c r="F14" s="11"/>
      <c r="G14" s="11"/>
      <c r="H14" s="11"/>
      <c r="I14" s="11"/>
      <c r="J14" s="11"/>
      <c r="K14" s="11"/>
      <c r="L14" s="11"/>
      <c r="M14" s="11"/>
    </row>
    <row r="15" customFormat="false" ht="14.25" hidden="false" customHeight="true" outlineLevel="0" collapsed="false">
      <c r="C15" s="11" t="s">
        <v>2489</v>
      </c>
      <c r="D15" s="11"/>
      <c r="E15" s="11"/>
      <c r="F15" s="11"/>
      <c r="G15" s="11"/>
      <c r="H15" s="11"/>
      <c r="I15" s="11"/>
      <c r="J15" s="11"/>
      <c r="K15" s="11"/>
      <c r="L15" s="11"/>
      <c r="M15" s="11"/>
    </row>
    <row r="16" customFormat="false" ht="14.25" hidden="false" customHeight="true" outlineLevel="0" collapsed="false">
      <c r="C16" s="11"/>
      <c r="D16" s="11"/>
      <c r="E16" s="11"/>
      <c r="F16" s="11"/>
      <c r="G16" s="11"/>
      <c r="H16" s="11"/>
      <c r="I16" s="11"/>
      <c r="J16" s="11"/>
      <c r="K16" s="11"/>
      <c r="L16" s="11"/>
      <c r="M16" s="11"/>
    </row>
    <row r="17" customFormat="false" ht="14.25" hidden="false" customHeight="true" outlineLevel="0" collapsed="false">
      <c r="C17" s="10" t="s">
        <v>2368</v>
      </c>
      <c r="D17" s="155" t="s">
        <v>1532</v>
      </c>
      <c r="E17" s="155" t="s">
        <v>1533</v>
      </c>
      <c r="F17" s="155" t="s">
        <v>1534</v>
      </c>
      <c r="G17" s="155" t="s">
        <v>1535</v>
      </c>
      <c r="H17" s="155" t="s">
        <v>1536</v>
      </c>
      <c r="I17" s="11" t="s">
        <v>1537</v>
      </c>
      <c r="J17" s="11" t="s">
        <v>1538</v>
      </c>
      <c r="K17" s="11" t="s">
        <v>1539</v>
      </c>
      <c r="L17" s="11" t="s">
        <v>1540</v>
      </c>
      <c r="M17" s="11" t="s">
        <v>1541</v>
      </c>
    </row>
    <row r="18" customFormat="false" ht="14.25" hidden="false" customHeight="true" outlineLevel="0" collapsed="false">
      <c r="C18" s="11"/>
      <c r="D18" s="11"/>
      <c r="E18" s="11"/>
      <c r="F18" s="11"/>
      <c r="G18" s="11"/>
      <c r="H18" s="11"/>
      <c r="I18" s="11"/>
      <c r="J18" s="11"/>
      <c r="K18" s="11"/>
      <c r="L18" s="11"/>
      <c r="M18" s="11"/>
    </row>
    <row r="19" customFormat="false" ht="14.25" hidden="false" customHeight="true" outlineLevel="0" collapsed="false">
      <c r="A19" s="22" t="s">
        <v>11</v>
      </c>
      <c r="C19" s="71" t="s">
        <v>2490</v>
      </c>
      <c r="D19" s="54"/>
      <c r="E19" s="54"/>
      <c r="F19" s="54"/>
      <c r="G19" s="54"/>
      <c r="H19" s="54"/>
      <c r="I19" s="54"/>
      <c r="J19" s="54"/>
      <c r="K19" s="54"/>
      <c r="L19" s="54"/>
      <c r="M19" s="54"/>
    </row>
    <row r="20" customFormat="false" ht="14.25" hidden="false" customHeight="true" outlineLevel="0" collapsed="false">
      <c r="C20" s="11" t="s">
        <v>2491</v>
      </c>
      <c r="D20" s="11"/>
      <c r="E20" s="11"/>
      <c r="F20" s="11"/>
      <c r="G20" s="11"/>
      <c r="H20" s="11"/>
      <c r="I20" s="11"/>
      <c r="J20" s="11"/>
      <c r="K20" s="11"/>
      <c r="L20" s="11"/>
      <c r="M20" s="11"/>
    </row>
    <row r="21" customFormat="false" ht="14.25" hidden="false" customHeight="true" outlineLevel="0" collapsed="false">
      <c r="C21" s="11"/>
      <c r="D21" s="11"/>
      <c r="E21" s="11"/>
      <c r="F21" s="11"/>
      <c r="G21" s="11"/>
      <c r="H21" s="11"/>
      <c r="I21" s="11"/>
      <c r="J21" s="11"/>
      <c r="K21" s="11"/>
      <c r="L21" s="11"/>
      <c r="M21" s="11"/>
    </row>
    <row r="22" customFormat="false" ht="14.25" hidden="false" customHeight="true" outlineLevel="0" collapsed="false">
      <c r="C22" s="11" t="s">
        <v>2492</v>
      </c>
      <c r="D22" s="42" t="n">
        <f aca="false">'3 Statement Forecast'!E73</f>
        <v>986.921005113826</v>
      </c>
      <c r="E22" s="42" t="n">
        <f aca="false">'3 Statement Forecast'!F73</f>
        <v>925.562198448334</v>
      </c>
      <c r="F22" s="42" t="n">
        <f aca="false">'3 Statement Forecast'!G73</f>
        <v>942.330658327632</v>
      </c>
      <c r="G22" s="42" t="n">
        <f aca="false">'3 Statement Forecast'!H73</f>
        <v>950.85383335742</v>
      </c>
      <c r="H22" s="42" t="n">
        <f aca="false">'3 Statement Forecast'!I73</f>
        <v>935.35083741372</v>
      </c>
      <c r="I22" s="42" t="n">
        <f aca="false">'3 Statement Forecast'!J73</f>
        <v>942.226848565745</v>
      </c>
      <c r="J22" s="42" t="n">
        <f aca="false">'3 Statement Forecast'!K73</f>
        <v>957.489497588075</v>
      </c>
      <c r="K22" s="42" t="n">
        <f aca="false">'3 Statement Forecast'!L73</f>
        <v>974.303644033455</v>
      </c>
      <c r="L22" s="42" t="n">
        <f aca="false">'3 Statement Forecast'!M73</f>
        <v>992.00706383639</v>
      </c>
      <c r="M22" s="42" t="n">
        <f aca="false">'3 Statement Forecast'!N73</f>
        <v>1010.60254591626</v>
      </c>
    </row>
    <row r="23" customFormat="false" ht="14.25" hidden="false" customHeight="true" outlineLevel="0" collapsed="false">
      <c r="C23" s="11" t="s">
        <v>2493</v>
      </c>
      <c r="D23" s="76" t="n">
        <f aca="false">'3 Statement Forecast'!E75</f>
        <v>-1041</v>
      </c>
      <c r="E23" s="76" t="n">
        <f aca="false">'3 Statement Forecast'!F75</f>
        <v>-1400</v>
      </c>
      <c r="F23" s="76" t="n">
        <f aca="false">'3 Statement Forecast'!G75</f>
        <v>-1400</v>
      </c>
      <c r="G23" s="76" t="n">
        <f aca="false">'3 Statement Forecast'!H75</f>
        <v>-1400</v>
      </c>
      <c r="H23" s="76" t="n">
        <f aca="false">'3 Statement Forecast'!I75</f>
        <v>-1400</v>
      </c>
      <c r="I23" s="76" t="n">
        <f aca="false">'3 Statement Forecast'!J75</f>
        <v>-1190</v>
      </c>
      <c r="J23" s="76" t="n">
        <f aca="false">'3 Statement Forecast'!K75</f>
        <v>-1159.27004706693</v>
      </c>
      <c r="K23" s="76" t="n">
        <f aca="false">'3 Statement Forecast'!L75</f>
        <v>-1173.12227624154</v>
      </c>
      <c r="L23" s="76" t="n">
        <f aca="false">'3 Statement Forecast'!M75</f>
        <v>-1187.11302770789</v>
      </c>
      <c r="M23" s="76" t="n">
        <f aca="false">'3 Statement Forecast'!N75</f>
        <v>-1201.24368668891</v>
      </c>
    </row>
    <row r="24" customFormat="false" ht="14.25" hidden="false" customHeight="true" outlineLevel="0" collapsed="false">
      <c r="C24" s="11" t="s">
        <v>2494</v>
      </c>
      <c r="D24" s="42" t="n">
        <f aca="false">'3 Statement Forecast'!E77+'3 Statement Forecast'!E78</f>
        <v>360.5</v>
      </c>
      <c r="E24" s="42" t="n">
        <f aca="false">'3 Statement Forecast'!F77+'3 Statement Forecast'!F78</f>
        <v>360.5</v>
      </c>
      <c r="F24" s="42" t="n">
        <f aca="false">'3 Statement Forecast'!G77+'3 Statement Forecast'!G78</f>
        <v>360.499264</v>
      </c>
      <c r="G24" s="42" t="n">
        <f aca="false">'3 Statement Forecast'!H77+'3 Statement Forecast'!H78</f>
        <v>360.499264</v>
      </c>
      <c r="H24" s="42" t="n">
        <f aca="false">'3 Statement Forecast'!I77+'3 Statement Forecast'!I78</f>
        <v>360.499264</v>
      </c>
      <c r="I24" s="42" t="n">
        <f aca="false">'3 Statement Forecast'!J77+'3 Statement Forecast'!J78</f>
        <v>367.86673824</v>
      </c>
      <c r="J24" s="42" t="n">
        <f aca="false">'3 Statement Forecast'!K77+'3 Statement Forecast'!K78</f>
        <v>370.4024615784</v>
      </c>
      <c r="K24" s="42" t="n">
        <f aca="false">'3 Statement Forecast'!L77+'3 Statement Forecast'!L78</f>
        <v>373.026935233644</v>
      </c>
      <c r="L24" s="42" t="n">
        <f aca="false">'3 Statement Forecast'!M77+'3 Statement Forecast'!M78</f>
        <v>375.743265466821</v>
      </c>
      <c r="M24" s="42" t="n">
        <f aca="false">'3 Statement Forecast'!N77+'3 Statement Forecast'!N78</f>
        <v>378.55466725816</v>
      </c>
    </row>
    <row r="25" customFormat="false" ht="14.25" hidden="false" customHeight="true" outlineLevel="0" collapsed="false">
      <c r="C25" s="11" t="s">
        <v>2495</v>
      </c>
      <c r="D25" s="42" t="n">
        <f aca="false">'3 Statement Forecast'!E81+'3 Statement Forecast'!E82+'3 Statement Forecast'!E84</f>
        <v>-16.9440051138254</v>
      </c>
      <c r="E25" s="42" t="n">
        <f aca="false">'3 Statement Forecast'!F81+'3 Statement Forecast'!F82+'3 Statement Forecast'!F84</f>
        <v>501.012575336003</v>
      </c>
      <c r="F25" s="42" t="n">
        <f aca="false">'3 Statement Forecast'!G81+'3 Statement Forecast'!G82+'3 Statement Forecast'!G84</f>
        <v>475.726653266799</v>
      </c>
      <c r="G25" s="42" t="n">
        <f aca="false">'3 Statement Forecast'!H81+'3 Statement Forecast'!H82+'3 Statement Forecast'!H84</f>
        <v>458.736620082511</v>
      </c>
      <c r="H25" s="42" t="n">
        <f aca="false">'3 Statement Forecast'!I81+'3 Statement Forecast'!I82+'3 Statement Forecast'!I84</f>
        <v>465.822361770656</v>
      </c>
      <c r="I25" s="42" t="n">
        <f aca="false">'3 Statement Forecast'!J81+'3 Statement Forecast'!J82+'3 Statement Forecast'!J84</f>
        <v>242.888979601227</v>
      </c>
      <c r="J25" s="42" t="n">
        <f aca="false">'3 Statement Forecast'!K81+'3 Statement Forecast'!K82+'3 Statement Forecast'!K84</f>
        <v>190.57388639545</v>
      </c>
      <c r="K25" s="42" t="n">
        <f aca="false">'3 Statement Forecast'!L81+'3 Statement Forecast'!L82+'3 Statement Forecast'!L84</f>
        <v>184.054979784729</v>
      </c>
      <c r="L25" s="42" t="n">
        <f aca="false">'3 Statement Forecast'!M81+'3 Statement Forecast'!M82+'3 Statement Forecast'!M84</f>
        <v>177.959148518352</v>
      </c>
      <c r="M25" s="42" t="n">
        <f aca="false">'3 Statement Forecast'!N81+'3 Statement Forecast'!N82+'3 Statement Forecast'!N84</f>
        <v>172.309193246367</v>
      </c>
    </row>
    <row r="26" customFormat="false" ht="14.25" hidden="false" customHeight="true" outlineLevel="0" collapsed="false">
      <c r="C26" s="11" t="s">
        <v>2496</v>
      </c>
      <c r="D26" s="42" t="n">
        <f aca="false">'3 Statement Forecast'!E83</f>
        <v>-66.2</v>
      </c>
      <c r="E26" s="42" t="n">
        <f aca="false">'3 Statement Forecast'!F83</f>
        <v>-131.089108910891</v>
      </c>
      <c r="F26" s="42" t="n">
        <f aca="false">'3 Statement Forecast'!G83</f>
        <v>-131.089108910891</v>
      </c>
      <c r="G26" s="42" t="n">
        <f aca="false">'3 Statement Forecast'!H83</f>
        <v>-131.089108910891</v>
      </c>
      <c r="H26" s="42" t="n">
        <f aca="false">'3 Statement Forecast'!I83</f>
        <v>-131.089108910891</v>
      </c>
      <c r="I26" s="42" t="n">
        <f aca="false">'3 Statement Forecast'!J83</f>
        <v>-131.089108910891</v>
      </c>
      <c r="J26" s="42" t="n">
        <f aca="false">'3 Statement Forecast'!K83</f>
        <v>-131.089108910891</v>
      </c>
      <c r="K26" s="42" t="n">
        <f aca="false">'3 Statement Forecast'!L83</f>
        <v>-131.089108910891</v>
      </c>
      <c r="L26" s="42" t="n">
        <f aca="false">'3 Statement Forecast'!M83</f>
        <v>-131.089108910891</v>
      </c>
      <c r="M26" s="42" t="n">
        <f aca="false">'3 Statement Forecast'!N83</f>
        <v>-131.089108910891</v>
      </c>
    </row>
    <row r="27" customFormat="false" ht="14.25" hidden="false" customHeight="true" outlineLevel="0" collapsed="false">
      <c r="C27" s="11" t="s">
        <v>2497</v>
      </c>
      <c r="D27" s="42" t="n">
        <f aca="false">'3 Statement Forecast'!E87+'3 Statement Forecast'!E88</f>
        <v>-66.465</v>
      </c>
      <c r="E27" s="42" t="n">
        <f aca="false">'3 Statement Forecast'!F87+'3 Statement Forecast'!F88</f>
        <v>-59.465</v>
      </c>
      <c r="F27" s="42" t="n">
        <f aca="false">'3 Statement Forecast'!G87+'3 Statement Forecast'!G88</f>
        <v>-52.465</v>
      </c>
      <c r="G27" s="42" t="n">
        <f aca="false">'3 Statement Forecast'!H87+'3 Statement Forecast'!H88</f>
        <v>-45.465</v>
      </c>
      <c r="H27" s="42" t="n">
        <f aca="false">'3 Statement Forecast'!I87+'3 Statement Forecast'!I88</f>
        <v>-38.465</v>
      </c>
      <c r="I27" s="42" t="n">
        <f aca="false">'3 Statement Forecast'!J87+'3 Statement Forecast'!J88</f>
        <v>-31.465</v>
      </c>
      <c r="J27" s="42" t="n">
        <f aca="false">'3 Statement Forecast'!K87+'3 Statement Forecast'!K88</f>
        <v>-24.465</v>
      </c>
      <c r="K27" s="42" t="n">
        <f aca="false">'3 Statement Forecast'!L87+'3 Statement Forecast'!L88</f>
        <v>-17.465</v>
      </c>
      <c r="L27" s="42" t="n">
        <f aca="false">'3 Statement Forecast'!M87+'3 Statement Forecast'!M88</f>
        <v>-10.465</v>
      </c>
      <c r="M27" s="42" t="n">
        <f aca="false">'3 Statement Forecast'!N87+'3 Statement Forecast'!N88</f>
        <v>-3.46499999999996</v>
      </c>
    </row>
    <row r="28" customFormat="false" ht="14.25" hidden="false" customHeight="true" outlineLevel="0" collapsed="false">
      <c r="C28" s="11" t="s">
        <v>2498</v>
      </c>
      <c r="D28" s="42" t="n">
        <f aca="false">-'3 Statement Forecast'!E71</f>
        <v>-28</v>
      </c>
      <c r="E28" s="42" t="n">
        <f aca="false">-'3 Statement Forecast'!F71</f>
        <v>-28</v>
      </c>
      <c r="F28" s="42" t="n">
        <f aca="false">-'3 Statement Forecast'!G71</f>
        <v>-28</v>
      </c>
      <c r="G28" s="42" t="n">
        <f aca="false">-'3 Statement Forecast'!H71</f>
        <v>-28</v>
      </c>
      <c r="H28" s="42" t="n">
        <f aca="false">-'3 Statement Forecast'!I71</f>
        <v>-28</v>
      </c>
      <c r="I28" s="42" t="n">
        <f aca="false">-'3 Statement Forecast'!J71</f>
        <v>-28</v>
      </c>
      <c r="J28" s="42" t="n">
        <f aca="false">-'3 Statement Forecast'!K71</f>
        <v>-28</v>
      </c>
      <c r="K28" s="42" t="n">
        <f aca="false">-'3 Statement Forecast'!L71</f>
        <v>-28</v>
      </c>
      <c r="L28" s="42" t="n">
        <f aca="false">-'3 Statement Forecast'!M71</f>
        <v>-28</v>
      </c>
      <c r="M28" s="42" t="n">
        <f aca="false">-'3 Statement Forecast'!N71</f>
        <v>-28</v>
      </c>
    </row>
    <row r="29" customFormat="false" ht="14.25" hidden="false" customHeight="true" outlineLevel="0" collapsed="false">
      <c r="C29" s="11" t="s">
        <v>2499</v>
      </c>
      <c r="D29" s="59" t="n">
        <v>0</v>
      </c>
      <c r="E29" s="59" t="n">
        <v>0</v>
      </c>
      <c r="F29" s="59" t="n">
        <v>0</v>
      </c>
      <c r="G29" s="59" t="n">
        <v>0</v>
      </c>
      <c r="H29" s="59" t="n">
        <v>0</v>
      </c>
      <c r="I29" s="59" t="n">
        <v>0</v>
      </c>
      <c r="J29" s="59" t="n">
        <v>0</v>
      </c>
      <c r="K29" s="59" t="n">
        <v>0</v>
      </c>
      <c r="L29" s="59" t="n">
        <v>0</v>
      </c>
      <c r="M29" s="59" t="n">
        <v>0</v>
      </c>
    </row>
    <row r="30" customFormat="false" ht="14.25" hidden="false" customHeight="true" outlineLevel="0" collapsed="false">
      <c r="C30" s="10" t="s">
        <v>2500</v>
      </c>
      <c r="D30" s="89" t="n">
        <f aca="false">SUM(D22:D29)</f>
        <v>128.812</v>
      </c>
      <c r="E30" s="89" t="n">
        <f aca="false">SUM(E22:E29)</f>
        <v>168.520664873446</v>
      </c>
      <c r="F30" s="89" t="n">
        <f aca="false">SUM(F22:F29)</f>
        <v>167.00246668354</v>
      </c>
      <c r="G30" s="89" t="n">
        <f aca="false">SUM(G22:G29)</f>
        <v>165.53560852904</v>
      </c>
      <c r="H30" s="89" t="n">
        <f aca="false">SUM(H22:H29)</f>
        <v>164.118354273485</v>
      </c>
      <c r="I30" s="32" t="n">
        <f aca="false">SUM(I22:I29)</f>
        <v>172.428457496082</v>
      </c>
      <c r="J30" s="32" t="n">
        <f aca="false">SUM(J22:J29)</f>
        <v>175.641689584099</v>
      </c>
      <c r="K30" s="32" t="n">
        <f aca="false">SUM(K22:K29)</f>
        <v>181.709173899397</v>
      </c>
      <c r="L30" s="32" t="n">
        <f aca="false">SUM(L22:L29)</f>
        <v>189.042341202781</v>
      </c>
      <c r="M30" s="32" t="n">
        <f aca="false">SUM(M22:M29)</f>
        <v>197.668610820992</v>
      </c>
    </row>
    <row r="31" customFormat="false" ht="14.25" hidden="false" customHeight="true" outlineLevel="0" collapsed="false">
      <c r="C31" s="11"/>
      <c r="D31" s="11"/>
      <c r="E31" s="11"/>
      <c r="F31" s="11"/>
      <c r="G31" s="11"/>
      <c r="H31" s="11"/>
      <c r="I31" s="11"/>
      <c r="J31" s="11"/>
      <c r="K31" s="11"/>
      <c r="L31" s="11"/>
      <c r="M31" s="11"/>
    </row>
    <row r="32" customFormat="false" ht="14.25" hidden="false" customHeight="true" outlineLevel="0" collapsed="false">
      <c r="A32" s="22" t="s">
        <v>11</v>
      </c>
      <c r="C32" s="71" t="s">
        <v>2501</v>
      </c>
      <c r="D32" s="54"/>
      <c r="E32" s="54"/>
      <c r="F32" s="54"/>
      <c r="G32" s="54"/>
      <c r="H32" s="54"/>
      <c r="I32" s="54"/>
      <c r="J32" s="54"/>
      <c r="K32" s="54"/>
      <c r="L32" s="54"/>
      <c r="M32" s="54"/>
    </row>
    <row r="33" customFormat="false" ht="14.25" hidden="false" customHeight="true" outlineLevel="0" collapsed="false">
      <c r="C33" s="11" t="s">
        <v>2502</v>
      </c>
      <c r="D33" s="11"/>
      <c r="E33" s="11"/>
      <c r="F33" s="11"/>
      <c r="G33" s="11"/>
      <c r="H33" s="11"/>
      <c r="I33" s="11"/>
      <c r="J33" s="11"/>
      <c r="K33" s="11"/>
      <c r="L33" s="11"/>
      <c r="M33" s="11"/>
    </row>
    <row r="34" customFormat="false" ht="14.25" hidden="false" customHeight="true" outlineLevel="0" collapsed="false">
      <c r="C34" s="11" t="s">
        <v>2503</v>
      </c>
      <c r="D34" s="42" t="n">
        <f aca="false">-'3 Statement Forecast'!E86</f>
        <v>94.512</v>
      </c>
      <c r="E34" s="42" t="n">
        <f aca="false">-'3 Statement Forecast'!F86</f>
        <v>96.5206648734464</v>
      </c>
      <c r="F34" s="42" t="n">
        <f aca="false">-'3 Statement Forecast'!G86</f>
        <v>95.0024666835396</v>
      </c>
      <c r="G34" s="42" t="n">
        <f aca="false">-'3 Statement Forecast'!H86</f>
        <v>93.5356085290402</v>
      </c>
      <c r="H34" s="42" t="n">
        <f aca="false">-'3 Statement Forecast'!I86</f>
        <v>92.1183542734852</v>
      </c>
      <c r="I34" s="42" t="n">
        <f aca="false">-'3 Statement Forecast'!J86</f>
        <v>96.102945103462</v>
      </c>
      <c r="J34" s="42" t="n">
        <f aca="false">-'3 Statement Forecast'!K86</f>
        <v>97.6436498058642</v>
      </c>
      <c r="K34" s="42" t="n">
        <f aca="false">-'3 Statement Forecast'!L86</f>
        <v>100.552932845577</v>
      </c>
      <c r="L34" s="42" t="n">
        <f aca="false">-'3 Statement Forecast'!M86</f>
        <v>104.069095089182</v>
      </c>
      <c r="M34" s="42" t="n">
        <f aca="false">-'3 Statement Forecast'!N86</f>
        <v>108.205283761805</v>
      </c>
    </row>
    <row r="35" customFormat="false" ht="14.25" hidden="false" customHeight="true" outlineLevel="0" collapsed="false">
      <c r="C35" s="11" t="s">
        <v>2504</v>
      </c>
      <c r="D35" s="42" t="n">
        <f aca="false">-'3 Statement Forecast'!E85</f>
        <v>100</v>
      </c>
      <c r="E35" s="42" t="n">
        <f aca="false">-'3 Statement Forecast'!F85</f>
        <v>100</v>
      </c>
      <c r="F35" s="42" t="n">
        <f aca="false">-'3 Statement Forecast'!G85</f>
        <v>100</v>
      </c>
      <c r="G35" s="42" t="n">
        <f aca="false">-'3 Statement Forecast'!H85</f>
        <v>100</v>
      </c>
      <c r="H35" s="42" t="n">
        <f aca="false">-'3 Statement Forecast'!I85</f>
        <v>100</v>
      </c>
      <c r="I35" s="42" t="n">
        <f aca="false">-'3 Statement Forecast'!J85</f>
        <v>104.32551239262</v>
      </c>
      <c r="J35" s="42" t="n">
        <f aca="false">-'3 Statement Forecast'!K85</f>
        <v>105.998039778235</v>
      </c>
      <c r="K35" s="42" t="n">
        <f aca="false">-'3 Statement Forecast'!L85</f>
        <v>109.15624105382</v>
      </c>
      <c r="L35" s="42" t="n">
        <f aca="false">-'3 Statement Forecast'!M85</f>
        <v>112.973246113599</v>
      </c>
      <c r="M35" s="42" t="n">
        <f aca="false">-'3 Statement Forecast'!N85</f>
        <v>117.463327059187</v>
      </c>
    </row>
    <row r="36" customFormat="false" ht="14.25" hidden="false" customHeight="true" outlineLevel="0" collapsed="false">
      <c r="C36" s="11" t="s">
        <v>2505</v>
      </c>
      <c r="D36" s="42" t="n">
        <f aca="false">'3 Statement Forecast'!E93-'3 Statement Forecast'!E92</f>
        <v>-4237.7</v>
      </c>
      <c r="E36" s="42" t="n">
        <f aca="false">'3 Statement Forecast'!F93-'3 Statement Forecast'!F92</f>
        <v>0</v>
      </c>
      <c r="F36" s="42" t="n">
        <f aca="false">'3 Statement Forecast'!G93-'3 Statement Forecast'!G92</f>
        <v>0</v>
      </c>
      <c r="G36" s="42" t="n">
        <f aca="false">'3 Statement Forecast'!H93-'3 Statement Forecast'!H92</f>
        <v>0</v>
      </c>
      <c r="H36" s="42" t="n">
        <f aca="false">'3 Statement Forecast'!I93-'3 Statement Forecast'!I92</f>
        <v>0</v>
      </c>
      <c r="I36" s="42" t="n">
        <f aca="false">'3 Statement Forecast'!J93-'3 Statement Forecast'!J92</f>
        <v>0</v>
      </c>
      <c r="J36" s="42" t="n">
        <f aca="false">'3 Statement Forecast'!K93-'3 Statement Forecast'!K92</f>
        <v>0</v>
      </c>
      <c r="K36" s="42" t="n">
        <f aca="false">'3 Statement Forecast'!L93-'3 Statement Forecast'!L92</f>
        <v>0</v>
      </c>
      <c r="L36" s="42" t="n">
        <f aca="false">'3 Statement Forecast'!M93-'3 Statement Forecast'!M92</f>
        <v>0</v>
      </c>
      <c r="M36" s="42" t="n">
        <f aca="false">'3 Statement Forecast'!N93-'3 Statement Forecast'!N92</f>
        <v>0</v>
      </c>
    </row>
    <row r="37" customFormat="false" ht="14.25" hidden="false" customHeight="true" outlineLevel="0" collapsed="false">
      <c r="C37" s="11" t="s">
        <v>2506</v>
      </c>
      <c r="D37" s="32" t="n">
        <f aca="false">D34+D35+D36</f>
        <v>-4043.188</v>
      </c>
      <c r="E37" s="32" t="n">
        <f aca="false">E34+E35+E36</f>
        <v>196.520664873446</v>
      </c>
      <c r="F37" s="32" t="n">
        <f aca="false">F34+F35+F36</f>
        <v>195.00246668354</v>
      </c>
      <c r="G37" s="32" t="n">
        <f aca="false">G34+G35+G36</f>
        <v>193.53560852904</v>
      </c>
      <c r="H37" s="32" t="n">
        <f aca="false">H34+H35+H36</f>
        <v>192.118354273485</v>
      </c>
      <c r="I37" s="32" t="n">
        <f aca="false">I34+I35+I36</f>
        <v>200.428457496082</v>
      </c>
      <c r="J37" s="32" t="n">
        <f aca="false">J34+J35+J36</f>
        <v>203.641689584099</v>
      </c>
      <c r="K37" s="32" t="n">
        <f aca="false">K34+K35+K36</f>
        <v>209.709173899397</v>
      </c>
      <c r="L37" s="32" t="n">
        <f aca="false">L34+L35+L36</f>
        <v>217.042341202781</v>
      </c>
      <c r="M37" s="32" t="n">
        <f aca="false">M34+M35+M36</f>
        <v>225.668610820992</v>
      </c>
    </row>
    <row r="38" customFormat="false" ht="14.25" hidden="false" customHeight="true" outlineLevel="0" collapsed="false">
      <c r="C38" s="10" t="s">
        <v>2507</v>
      </c>
      <c r="D38" s="156" t="n">
        <f aca="false">(D30-D28+'3 Statement Forecast'!E76)-D37</f>
        <v>0</v>
      </c>
      <c r="E38" s="156" t="n">
        <f aca="false">(E30-E28+'3 Statement Forecast'!F76)-E37</f>
        <v>0</v>
      </c>
      <c r="F38" s="156" t="n">
        <f aca="false">(F30-F28+'3 Statement Forecast'!G76)-F37</f>
        <v>0</v>
      </c>
      <c r="G38" s="156" t="n">
        <f aca="false">(G30-G28+'3 Statement Forecast'!H76)-G37</f>
        <v>0</v>
      </c>
      <c r="H38" s="156" t="n">
        <f aca="false">(H30-H28+'3 Statement Forecast'!I76)-H37</f>
        <v>0</v>
      </c>
      <c r="I38" s="42" t="n">
        <f aca="false">(I30-I28+'3 Statement Forecast'!J76)-I37</f>
        <v>0</v>
      </c>
      <c r="J38" s="42" t="n">
        <f aca="false">(J30-J28+'3 Statement Forecast'!K76)-J37</f>
        <v>0</v>
      </c>
      <c r="K38" s="42" t="n">
        <f aca="false">(K30-K28+'3 Statement Forecast'!L76)-K37</f>
        <v>0</v>
      </c>
      <c r="L38" s="42" t="n">
        <f aca="false">(L30-L28+'3 Statement Forecast'!M76)-L37</f>
        <v>0</v>
      </c>
      <c r="M38" s="42" t="n">
        <f aca="false">(M30-M28+'3 Statement Forecast'!N76)-M37</f>
        <v>0</v>
      </c>
    </row>
    <row r="39" customFormat="false" ht="14.25" hidden="false" customHeight="true" outlineLevel="0" collapsed="false">
      <c r="C39" s="11" t="s">
        <v>2508</v>
      </c>
      <c r="D39" s="65" t="str">
        <f aca="false">IF(ABS(D38)&lt;0.5,"PASS","FAIL")</f>
        <v>PASS</v>
      </c>
      <c r="E39" s="65" t="str">
        <f aca="false">IF(ABS(E38)&lt;0.5,"PASS","FAIL")</f>
        <v>PASS</v>
      </c>
      <c r="F39" s="65" t="str">
        <f aca="false">IF(ABS(F38)&lt;0.5,"PASS","FAIL")</f>
        <v>PASS</v>
      </c>
      <c r="G39" s="65" t="str">
        <f aca="false">IF(ABS(G38)&lt;0.5,"PASS","FAIL")</f>
        <v>PASS</v>
      </c>
      <c r="H39" s="65" t="str">
        <f aca="false">IF(ABS(H38)&lt;0.5,"PASS","FAIL")</f>
        <v>PASS</v>
      </c>
      <c r="I39" s="65" t="str">
        <f aca="false">IF(ABS(I38)&lt;0.5,"PASS","FAIL")</f>
        <v>PASS</v>
      </c>
      <c r="J39" s="65" t="str">
        <f aca="false">IF(ABS(J38)&lt;0.5,"PASS","FAIL")</f>
        <v>PASS</v>
      </c>
      <c r="K39" s="65" t="str">
        <f aca="false">IF(ABS(K38)&lt;0.5,"PASS","FAIL")</f>
        <v>PASS</v>
      </c>
      <c r="L39" s="65" t="str">
        <f aca="false">IF(ABS(L38)&lt;0.5,"PASS","FAIL")</f>
        <v>PASS</v>
      </c>
      <c r="M39" s="65" t="str">
        <f aca="false">IF(ABS(M38)&lt;0.5,"PASS","FAIL")</f>
        <v>PASS</v>
      </c>
    </row>
    <row r="40" customFormat="false" ht="14.25" hidden="false" customHeight="true" outlineLevel="0" collapsed="false">
      <c r="C40" s="11"/>
      <c r="D40" s="11"/>
      <c r="E40" s="11"/>
      <c r="F40" s="11"/>
      <c r="G40" s="11"/>
      <c r="H40" s="11"/>
      <c r="I40" s="11"/>
      <c r="J40" s="11"/>
      <c r="K40" s="11"/>
      <c r="L40" s="11"/>
      <c r="M40" s="11"/>
    </row>
    <row r="41" customFormat="false" ht="14.25" hidden="false" customHeight="true" outlineLevel="0" collapsed="false">
      <c r="A41" s="22" t="s">
        <v>11</v>
      </c>
      <c r="C41" s="71" t="s">
        <v>2509</v>
      </c>
      <c r="D41" s="54"/>
      <c r="E41" s="54"/>
      <c r="F41" s="54"/>
      <c r="G41" s="54"/>
      <c r="H41" s="54"/>
      <c r="I41" s="54"/>
      <c r="J41" s="54"/>
      <c r="K41" s="54"/>
      <c r="L41" s="54"/>
      <c r="M41" s="54"/>
    </row>
    <row r="42" customFormat="false" ht="14.25" hidden="false" customHeight="true" outlineLevel="0" collapsed="false">
      <c r="C42" s="11" t="s">
        <v>2510</v>
      </c>
      <c r="D42" s="41" t="n">
        <f aca="false">Drivers!$C$435</f>
        <v>0.0902</v>
      </c>
      <c r="E42" s="11"/>
      <c r="F42" s="11"/>
      <c r="G42" s="11"/>
      <c r="H42" s="11"/>
      <c r="I42" s="11"/>
      <c r="J42" s="11"/>
      <c r="K42" s="11"/>
      <c r="L42" s="11"/>
      <c r="M42" s="11"/>
    </row>
    <row r="43" customFormat="false" ht="14.25" hidden="false" customHeight="true" outlineLevel="0" collapsed="false">
      <c r="C43" s="11"/>
      <c r="D43" s="11"/>
      <c r="E43" s="11"/>
      <c r="F43" s="11"/>
      <c r="G43" s="11"/>
      <c r="H43" s="11"/>
      <c r="I43" s="11"/>
      <c r="J43" s="11"/>
      <c r="K43" s="11"/>
      <c r="L43" s="11"/>
      <c r="M43" s="11"/>
    </row>
    <row r="44" customFormat="false" ht="14.25" hidden="false" customHeight="true" outlineLevel="0" collapsed="false">
      <c r="A44" s="22" t="s">
        <v>11</v>
      </c>
      <c r="C44" s="71" t="s">
        <v>2511</v>
      </c>
      <c r="D44" s="54"/>
      <c r="E44" s="54"/>
      <c r="F44" s="54"/>
      <c r="G44" s="54"/>
      <c r="H44" s="54"/>
      <c r="I44" s="54"/>
      <c r="J44" s="54"/>
      <c r="K44" s="54"/>
      <c r="L44" s="54"/>
      <c r="M44" s="54"/>
    </row>
    <row r="45" customFormat="false" ht="14.25" hidden="false" customHeight="true" outlineLevel="0" collapsed="false">
      <c r="C45" s="11" t="s">
        <v>2512</v>
      </c>
      <c r="D45" s="11"/>
      <c r="E45" s="11"/>
      <c r="F45" s="11"/>
      <c r="G45" s="11"/>
      <c r="H45" s="11"/>
      <c r="I45" s="11"/>
      <c r="J45" s="11"/>
      <c r="K45" s="11"/>
      <c r="L45" s="11"/>
      <c r="M45" s="11"/>
    </row>
    <row r="46" customFormat="false" ht="14.25" hidden="false" customHeight="true" outlineLevel="0" collapsed="false">
      <c r="C46" s="11" t="s">
        <v>2513</v>
      </c>
      <c r="D46" s="41" t="n">
        <f aca="false">Drivers!$C$433</f>
        <v>0.035</v>
      </c>
      <c r="E46" s="11"/>
      <c r="F46" s="11"/>
      <c r="G46" s="11"/>
      <c r="H46" s="11"/>
      <c r="I46" s="11"/>
      <c r="J46" s="11"/>
      <c r="K46" s="11"/>
      <c r="L46" s="11"/>
      <c r="M46" s="11"/>
    </row>
    <row r="47" customFormat="false" ht="14.25" hidden="false" customHeight="true" outlineLevel="0" collapsed="false">
      <c r="A47" s="22" t="s">
        <v>11</v>
      </c>
      <c r="C47" s="71" t="s">
        <v>2514</v>
      </c>
      <c r="D47" s="80" t="n">
        <f aca="false">M30*(1+D46)</f>
        <v>204.587012199727</v>
      </c>
      <c r="E47" s="54"/>
      <c r="F47" s="54"/>
      <c r="G47" s="54"/>
      <c r="H47" s="54"/>
      <c r="I47" s="54"/>
      <c r="J47" s="54"/>
      <c r="K47" s="54"/>
      <c r="L47" s="54"/>
      <c r="M47" s="54"/>
    </row>
    <row r="48" customFormat="false" ht="14.25" hidden="false" customHeight="true" outlineLevel="0" collapsed="false">
      <c r="C48" s="11" t="s">
        <v>2515</v>
      </c>
      <c r="D48" s="34" t="n">
        <f aca="false">D47/(D42-D46)</f>
        <v>3706.2864528936</v>
      </c>
      <c r="E48" s="11"/>
      <c r="F48" s="11"/>
      <c r="G48" s="11"/>
      <c r="H48" s="11"/>
      <c r="I48" s="11"/>
      <c r="J48" s="11"/>
      <c r="K48" s="11"/>
      <c r="L48" s="11"/>
      <c r="M48" s="11"/>
    </row>
    <row r="49" customFormat="false" ht="14.25" hidden="false" customHeight="true" outlineLevel="0" collapsed="false">
      <c r="C49" s="11"/>
      <c r="D49" s="11"/>
      <c r="E49" s="11"/>
      <c r="F49" s="11"/>
      <c r="G49" s="11"/>
      <c r="H49" s="11"/>
      <c r="I49" s="11"/>
      <c r="J49" s="11"/>
      <c r="K49" s="11"/>
      <c r="L49" s="11"/>
      <c r="M49" s="11"/>
    </row>
    <row r="50" customFormat="false" ht="14.25" hidden="false" customHeight="true" outlineLevel="0" collapsed="false">
      <c r="C50" s="11" t="s">
        <v>2516</v>
      </c>
      <c r="D50" s="11"/>
      <c r="E50" s="11"/>
      <c r="F50" s="11"/>
      <c r="G50" s="11"/>
      <c r="H50" s="11"/>
      <c r="I50" s="11"/>
      <c r="J50" s="11"/>
      <c r="K50" s="11"/>
      <c r="L50" s="11"/>
      <c r="M50" s="11"/>
    </row>
    <row r="51" customFormat="false" ht="14.25" hidden="false" customHeight="true" outlineLevel="0" collapsed="false">
      <c r="C51" s="11" t="s">
        <v>2517</v>
      </c>
      <c r="D51" s="42" t="n">
        <f aca="false">'3 Statement Forecast'!N58</f>
        <v>4403.91784457692</v>
      </c>
      <c r="E51" s="11"/>
      <c r="F51" s="11"/>
      <c r="G51" s="11"/>
      <c r="H51" s="11"/>
      <c r="I51" s="11"/>
      <c r="J51" s="11"/>
      <c r="K51" s="11"/>
      <c r="L51" s="11"/>
      <c r="M51" s="11"/>
    </row>
    <row r="52" customFormat="false" ht="14.25" hidden="false" customHeight="true" outlineLevel="0" collapsed="false">
      <c r="C52" s="11" t="s">
        <v>2518</v>
      </c>
      <c r="D52" s="42" t="n">
        <f aca="false">Drivers!$C$507</f>
        <v>31.0566181607745</v>
      </c>
      <c r="E52" s="11"/>
      <c r="F52" s="11"/>
      <c r="G52" s="11"/>
      <c r="H52" s="11"/>
      <c r="I52" s="11"/>
      <c r="J52" s="11"/>
      <c r="K52" s="11"/>
      <c r="L52" s="11"/>
      <c r="M52" s="11"/>
    </row>
    <row r="53" customFormat="false" ht="14.25" hidden="false" customHeight="true" outlineLevel="0" collapsed="false">
      <c r="A53" s="22" t="s">
        <v>11</v>
      </c>
      <c r="C53" s="71" t="s">
        <v>2519</v>
      </c>
      <c r="D53" s="107" t="n">
        <f aca="false">D51/D52</f>
        <v>141.802878271505</v>
      </c>
      <c r="E53" s="54"/>
      <c r="F53" s="54"/>
      <c r="G53" s="54"/>
      <c r="H53" s="54"/>
      <c r="I53" s="54"/>
      <c r="J53" s="54"/>
      <c r="K53" s="54"/>
      <c r="L53" s="54"/>
      <c r="M53" s="54"/>
    </row>
    <row r="54" customFormat="false" ht="14.25" hidden="false" customHeight="true" outlineLevel="0" collapsed="false">
      <c r="C54" s="11" t="s">
        <v>2520</v>
      </c>
      <c r="D54" s="45" t="n">
        <f aca="false">Drivers!$C$434</f>
        <v>1.632152</v>
      </c>
      <c r="E54" s="11"/>
      <c r="F54" s="11"/>
      <c r="G54" s="11"/>
      <c r="H54" s="11"/>
      <c r="I54" s="11"/>
      <c r="J54" s="11"/>
      <c r="K54" s="11"/>
      <c r="L54" s="11"/>
      <c r="M54" s="11"/>
    </row>
    <row r="55" customFormat="false" ht="14.25" hidden="false" customHeight="true" outlineLevel="0" collapsed="false">
      <c r="C55" s="11" t="s">
        <v>2521</v>
      </c>
      <c r="D55" s="64" t="n">
        <f aca="false">D53*D54</f>
        <v>231.443851376593</v>
      </c>
      <c r="E55" s="11"/>
      <c r="F55" s="11"/>
      <c r="G55" s="11"/>
      <c r="H55" s="11"/>
      <c r="I55" s="11"/>
      <c r="J55" s="11"/>
      <c r="K55" s="11"/>
      <c r="L55" s="11"/>
      <c r="M55" s="11"/>
    </row>
    <row r="56" customFormat="false" ht="14.25" hidden="false" customHeight="true" outlineLevel="0" collapsed="false">
      <c r="C56" s="11" t="s">
        <v>2522</v>
      </c>
      <c r="D56" s="32" t="n">
        <f aca="false">D55*D52</f>
        <v>7187.86331786191</v>
      </c>
      <c r="E56" s="11"/>
      <c r="F56" s="11"/>
      <c r="G56" s="11"/>
      <c r="H56" s="11"/>
      <c r="I56" s="11"/>
      <c r="J56" s="11"/>
      <c r="K56" s="11"/>
      <c r="L56" s="11"/>
      <c r="M56" s="11"/>
    </row>
    <row r="57" customFormat="false" ht="14.25" hidden="false" customHeight="true" outlineLevel="0" collapsed="false">
      <c r="C57" s="11"/>
      <c r="D57" s="11"/>
      <c r="E57" s="11"/>
      <c r="F57" s="11"/>
      <c r="G57" s="11"/>
      <c r="H57" s="11"/>
      <c r="I57" s="11"/>
      <c r="J57" s="11"/>
      <c r="K57" s="11"/>
      <c r="L57" s="11"/>
      <c r="M57" s="11"/>
    </row>
    <row r="58" customFormat="false" ht="14.25" hidden="false" customHeight="true" outlineLevel="0" collapsed="false">
      <c r="A58" s="22" t="s">
        <v>11</v>
      </c>
      <c r="C58" s="71" t="s">
        <v>2523</v>
      </c>
      <c r="D58" s="54"/>
      <c r="E58" s="54"/>
      <c r="F58" s="54"/>
      <c r="G58" s="54"/>
      <c r="H58" s="54"/>
      <c r="I58" s="54"/>
      <c r="J58" s="54"/>
      <c r="K58" s="54"/>
      <c r="L58" s="54"/>
      <c r="M58" s="54"/>
    </row>
    <row r="59" customFormat="false" ht="14.25" hidden="false" customHeight="true" outlineLevel="0" collapsed="false">
      <c r="C59" s="11" t="s">
        <v>2524</v>
      </c>
      <c r="D59" s="31" t="n">
        <v>1</v>
      </c>
      <c r="E59" s="31" t="n">
        <v>2</v>
      </c>
      <c r="F59" s="31" t="n">
        <v>3</v>
      </c>
      <c r="G59" s="31" t="n">
        <v>4</v>
      </c>
      <c r="H59" s="31" t="n">
        <v>5</v>
      </c>
      <c r="I59" s="31" t="n">
        <v>6</v>
      </c>
      <c r="J59" s="31" t="n">
        <v>7</v>
      </c>
      <c r="K59" s="31" t="n">
        <v>8</v>
      </c>
      <c r="L59" s="31" t="n">
        <v>9</v>
      </c>
      <c r="M59" s="31" t="n">
        <v>10</v>
      </c>
    </row>
    <row r="60" customFormat="false" ht="14.25" hidden="false" customHeight="true" outlineLevel="0" collapsed="false">
      <c r="C60" s="11" t="s">
        <v>2525</v>
      </c>
      <c r="D60" s="34" t="n">
        <f aca="false">1/(1+$D$42)^D59</f>
        <v>0.91726288754357</v>
      </c>
      <c r="E60" s="34" t="n">
        <f aca="false">1/(1+$D$42)^E59</f>
        <v>0.841371204864768</v>
      </c>
      <c r="F60" s="34" t="n">
        <f aca="false">1/(1+$D$42)^F59</f>
        <v>0.77175858087027</v>
      </c>
      <c r="G60" s="34" t="n">
        <f aca="false">1/(1+$D$42)^G59</f>
        <v>0.707905504375591</v>
      </c>
      <c r="H60" s="34" t="n">
        <f aca="false">1/(1+$D$42)^H59</f>
        <v>0.649335447051542</v>
      </c>
      <c r="I60" s="34" t="n">
        <f aca="false">1/(1+$D$42)^I59</f>
        <v>0.595611307146892</v>
      </c>
      <c r="J60" s="34" t="n">
        <f aca="false">1/(1+$D$42)^J59</f>
        <v>0.546332147447159</v>
      </c>
      <c r="K60" s="34" t="n">
        <f aca="false">1/(1+$D$42)^K59</f>
        <v>0.50113020312526</v>
      </c>
      <c r="L60" s="34" t="n">
        <f aca="false">1/(1+$D$42)^L59</f>
        <v>0.459668137153972</v>
      </c>
      <c r="M60" s="34" t="n">
        <f aca="false">1/(1+$D$42)^M59</f>
        <v>0.421636522797626</v>
      </c>
    </row>
    <row r="61" customFormat="false" ht="14.25" hidden="false" customHeight="true" outlineLevel="0" collapsed="false">
      <c r="A61" s="22" t="s">
        <v>11</v>
      </c>
      <c r="C61" s="71" t="s">
        <v>2526</v>
      </c>
      <c r="D61" s="80" t="n">
        <f aca="false">D30*D60</f>
        <v>118.154467070263</v>
      </c>
      <c r="E61" s="80" t="n">
        <f aca="false">E30*E60</f>
        <v>141.788434849183</v>
      </c>
      <c r="F61" s="80" t="n">
        <f aca="false">F30*F60</f>
        <v>128.885586689523</v>
      </c>
      <c r="G61" s="80" t="n">
        <f aca="false">G30*G60</f>
        <v>117.183568447871</v>
      </c>
      <c r="H61" s="80" t="n">
        <f aca="false">H30*H60</f>
        <v>106.567864941537</v>
      </c>
      <c r="I61" s="80" t="n">
        <f aca="false">I30*I60</f>
        <v>102.700338958564</v>
      </c>
      <c r="J61" s="80" t="n">
        <f aca="false">J30*J60</f>
        <v>95.958701451728</v>
      </c>
      <c r="K61" s="80" t="n">
        <f aca="false">K30*K60</f>
        <v>91.0599552259281</v>
      </c>
      <c r="L61" s="80" t="n">
        <f aca="false">L30*L60</f>
        <v>86.896740823908</v>
      </c>
      <c r="M61" s="80" t="n">
        <f aca="false">M30*M60</f>
        <v>83.3443057328002</v>
      </c>
    </row>
    <row r="62" customFormat="false" ht="14.25" hidden="false" customHeight="true" outlineLevel="0" collapsed="false">
      <c r="C62" s="11" t="s">
        <v>2527</v>
      </c>
      <c r="D62" s="32" t="n">
        <f aca="false">SUM(D61:M61)</f>
        <v>1072.5399641913</v>
      </c>
      <c r="E62" s="11"/>
      <c r="F62" s="11"/>
      <c r="G62" s="11"/>
      <c r="H62" s="11"/>
      <c r="I62" s="11"/>
      <c r="J62" s="11"/>
      <c r="K62" s="11"/>
      <c r="L62" s="11"/>
      <c r="M62" s="11"/>
    </row>
    <row r="63" customFormat="false" ht="14.25" hidden="false" customHeight="true" outlineLevel="0" collapsed="false">
      <c r="C63" s="11"/>
      <c r="D63" s="11"/>
      <c r="E63" s="11"/>
      <c r="F63" s="11"/>
      <c r="G63" s="11"/>
      <c r="H63" s="11"/>
      <c r="I63" s="11"/>
      <c r="J63" s="11"/>
      <c r="K63" s="11"/>
      <c r="L63" s="11"/>
      <c r="M63" s="11"/>
    </row>
    <row r="64" customFormat="false" ht="14.25" hidden="false" customHeight="true" outlineLevel="0" collapsed="false">
      <c r="C64" s="11" t="s">
        <v>2528</v>
      </c>
      <c r="D64" s="11"/>
      <c r="E64" s="11"/>
      <c r="F64" s="11"/>
      <c r="G64" s="11"/>
      <c r="H64" s="11"/>
      <c r="I64" s="11"/>
      <c r="J64" s="11"/>
      <c r="K64" s="11"/>
      <c r="L64" s="11"/>
      <c r="M64" s="11"/>
    </row>
    <row r="65" customFormat="false" ht="14.25" hidden="false" customHeight="true" outlineLevel="0" collapsed="false">
      <c r="C65" s="11" t="s">
        <v>2529</v>
      </c>
      <c r="D65" s="32" t="n">
        <f aca="false">D48/(1+D42)^M59</f>
        <v>1562.70573249</v>
      </c>
      <c r="E65" s="11"/>
      <c r="F65" s="11"/>
      <c r="G65" s="11"/>
      <c r="H65" s="11"/>
      <c r="I65" s="11"/>
      <c r="J65" s="11"/>
      <c r="K65" s="11"/>
      <c r="L65" s="11"/>
      <c r="M65" s="11"/>
    </row>
    <row r="66" customFormat="false" ht="14.25" hidden="false" customHeight="true" outlineLevel="0" collapsed="false">
      <c r="A66" s="22" t="s">
        <v>11</v>
      </c>
      <c r="C66" s="71" t="s">
        <v>2530</v>
      </c>
      <c r="D66" s="80" t="n">
        <f aca="false">D56/(1+D42)^M59</f>
        <v>3030.6656956879</v>
      </c>
      <c r="E66" s="54"/>
      <c r="F66" s="54"/>
      <c r="G66" s="54"/>
      <c r="H66" s="54"/>
      <c r="I66" s="54"/>
      <c r="J66" s="54"/>
      <c r="K66" s="54"/>
      <c r="L66" s="54"/>
      <c r="M66" s="54"/>
    </row>
    <row r="67" customFormat="false" ht="14.25" hidden="false" customHeight="true" outlineLevel="0" collapsed="false">
      <c r="C67" s="11"/>
      <c r="D67" s="11"/>
      <c r="E67" s="11"/>
      <c r="F67" s="11"/>
      <c r="G67" s="11"/>
      <c r="H67" s="11"/>
      <c r="I67" s="11"/>
      <c r="J67" s="11"/>
      <c r="K67" s="11"/>
      <c r="L67" s="11"/>
      <c r="M67" s="11"/>
    </row>
    <row r="68" customFormat="false" ht="14.25" hidden="false" customHeight="true" outlineLevel="0" collapsed="false">
      <c r="C68" s="11" t="s">
        <v>2531</v>
      </c>
      <c r="D68" s="11"/>
      <c r="E68" s="11"/>
      <c r="F68" s="11"/>
      <c r="G68" s="11"/>
      <c r="H68" s="11"/>
      <c r="I68" s="11"/>
      <c r="J68" s="11"/>
      <c r="K68" s="11"/>
      <c r="L68" s="11"/>
      <c r="M68" s="11"/>
    </row>
    <row r="69" customFormat="false" ht="14.25" hidden="false" customHeight="true" outlineLevel="0" collapsed="false">
      <c r="C69" s="10" t="s">
        <v>2532</v>
      </c>
      <c r="D69" s="89" t="n">
        <f aca="false">D62+D65</f>
        <v>2635.24569668131</v>
      </c>
      <c r="E69" s="11"/>
      <c r="F69" s="11"/>
      <c r="G69" s="11"/>
      <c r="H69" s="11"/>
      <c r="I69" s="11"/>
      <c r="J69" s="11"/>
      <c r="K69" s="11"/>
      <c r="L69" s="11"/>
      <c r="M69" s="11"/>
    </row>
    <row r="70" customFormat="false" ht="14.25" hidden="false" customHeight="true" outlineLevel="0" collapsed="false">
      <c r="C70" s="11" t="s">
        <v>2533</v>
      </c>
      <c r="D70" s="154" t="n">
        <f aca="false">D62+D66</f>
        <v>4103.2056598792</v>
      </c>
      <c r="E70" s="11"/>
      <c r="F70" s="11"/>
      <c r="G70" s="11"/>
      <c r="H70" s="11"/>
      <c r="I70" s="11"/>
      <c r="J70" s="11"/>
      <c r="K70" s="11"/>
      <c r="L70" s="11"/>
      <c r="M70" s="11"/>
    </row>
    <row r="71" customFormat="false" ht="14.25" hidden="false" customHeight="true" outlineLevel="0" collapsed="false">
      <c r="C71" s="11"/>
      <c r="D71" s="11"/>
      <c r="E71" s="11"/>
      <c r="F71" s="11"/>
      <c r="G71" s="11"/>
      <c r="H71" s="11"/>
      <c r="I71" s="11"/>
      <c r="J71" s="11"/>
      <c r="K71" s="11"/>
      <c r="L71" s="11"/>
      <c r="M71" s="11"/>
    </row>
    <row r="72" customFormat="false" ht="14.25" hidden="false" customHeight="true" outlineLevel="0" collapsed="false">
      <c r="C72" s="11" t="s">
        <v>2534</v>
      </c>
      <c r="D72" s="42" t="n">
        <f aca="false">Drivers!$C$77</f>
        <v>35.8</v>
      </c>
      <c r="E72" s="11"/>
      <c r="F72" s="11"/>
      <c r="G72" s="11"/>
      <c r="H72" s="11"/>
      <c r="I72" s="11"/>
      <c r="J72" s="11"/>
      <c r="K72" s="11"/>
      <c r="L72" s="11"/>
      <c r="M72" s="11"/>
    </row>
    <row r="73" customFormat="false" ht="14.25" hidden="false" customHeight="true" outlineLevel="0" collapsed="false">
      <c r="C73" s="11" t="s">
        <v>2535</v>
      </c>
      <c r="D73" s="11"/>
      <c r="E73" s="11"/>
      <c r="F73" s="11"/>
      <c r="G73" s="11"/>
      <c r="H73" s="11"/>
      <c r="I73" s="11"/>
      <c r="J73" s="11"/>
      <c r="K73" s="11"/>
      <c r="L73" s="11"/>
      <c r="M73" s="11"/>
    </row>
    <row r="74" customFormat="false" ht="14.25" hidden="false" customHeight="true" outlineLevel="0" collapsed="false">
      <c r="C74" s="10" t="s">
        <v>2536</v>
      </c>
      <c r="D74" s="109" t="n">
        <f aca="false">D69/D72</f>
        <v>73.610214991098</v>
      </c>
      <c r="E74" s="11"/>
      <c r="F74" s="11"/>
      <c r="G74" s="11"/>
      <c r="H74" s="11"/>
      <c r="I74" s="11"/>
      <c r="J74" s="11"/>
      <c r="K74" s="11"/>
      <c r="L74" s="11"/>
      <c r="M74" s="11"/>
    </row>
    <row r="75" customFormat="false" ht="14.25" hidden="false" customHeight="true" outlineLevel="0" collapsed="false">
      <c r="C75" s="11" t="s">
        <v>2537</v>
      </c>
      <c r="D75" s="130" t="n">
        <f aca="false">D70/D72</f>
        <v>114.614683236849</v>
      </c>
      <c r="E75" s="11"/>
      <c r="F75" s="11"/>
      <c r="G75" s="11"/>
      <c r="H75" s="11"/>
      <c r="I75" s="11"/>
      <c r="J75" s="11"/>
      <c r="K75" s="11"/>
      <c r="L75" s="11"/>
      <c r="M75" s="11"/>
    </row>
    <row r="76" customFormat="false" ht="14.25" hidden="false" customHeight="true" outlineLevel="0" collapsed="false">
      <c r="C76" s="11"/>
      <c r="D76" s="11"/>
      <c r="E76" s="11"/>
      <c r="F76" s="11"/>
      <c r="G76" s="11"/>
      <c r="H76" s="11"/>
      <c r="I76" s="11"/>
      <c r="J76" s="11"/>
      <c r="K76" s="11"/>
      <c r="L76" s="11"/>
      <c r="M76" s="11"/>
    </row>
    <row r="77" customFormat="false" ht="14.25" hidden="false" customHeight="true" outlineLevel="0" collapsed="false">
      <c r="C77" s="11" t="s">
        <v>2538</v>
      </c>
      <c r="D77" s="11"/>
      <c r="E77" s="11"/>
      <c r="F77" s="11"/>
      <c r="G77" s="11"/>
      <c r="H77" s="11"/>
      <c r="I77" s="11"/>
      <c r="J77" s="11"/>
      <c r="K77" s="11"/>
      <c r="L77" s="11"/>
      <c r="M77" s="11"/>
    </row>
    <row r="78" customFormat="false" ht="14.25" hidden="false" customHeight="true" outlineLevel="0" collapsed="false">
      <c r="C78" s="11" t="s">
        <v>2539</v>
      </c>
      <c r="D78" s="34" t="n">
        <f aca="false">D65/D69</f>
        <v>0.59300191039416</v>
      </c>
      <c r="E78" s="11"/>
      <c r="F78" s="11"/>
      <c r="G78" s="11"/>
      <c r="H78" s="11"/>
      <c r="I78" s="11"/>
      <c r="J78" s="11"/>
      <c r="K78" s="11"/>
      <c r="L78" s="11"/>
      <c r="M78" s="11"/>
    </row>
    <row r="79" customFormat="false" ht="14.25" hidden="false" customHeight="true" outlineLevel="0" collapsed="false">
      <c r="C79" s="11" t="s">
        <v>2540</v>
      </c>
      <c r="D79" s="103" t="n">
        <f aca="false">D66/D70</f>
        <v>0.738609259906588</v>
      </c>
      <c r="E79" s="11"/>
      <c r="F79" s="11"/>
      <c r="G79" s="11"/>
      <c r="H79" s="11"/>
      <c r="I79" s="11"/>
      <c r="J79" s="11"/>
      <c r="K79" s="11"/>
      <c r="L79" s="11"/>
      <c r="M79" s="11"/>
    </row>
    <row r="80" customFormat="false" ht="14.25" hidden="false" customHeight="true" outlineLevel="0" collapsed="false">
      <c r="C80" s="11" t="s">
        <v>2541</v>
      </c>
      <c r="D80" s="42" t="str">
        <f aca="false">IF(D78&gt;Drivers!$C$442,"FLAG (&gt;75%)","OK")</f>
        <v>OK</v>
      </c>
      <c r="E80" s="42" t="str">
        <f aca="false">IF(D79&gt;Drivers!$C$442,"FLAG (&gt;75%)","OK")</f>
        <v>OK</v>
      </c>
      <c r="F80" s="11"/>
      <c r="G80" s="11"/>
      <c r="H80" s="11"/>
      <c r="I80" s="11"/>
      <c r="J80" s="11"/>
      <c r="K80" s="11"/>
      <c r="L80" s="11"/>
      <c r="M80" s="11"/>
    </row>
    <row r="81" customFormat="false" ht="14.25" hidden="false" customHeight="true" outlineLevel="0" collapsed="false">
      <c r="C81" s="11"/>
      <c r="D81" s="11"/>
      <c r="E81" s="11"/>
      <c r="F81" s="11"/>
      <c r="G81" s="11"/>
      <c r="H81" s="11"/>
      <c r="I81" s="11"/>
      <c r="J81" s="11"/>
      <c r="K81" s="11"/>
      <c r="L81" s="11"/>
      <c r="M81" s="11"/>
    </row>
    <row r="82" customFormat="false" ht="14.25" hidden="false" customHeight="true" outlineLevel="0" collapsed="false">
      <c r="A82" s="22" t="s">
        <v>11</v>
      </c>
      <c r="C82" s="71" t="s">
        <v>2542</v>
      </c>
      <c r="D82" s="54"/>
      <c r="E82" s="54"/>
      <c r="F82" s="54"/>
      <c r="G82" s="54"/>
      <c r="H82" s="54"/>
      <c r="I82" s="54"/>
      <c r="J82" s="54"/>
      <c r="K82" s="54"/>
      <c r="L82" s="54"/>
      <c r="M82" s="54"/>
    </row>
    <row r="83" customFormat="false" ht="14.25" hidden="false" customHeight="true" outlineLevel="0" collapsed="false">
      <c r="C83" s="11" t="s">
        <v>2543</v>
      </c>
      <c r="D83" s="11"/>
      <c r="E83" s="11"/>
      <c r="F83" s="11"/>
      <c r="G83" s="11"/>
      <c r="H83" s="11"/>
      <c r="I83" s="11"/>
      <c r="J83" s="11"/>
      <c r="K83" s="11"/>
      <c r="L83" s="11"/>
      <c r="M83" s="11"/>
    </row>
    <row r="84" customFormat="false" ht="14.25" hidden="false" customHeight="true" outlineLevel="0" collapsed="false">
      <c r="C84" s="11" t="s">
        <v>2544</v>
      </c>
      <c r="D84" s="41" t="n">
        <f aca="false">$D$46-Drivers!$C$446</f>
        <v>0.025</v>
      </c>
      <c r="E84" s="41" t="n">
        <f aca="false">$D$46-Drivers!$C$445</f>
        <v>0.0275</v>
      </c>
      <c r="F84" s="41" t="n">
        <f aca="false">$D$46-Drivers!$C$444</f>
        <v>0.03</v>
      </c>
      <c r="G84" s="41" t="n">
        <f aca="false">$D$46-Drivers!$C$443</f>
        <v>0.0325</v>
      </c>
      <c r="H84" s="34" t="n">
        <f aca="false">$D$46</f>
        <v>0.035</v>
      </c>
      <c r="I84" s="41" t="n">
        <f aca="false">$D$46+Drivers!$C$443</f>
        <v>0.0375</v>
      </c>
      <c r="J84" s="41" t="n">
        <f aca="false">$D$46+Drivers!$C$444</f>
        <v>0.04</v>
      </c>
      <c r="K84" s="41" t="n">
        <f aca="false">$D$46+Drivers!$C$445</f>
        <v>0.0425</v>
      </c>
      <c r="L84" s="41" t="n">
        <f aca="false">$D$46+Drivers!$C$446</f>
        <v>0.045</v>
      </c>
      <c r="M84" s="11"/>
    </row>
    <row r="85" customFormat="false" ht="14.25" hidden="false" customHeight="true" outlineLevel="0" collapsed="false">
      <c r="C85" s="152" t="n">
        <f aca="false">$D$42-Drivers!$C$450</f>
        <v>0.0802</v>
      </c>
      <c r="D85" s="32" t="n">
        <f aca="false">(D$30/(1+$C$85)^D$59+E$30/(1+$C$85)^E$59+F$30/(1+$C$85)^F$59+G$30/(1+$C$85)^G$59+H$30/(1+$C$85)^H$59+I$30/(1+$C$85)^I$59+J$30/(1+$C$85)^J$59+K$30/(1+$C$85)^K$59+L$30/(1+$C$85)^L$59+M$30/(1+$C$85)^M$59+(M$30*(1+D$84)/($C$85-D$84))/(1+$C$85)^M$59)/$D$72</f>
        <v>78.8006223734137</v>
      </c>
      <c r="E85" s="32" t="n">
        <f aca="false">(D$30/(1+$C$85)^D$59+E$30/(1+$C$85)^E$59+F$30/(1+$C$85)^F$59+G$30/(1+$C$85)^G$59+H$30/(1+$C$85)^H$59+I$30/(1+$C$85)^I$59+J$30/(1+$C$85)^J$59+K$30/(1+$C$85)^K$59+L$30/(1+$C$85)^L$59+M$30/(1+$C$85)^M$59+(M$30*(1+E$84)/($C$85-E$84))/(1+$C$85)^M$59)/$D$72</f>
        <v>81.1703991694635</v>
      </c>
      <c r="F85" s="32" t="n">
        <f aca="false">(D$30/(1+$C$85)^D$59+E$30/(1+$C$85)^E$59+F$30/(1+$C$85)^F$59+G$30/(1+$C$85)^G$59+H$30/(1+$C$85)^H$59+I$30/(1+$C$85)^I$59+J$30/(1+$C$85)^J$59+K$30/(1+$C$85)^K$59+L$30/(1+$C$85)^L$59+M$30/(1+$C$85)^M$59+(M$30*(1+F$84)/($C$85-F$84))/(1+$C$85)^M$59)/$D$72</f>
        <v>83.7762095109366</v>
      </c>
      <c r="G85" s="32" t="n">
        <f aca="false">(D$30/(1+$C$85)^D$59+E$30/(1+$C$85)^E$59+F$30/(1+$C$85)^F$59+G$30/(1+$C$85)^G$59+H$30/(1+$C$85)^H$59+I$30/(1+$C$85)^I$59+J$30/(1+$C$85)^J$59+K$30/(1+$C$85)^K$59+L$30/(1+$C$85)^L$59+M$30/(1+$C$85)^M$59+(M$30*(1+G$84)/($C$85-G$84))/(1+$C$85)^M$59)/$D$72</f>
        <v>86.6551655905096</v>
      </c>
      <c r="H85" s="32" t="n">
        <f aca="false">(D$30/(1+$C$85)^D$59+E$30/(1+$C$85)^E$59+F$30/(1+$C$85)^F$59+G$30/(1+$C$85)^G$59+H$30/(1+$C$85)^H$59+I$30/(1+$C$85)^I$59+J$30/(1+$C$85)^J$59+K$30/(1+$C$85)^K$59+L$30/(1+$C$85)^L$59+M$30/(1+$C$85)^M$59+(M$30*(1+H$84)/($C$85-H$84))/(1+$C$85)^M$59)/$D$72</f>
        <v>89.8525902629557</v>
      </c>
      <c r="I85" s="32" t="n">
        <f aca="false">(D$30/(1+$C$85)^D$59+E$30/(1+$C$85)^E$59+F$30/(1+$C$85)^F$59+G$30/(1+$C$85)^G$59+H$30/(1+$C$85)^H$59+I$30/(1+$C$85)^I$59+J$30/(1+$C$85)^J$59+K$30/(1+$C$85)^K$59+L$30/(1+$C$85)^L$59+M$30/(1+$C$85)^M$59+(M$30*(1+I$84)/($C$85-I$84))/(1+$C$85)^M$59)/$D$72</f>
        <v>93.4244206347514</v>
      </c>
      <c r="J85" s="32" t="n">
        <f aca="false">(D$30/(1+$C$85)^D$59+E$30/(1+$C$85)^E$59+F$30/(1+$C$85)^F$59+G$30/(1+$C$85)^G$59+H$30/(1+$C$85)^H$59+I$30/(1+$C$85)^I$59+J$30/(1+$C$85)^J$59+K$30/(1+$C$85)^K$59+L$30/(1+$C$85)^L$59+M$30/(1+$C$85)^M$59+(M$30*(1+J$84)/($C$85-J$84))/(1+$C$85)^M$59)/$D$72</f>
        <v>97.440508515477</v>
      </c>
      <c r="K85" s="32" t="n">
        <f aca="false">(D$30/(1+$C$85)^D$59+E$30/(1+$C$85)^E$59+F$30/(1+$C$85)^F$59+G$30/(1+$C$85)^G$59+H$30/(1+$C$85)^H$59+I$30/(1+$C$85)^I$59+J$30/(1+$C$85)^J$59+K$30/(1+$C$85)^K$59+L$30/(1+$C$85)^L$59+M$30/(1+$C$85)^M$59+(M$30*(1+K$84)/($C$85-K$84))/(1+$C$85)^M$59)/$D$72</f>
        <v>101.989234046166</v>
      </c>
      <c r="L85" s="32" t="n">
        <f aca="false">(D$30/(1+$C$85)^D$59+E$30/(1+$C$85)^E$59+F$30/(1+$C$85)^F$59+G$30/(1+$C$85)^G$59+H$30/(1+$C$85)^H$59+I$30/(1+$C$85)^I$59+J$30/(1+$C$85)^J$59+K$30/(1+$C$85)^K$59+L$30/(1+$C$85)^L$59+M$30/(1+$C$85)^M$59+(M$30*(1+L$84)/($C$85-L$84))/(1+$C$85)^M$59)/$D$72</f>
        <v>107.184085362465</v>
      </c>
      <c r="M85" s="11"/>
    </row>
    <row r="86" customFormat="false" ht="14.25" hidden="false" customHeight="true" outlineLevel="0" collapsed="false">
      <c r="C86" s="152" t="n">
        <f aca="false">$D$42-Drivers!$C$449</f>
        <v>0.0827</v>
      </c>
      <c r="D86" s="32" t="n">
        <f aca="false">(D$30/(1+$C$86)^D$59+E$30/(1+$C$86)^E$59+F$30/(1+$C$86)^F$59+G$30/(1+$C$86)^G$59+H$30/(1+$C$86)^H$59+I$30/(1+$C$86)^I$59+J$30/(1+$C$86)^J$59+K$30/(1+$C$86)^K$59+L$30/(1+$C$86)^L$59+M$30/(1+$C$86)^M$59+(M$30*(1+D$84)/($C$86-D$84))/(1+$C$86)^M$59)/$D$72</f>
        <v>75.3410825363572</v>
      </c>
      <c r="E86" s="32" t="n">
        <f aca="false">(D$30/(1+$C$86)^D$59+E$30/(1+$C$86)^E$59+F$30/(1+$C$86)^F$59+G$30/(1+$C$86)^G$59+H$30/(1+$C$86)^H$59+I$30/(1+$C$86)^I$59+J$30/(1+$C$86)^J$59+K$30/(1+$C$86)^K$59+L$30/(1+$C$86)^L$59+M$30/(1+$C$86)^M$59+(M$30*(1+E$84)/($C$86-E$84))/(1+$C$86)^M$59)/$D$72</f>
        <v>77.4609395593831</v>
      </c>
      <c r="F86" s="32" t="n">
        <f aca="false">(D$30/(1+$C$86)^D$59+E$30/(1+$C$86)^E$59+F$30/(1+$C$86)^F$59+G$30/(1+$C$86)^G$59+H$30/(1+$C$86)^H$59+I$30/(1+$C$86)^I$59+J$30/(1+$C$86)^J$59+K$30/(1+$C$86)^K$59+L$30/(1+$C$86)^L$59+M$30/(1+$C$86)^M$59+(M$30*(1+F$84)/($C$86-F$84))/(1+$C$86)^M$59)/$D$72</f>
        <v>79.7819215371553</v>
      </c>
      <c r="G86" s="32" t="n">
        <f aca="false">(D$30/(1+$C$86)^D$59+E$30/(1+$C$86)^E$59+F$30/(1+$C$86)^F$59+G$30/(1+$C$86)^G$59+H$30/(1+$C$86)^H$59+I$30/(1+$C$86)^I$59+J$30/(1+$C$86)^J$59+K$30/(1+$C$86)^K$59+L$30/(1+$C$86)^L$59+M$30/(1+$C$86)^M$59+(M$30*(1+G$84)/($C$86-G$84))/(1+$C$86)^M$59)/$D$72</f>
        <v>82.3340770186897</v>
      </c>
      <c r="H86" s="32" t="n">
        <f aca="false">(D$30/(1+$C$86)^D$59+E$30/(1+$C$86)^E$59+F$30/(1+$C$86)^F$59+G$30/(1+$C$86)^G$59+H$30/(1+$C$86)^H$59+I$30/(1+$C$86)^I$59+J$30/(1+$C$86)^J$59+K$30/(1+$C$86)^K$59+L$30/(1+$C$86)^L$59+M$30/(1+$C$86)^M$59+(M$30*(1+H$84)/($C$86-H$84))/(1+$C$86)^M$59)/$D$72</f>
        <v>85.1537540391689</v>
      </c>
      <c r="I86" s="32" t="n">
        <f aca="false">(D$30/(1+$C$86)^D$59+E$30/(1+$C$86)^E$59+F$30/(1+$C$86)^F$59+G$30/(1+$C$86)^G$59+H$30/(1+$C$86)^H$59+I$30/(1+$C$86)^I$59+J$30/(1+$C$86)^J$59+K$30/(1+$C$86)^K$59+L$30/(1+$C$86)^L$59+M$30/(1+$C$86)^M$59+(M$30*(1+I$84)/($C$86-I$84))/(1+$C$86)^M$59)/$D$72</f>
        <v>88.28534223448</v>
      </c>
      <c r="J86" s="32" t="n">
        <f aca="false">(D$30/(1+$C$86)^D$59+E$30/(1+$C$86)^E$59+F$30/(1+$C$86)^F$59+G$30/(1+$C$86)^G$59+H$30/(1+$C$86)^H$59+I$30/(1+$C$86)^I$59+J$30/(1+$C$86)^J$59+K$30/(1+$C$86)^K$59+L$30/(1+$C$86)^L$59+M$30/(1+$C$86)^M$59+(M$30*(1+J$84)/($C$86-J$84))/(1+$C$86)^M$59)/$D$72</f>
        <v>91.7836269397806</v>
      </c>
      <c r="K86" s="32" t="n">
        <f aca="false">(D$30/(1+$C$86)^D$59+E$30/(1+$C$86)^E$59+F$30/(1+$C$86)^F$59+G$30/(1+$C$86)^G$59+H$30/(1+$C$86)^H$59+I$30/(1+$C$86)^I$59+J$30/(1+$C$86)^J$59+K$30/(1+$C$86)^K$59+L$30/(1+$C$86)^L$59+M$30/(1+$C$86)^M$59+(M$30*(1+K$84)/($C$86-K$84))/(1+$C$86)^M$59)/$D$72</f>
        <v>95.7170216830539</v>
      </c>
      <c r="L86" s="32" t="n">
        <f aca="false">(D$30/(1+$C$86)^D$59+E$30/(1+$C$86)^E$59+F$30/(1+$C$86)^F$59+G$30/(1+$C$86)^G$59+H$30/(1+$C$86)^H$59+I$30/(1+$C$86)^I$59+J$30/(1+$C$86)^J$59+K$30/(1+$C$86)^K$59+L$30/(1+$C$86)^L$59+M$30/(1+$C$86)^M$59+(M$30*(1+L$84)/($C$86-L$84))/(1+$C$86)^M$59)/$D$72</f>
        <v>100.172086816682</v>
      </c>
      <c r="M86" s="11"/>
    </row>
    <row r="87" customFormat="false" ht="14.25" hidden="false" customHeight="true" outlineLevel="0" collapsed="false">
      <c r="C87" s="152" t="n">
        <f aca="false">$D$42-Drivers!$C$448</f>
        <v>0.0852</v>
      </c>
      <c r="D87" s="32" t="n">
        <f aca="false">(D$30/(1+$C$87)^D$59+E$30/(1+$C$87)^E$59+F$30/(1+$C$87)^F$59+G$30/(1+$C$87)^G$59+H$30/(1+$C$87)^H$59+I$30/(1+$C$87)^I$59+J$30/(1+$C$87)^J$59+K$30/(1+$C$87)^K$59+L$30/(1+$C$87)^L$59+M$30/(1+$C$87)^M$59+(M$30*(1+D$84)/($C$87-D$84))/(1+$C$87)^M$59)/$D$72</f>
        <v>72.1696023346654</v>
      </c>
      <c r="E87" s="32" t="n">
        <f aca="false">(D$30/(1+$C$87)^D$59+E$30/(1+$C$87)^E$59+F$30/(1+$C$87)^F$59+G$30/(1+$C$87)^G$59+H$30/(1+$C$87)^H$59+I$30/(1+$C$87)^I$59+J$30/(1+$C$87)^J$59+K$30/(1+$C$87)^K$59+L$30/(1+$C$87)^L$59+M$30/(1+$C$87)^M$59+(M$30*(1+E$84)/($C$87-E$84))/(1+$C$87)^M$59)/$D$72</f>
        <v>74.0734593207502</v>
      </c>
      <c r="F87" s="32" t="n">
        <f aca="false">(D$30/(1+$C$87)^D$59+E$30/(1+$C$87)^E$59+F$30/(1+$C$87)^F$59+G$30/(1+$C$87)^G$59+H$30/(1+$C$87)^H$59+I$30/(1+$C$87)^I$59+J$30/(1+$C$87)^J$59+K$30/(1+$C$87)^K$59+L$30/(1+$C$87)^L$59+M$30/(1+$C$87)^M$59+(M$30*(1+F$84)/($C$87-F$84))/(1+$C$87)^M$59)/$D$72</f>
        <v>76.1497671207919</v>
      </c>
      <c r="G87" s="32" t="n">
        <f aca="false">(D$30/(1+$C$87)^D$59+E$30/(1+$C$87)^E$59+F$30/(1+$C$87)^F$59+G$30/(1+$C$87)^G$59+H$30/(1+$C$87)^H$59+I$30/(1+$C$87)^I$59+J$30/(1+$C$87)^J$59+K$30/(1+$C$87)^K$59+L$30/(1+$C$87)^L$59+M$30/(1+$C$87)^M$59+(M$30*(1+G$84)/($C$87-G$84))/(1+$C$87)^M$59)/$D$72</f>
        <v>78.4230680707426</v>
      </c>
      <c r="H87" s="32" t="n">
        <f aca="false">(D$30/(1+$C$87)^D$59+E$30/(1+$C$87)^E$59+F$30/(1+$C$87)^F$59+G$30/(1+$C$87)^G$59+H$30/(1+$C$87)^H$59+I$30/(1+$C$87)^I$59+J$30/(1+$C$87)^J$59+K$30/(1+$C$87)^K$59+L$30/(1+$C$87)^L$59+M$30/(1+$C$87)^M$59+(M$30*(1+H$84)/($C$87-H$84))/(1+$C$87)^M$59)/$D$72</f>
        <v>80.9227934180989</v>
      </c>
      <c r="I87" s="32" t="n">
        <f aca="false">(D$30/(1+$C$87)^D$59+E$30/(1+$C$87)^E$59+F$30/(1+$C$87)^F$59+G$30/(1+$C$87)^G$59+H$30/(1+$C$87)^H$59+I$30/(1+$C$87)^I$59+J$30/(1+$C$87)^J$59+K$30/(1+$C$87)^K$59+L$30/(1+$C$87)^L$59+M$30/(1+$C$87)^M$59+(M$30*(1+I$84)/($C$87-I$84))/(1+$C$87)^M$59)/$D$72</f>
        <v>83.6845444832073</v>
      </c>
      <c r="J87" s="32" t="n">
        <f aca="false">(D$30/(1+$C$87)^D$59+E$30/(1+$C$87)^E$59+F$30/(1+$C$87)^F$59+G$30/(1+$C$87)^G$59+H$30/(1+$C$87)^H$59+I$30/(1+$C$87)^I$59+J$30/(1+$C$87)^J$59+K$30/(1+$C$87)^K$59+L$30/(1+$C$87)^L$59+M$30/(1+$C$87)^M$59+(M$30*(1+J$84)/($C$87-J$84))/(1+$C$87)^M$59)/$D$72</f>
        <v>86.7517989847216</v>
      </c>
      <c r="K87" s="32" t="n">
        <f aca="false">(D$30/(1+$C$87)^D$59+E$30/(1+$C$87)^E$59+F$30/(1+$C$87)^F$59+G$30/(1+$C$87)^G$59+H$30/(1+$C$87)^H$59+I$30/(1+$C$87)^I$59+J$30/(1+$C$87)^J$59+K$30/(1+$C$87)^K$59+L$30/(1+$C$87)^L$59+M$30/(1+$C$87)^M$59+(M$30*(1+K$84)/($C$87-K$84))/(1+$C$87)^M$59)/$D$72</f>
        <v>90.1782167768113</v>
      </c>
      <c r="L87" s="32" t="n">
        <f aca="false">(D$30/(1+$C$87)^D$59+E$30/(1+$C$87)^E$59+F$30/(1+$C$87)^F$59+G$30/(1+$C$87)^G$59+H$30/(1+$C$87)^H$59+I$30/(1+$C$87)^I$59+J$30/(1+$C$87)^J$59+K$30/(1+$C$87)^K$59+L$30/(1+$C$87)^L$59+M$30/(1+$C$87)^M$59+(M$30*(1+L$84)/($C$87-L$84))/(1+$C$87)^M$59)/$D$72</f>
        <v>94.0308059360763</v>
      </c>
      <c r="M87" s="11"/>
    </row>
    <row r="88" customFormat="false" ht="14.25" hidden="false" customHeight="true" outlineLevel="0" collapsed="false">
      <c r="C88" s="152" t="n">
        <f aca="false">$D$42-Drivers!$C$447</f>
        <v>0.0877</v>
      </c>
      <c r="D88" s="32" t="n">
        <f aca="false">(D$30/(1+$C$88)^D$59+E$30/(1+$C$88)^E$59+F$30/(1+$C$88)^F$59+G$30/(1+$C$88)^G$59+H$30/(1+$C$88)^H$59+I$30/(1+$C$88)^I$59+J$30/(1+$C$88)^J$59+K$30/(1+$C$88)^K$59+L$30/(1+$C$88)^L$59+M$30/(1+$C$88)^M$59+(M$30*(1+D$84)/($C$88-D$84))/(1+$C$88)^M$59)/$D$72</f>
        <v>69.251707911559</v>
      </c>
      <c r="E88" s="32" t="n">
        <f aca="false">(D$30/(1+$C$88)^D$59+E$30/(1+$C$88)^E$59+F$30/(1+$C$88)^F$59+G$30/(1+$C$88)^G$59+H$30/(1+$C$88)^H$59+I$30/(1+$C$88)^I$59+J$30/(1+$C$88)^J$59+K$30/(1+$C$88)^K$59+L$30/(1+$C$88)^L$59+M$30/(1+$C$88)^M$59+(M$30*(1+E$84)/($C$88-E$84))/(1+$C$88)^M$59)/$D$72</f>
        <v>70.9678312726637</v>
      </c>
      <c r="F88" s="32" t="n">
        <f aca="false">(D$30/(1+$C$88)^D$59+E$30/(1+$C$88)^E$59+F$30/(1+$C$88)^F$59+G$30/(1+$C$88)^G$59+H$30/(1+$C$88)^H$59+I$30/(1+$C$88)^I$59+J$30/(1+$C$88)^J$59+K$30/(1+$C$88)^K$59+L$30/(1+$C$88)^L$59+M$30/(1+$C$88)^M$59+(M$30*(1+F$84)/($C$88-F$84))/(1+$C$88)^M$59)/$D$72</f>
        <v>72.8326654969491</v>
      </c>
      <c r="G88" s="32" t="n">
        <f aca="false">(D$30/(1+$C$88)^D$59+E$30/(1+$C$88)^E$59+F$30/(1+$C$88)^F$59+G$30/(1+$C$88)^G$59+H$30/(1+$C$88)^H$59+I$30/(1+$C$88)^I$59+J$30/(1+$C$88)^J$59+K$30/(1+$C$88)^K$59+L$30/(1+$C$88)^L$59+M$30/(1+$C$88)^M$59+(M$30*(1+G$84)/($C$88-G$84))/(1+$C$88)^M$59)/$D$72</f>
        <v>74.8664158647387</v>
      </c>
      <c r="H88" s="32" t="n">
        <f aca="false">(D$30/(1+$C$88)^D$59+E$30/(1+$C$88)^E$59+F$30/(1+$C$88)^F$59+G$30/(1+$C$88)^G$59+H$30/(1+$C$88)^H$59+I$30/(1+$C$88)^I$59+J$30/(1+$C$88)^J$59+K$30/(1+$C$88)^K$59+L$30/(1+$C$88)^L$59+M$30/(1+$C$88)^M$59+(M$30*(1+H$84)/($C$88-H$84))/(1+$C$88)^M$59)/$D$72</f>
        <v>77.0931216753924</v>
      </c>
      <c r="I88" s="32" t="n">
        <f aca="false">(D$30/(1+$C$88)^D$59+E$30/(1+$C$88)^E$59+F$30/(1+$C$88)^F$59+G$30/(1+$C$88)^G$59+H$30/(1+$C$88)^H$59+I$30/(1+$C$88)^I$59+J$30/(1+$C$88)^J$59+K$30/(1+$C$88)^K$59+L$30/(1+$C$88)^L$59+M$30/(1+$C$88)^M$59+(M$30*(1+I$84)/($C$88-I$84))/(1+$C$88)^M$59)/$D$72</f>
        <v>79.5416109333225</v>
      </c>
      <c r="J88" s="32" t="n">
        <f aca="false">(D$30/(1+$C$88)^D$59+E$30/(1+$C$88)^E$59+F$30/(1+$C$88)^F$59+G$30/(1+$C$88)^G$59+H$30/(1+$C$88)^H$59+I$30/(1+$C$88)^I$59+J$30/(1+$C$88)^J$59+K$30/(1+$C$88)^K$59+L$30/(1+$C$88)^L$59+M$30/(1+$C$88)^M$59+(M$30*(1+J$84)/($C$88-J$84))/(1+$C$88)^M$59)/$D$72</f>
        <v>82.2467552497358</v>
      </c>
      <c r="K88" s="32" t="n">
        <f aca="false">(D$30/(1+$C$88)^D$59+E$30/(1+$C$88)^E$59+F$30/(1+$C$88)^F$59+G$30/(1+$C$88)^G$59+H$30/(1+$C$88)^H$59+I$30/(1+$C$88)^I$59+J$30/(1+$C$88)^J$59+K$30/(1+$C$88)^K$59+L$30/(1+$C$88)^L$59+M$30/(1+$C$88)^M$59+(M$30*(1+K$84)/($C$88-K$84))/(1+$C$88)^M$59)/$D$72</f>
        <v>85.251141194071</v>
      </c>
      <c r="L88" s="32" t="n">
        <f aca="false">(D$30/(1+$C$88)^D$59+E$30/(1+$C$88)^E$59+F$30/(1+$C$88)^F$59+G$30/(1+$C$88)^G$59+H$30/(1+$C$88)^H$59+I$30/(1+$C$88)^I$59+J$30/(1+$C$88)^J$59+K$30/(1+$C$88)^K$59+L$30/(1+$C$88)^L$59+M$30/(1+$C$88)^M$59+(M$30*(1+L$84)/($C$88-L$84))/(1+$C$88)^M$59)/$D$72</f>
        <v>88.6073287712322</v>
      </c>
      <c r="M88" s="11"/>
    </row>
    <row r="89" customFormat="false" ht="14.25" hidden="false" customHeight="true" outlineLevel="0" collapsed="false">
      <c r="C89" s="34" t="n">
        <f aca="false">$D$42</f>
        <v>0.0902</v>
      </c>
      <c r="D89" s="32" t="n">
        <f aca="false">(D$30/(1+$C$89)^D$59+E$30/(1+$C$89)^E$59+F$30/(1+$C$89)^F$59+G$30/(1+$C$89)^G$59+H$30/(1+$C$89)^H$59+I$30/(1+$C$89)^I$59+J$30/(1+$C$89)^J$59+K$30/(1+$C$89)^K$59+L$30/(1+$C$89)^L$59+M$30/(1+$C$89)^M$59+(M$30*(1+D$84)/($C$89-D$84))/(1+$C$89)^M$59)/$D$72</f>
        <v>66.5582132507597</v>
      </c>
      <c r="E89" s="32" t="n">
        <f aca="false">(D$30/(1+$C$89)^D$59+E$30/(1+$C$89)^E$59+F$30/(1+$C$89)^F$59+G$30/(1+$C$89)^G$59+H$30/(1+$C$89)^H$59+I$30/(1+$C$89)^I$59+J$30/(1+$C$89)^J$59+K$30/(1+$C$89)^K$59+L$30/(1+$C$89)^L$59+M$30/(1+$C$89)^M$59+(M$30*(1+E$84)/($C$89-E$84))/(1+$C$89)^M$59)/$D$72</f>
        <v>68.1103284663365</v>
      </c>
      <c r="F89" s="32" t="n">
        <f aca="false">(D$30/(1+$C$89)^D$59+E$30/(1+$C$89)^E$59+F$30/(1+$C$89)^F$59+G$30/(1+$C$89)^G$59+H$30/(1+$C$89)^H$59+I$30/(1+$C$89)^I$59+J$30/(1+$C$89)^J$59+K$30/(1+$C$89)^K$59+L$30/(1+$C$89)^L$59+M$30/(1+$C$89)^M$59+(M$30*(1+F$84)/($C$89-F$84))/(1+$C$89)^M$59)/$D$72</f>
        <v>69.7913569057985</v>
      </c>
      <c r="G89" s="32" t="n">
        <f aca="false">(D$30/(1+$C$89)^D$59+E$30/(1+$C$89)^E$59+F$30/(1+$C$89)^F$59+G$30/(1+$C$89)^G$59+H$30/(1+$C$89)^H$59+I$30/(1+$C$89)^I$59+J$30/(1+$C$89)^J$59+K$30/(1+$C$89)^K$59+L$30/(1+$C$89)^L$59+M$30/(1+$C$89)^M$59+(M$30*(1+G$84)/($C$89-G$84))/(1+$C$89)^M$59)/$D$72</f>
        <v>71.6180550540527</v>
      </c>
      <c r="H89" s="32" t="n">
        <f aca="false">(D$30/(1+$C$89)^D$59+E$30/(1+$C$89)^E$59+F$30/(1+$C$89)^F$59+G$30/(1+$C$89)^G$59+H$30/(1+$C$89)^H$59+I$30/(1+$C$89)^I$59+J$30/(1+$C$89)^J$59+K$30/(1+$C$89)^K$59+L$30/(1+$C$89)^L$59+M$30/(1+$C$89)^M$59+(M$30*(1+H$84)/($C$89-H$84))/(1+$C$89)^M$59)/$D$72</f>
        <v>73.610214991098</v>
      </c>
      <c r="I89" s="32" t="n">
        <f aca="false">(D$30/(1+$C$89)^D$59+E$30/(1+$C$89)^E$59+F$30/(1+$C$89)^F$59+G$30/(1+$C$89)^G$59+H$30/(1+$C$89)^H$59+I$30/(1+$C$89)^I$59+J$30/(1+$C$89)^J$59+K$30/(1+$C$89)^K$59+L$30/(1+$C$89)^L$59+M$30/(1+$C$89)^M$59+(M$30*(1+I$84)/($C$89-I$84))/(1+$C$89)^M$59)/$D$72</f>
        <v>75.7913844098364</v>
      </c>
      <c r="J89" s="32" t="n">
        <f aca="false">(D$30/(1+$C$89)^D$59+E$30/(1+$C$89)^E$59+F$30/(1+$C$89)^F$59+G$30/(1+$C$89)^G$59+H$30/(1+$C$89)^H$59+I$30/(1+$C$89)^I$59+J$30/(1+$C$89)^J$59+K$30/(1+$C$89)^K$59+L$30/(1+$C$89)^L$59+M$30/(1+$C$89)^M$59+(M$30*(1+J$84)/($C$89-J$84))/(1+$C$89)^M$59)/$D$72</f>
        <v>78.1898017786484</v>
      </c>
      <c r="K89" s="32" t="n">
        <f aca="false">(D$30/(1+$C$89)^D$59+E$30/(1+$C$89)^E$59+F$30/(1+$C$89)^F$59+G$30/(1+$C$89)^G$59+H$30/(1+$C$89)^H$59+I$30/(1+$C$89)^I$59+J$30/(1+$C$89)^J$59+K$30/(1+$C$89)^K$59+L$30/(1+$C$89)^L$59+M$30/(1+$C$89)^M$59+(M$30*(1+K$84)/($C$89-K$84))/(1+$C$89)^M$59)/$D$72</f>
        <v>80.8396255802498</v>
      </c>
      <c r="L89" s="32" t="n">
        <f aca="false">(D$30/(1+$C$89)^D$59+E$30/(1+$C$89)^E$59+F$30/(1+$C$89)^F$59+G$30/(1+$C$89)^G$59+H$30/(1+$C$89)^H$59+I$30/(1+$C$89)^I$59+J$30/(1+$C$89)^J$59+K$30/(1+$C$89)^K$59+L$30/(1+$C$89)^L$59+M$30/(1+$C$89)^M$59+(M$30*(1+L$84)/($C$89-L$84))/(1+$C$89)^M$59)/$D$72</f>
        <v>83.7825714837984</v>
      </c>
      <c r="M89" s="11"/>
    </row>
    <row r="90" customFormat="false" ht="14.25" hidden="false" customHeight="true" outlineLevel="0" collapsed="false">
      <c r="C90" s="152" t="n">
        <f aca="false">$D$42+Drivers!$C$447</f>
        <v>0.0927</v>
      </c>
      <c r="D90" s="32" t="n">
        <f aca="false">(D$30/(1+$C$90)^D$59+E$30/(1+$C$90)^E$59+F$30/(1+$C$90)^F$59+G$30/(1+$C$90)^G$59+H$30/(1+$C$90)^H$59+I$30/(1+$C$90)^I$59+J$30/(1+$C$90)^J$59+K$30/(1+$C$90)^K$59+L$30/(1+$C$90)^L$59+M$30/(1+$C$90)^M$59+(M$30*(1+D$84)/($C$90-D$84))/(1+$C$90)^M$59)/$D$72</f>
        <v>64.064243827405</v>
      </c>
      <c r="E90" s="32" t="n">
        <f aca="false">(D$30/(1+$C$90)^D$59+E$30/(1+$C$90)^E$59+F$30/(1+$C$90)^F$59+G$30/(1+$C$90)^G$59+H$30/(1+$C$90)^H$59+I$30/(1+$C$90)^I$59+J$30/(1+$C$90)^J$59+K$30/(1+$C$90)^K$59+L$30/(1+$C$90)^L$59+M$30/(1+$C$90)^M$59+(M$30*(1+E$84)/($C$90-E$84))/(1+$C$90)^M$59)/$D$72</f>
        <v>65.4723971364148</v>
      </c>
      <c r="F90" s="32" t="n">
        <f aca="false">(D$30/(1+$C$90)^D$59+E$30/(1+$C$90)^E$59+F$30/(1+$C$90)^F$59+G$30/(1+$C$90)^G$59+H$30/(1+$C$90)^H$59+I$30/(1+$C$90)^I$59+J$30/(1+$C$90)^J$59+K$30/(1+$C$90)^K$59+L$30/(1+$C$90)^L$59+M$30/(1+$C$90)^M$59+(M$30*(1+F$84)/($C$90-F$84))/(1+$C$90)^M$59)/$D$72</f>
        <v>66.9928433727779</v>
      </c>
      <c r="G90" s="32" t="n">
        <f aca="false">(D$30/(1+$C$90)^D$59+E$30/(1+$C$90)^E$59+F$30/(1+$C$90)^F$59+G$30/(1+$C$90)^G$59+H$30/(1+$C$90)^H$59+I$30/(1+$C$90)^I$59+J$30/(1+$C$90)^J$59+K$30/(1+$C$90)^K$59+L$30/(1+$C$90)^L$59+M$30/(1+$C$90)^M$59+(M$30*(1+G$84)/($C$90-G$84))/(1+$C$90)^M$59)/$D$72</f>
        <v>68.6395725191379</v>
      </c>
      <c r="H90" s="32" t="n">
        <f aca="false">(D$30/(1+$C$90)^D$59+E$30/(1+$C$90)^E$59+F$30/(1+$C$90)^F$59+G$30/(1+$C$90)^G$59+H$30/(1+$C$90)^H$59+I$30/(1+$C$90)^I$59+J$30/(1+$C$90)^J$59+K$30/(1+$C$90)^K$59+L$30/(1+$C$90)^L$59+M$30/(1+$C$90)^M$59+(M$30*(1+H$84)/($C$90-H$84))/(1+$C$90)^M$59)/$D$72</f>
        <v>70.4289991651826</v>
      </c>
      <c r="I90" s="32" t="n">
        <f aca="false">(D$30/(1+$C$90)^D$59+E$30/(1+$C$90)^E$59+F$30/(1+$C$90)^F$59+G$30/(1+$C$90)^G$59+H$30/(1+$C$90)^H$59+I$30/(1+$C$90)^I$59+J$30/(1+$C$90)^J$59+K$30/(1+$C$90)^K$59+L$30/(1+$C$90)^L$59+M$30/(1+$C$90)^M$59+(M$30*(1+I$84)/($C$90-I$84))/(1+$C$90)^M$59)/$D$72</f>
        <v>72.3805115581515</v>
      </c>
      <c r="J90" s="32" t="n">
        <f aca="false">(D$30/(1+$C$90)^D$59+E$30/(1+$C$90)^E$59+F$30/(1+$C$90)^F$59+G$30/(1+$C$90)^G$59+H$30/(1+$C$90)^H$59+I$30/(1+$C$90)^I$59+J$30/(1+$C$90)^J$59+K$30/(1+$C$90)^K$59+L$30/(1+$C$90)^L$59+M$30/(1+$C$90)^M$59+(M$30*(1+J$84)/($C$90-J$84))/(1+$C$90)^M$59)/$D$72</f>
        <v>74.5171769295805</v>
      </c>
      <c r="K90" s="32" t="n">
        <f aca="false">(D$30/(1+$C$90)^D$59+E$30/(1+$C$90)^E$59+F$30/(1+$C$90)^F$59+G$30/(1+$C$90)^G$59+H$30/(1+$C$90)^H$59+I$30/(1+$C$90)^I$59+J$30/(1+$C$90)^J$59+K$30/(1+$C$90)^K$59+L$30/(1+$C$90)^L$59+M$30/(1+$C$90)^M$59+(M$30*(1+K$84)/($C$90-K$84))/(1+$C$90)^M$59)/$D$72</f>
        <v>76.8666575770482</v>
      </c>
      <c r="L90" s="32" t="n">
        <f aca="false">(D$30/(1+$C$90)^D$59+E$30/(1+$C$90)^E$59+F$30/(1+$C$90)^F$59+G$30/(1+$C$90)^G$59+H$30/(1+$C$90)^H$59+I$30/(1+$C$90)^I$59+J$30/(1+$C$90)^J$59+K$30/(1+$C$90)^K$59+L$30/(1+$C$90)^L$59+M$30/(1+$C$90)^M$59+(M$30*(1+L$84)/($C$90-L$84))/(1+$C$90)^M$59)/$D$72</f>
        <v>79.4624150219444</v>
      </c>
      <c r="M90" s="11"/>
    </row>
    <row r="91" customFormat="false" ht="14.25" hidden="false" customHeight="true" outlineLevel="0" collapsed="false">
      <c r="C91" s="152" t="n">
        <f aca="false">$D$42+Drivers!$C$448</f>
        <v>0.0952</v>
      </c>
      <c r="D91" s="32" t="n">
        <f aca="false">(D$30/(1+$C$91)^D$59+E$30/(1+$C$91)^E$59+F$30/(1+$C$91)^F$59+G$30/(1+$C$91)^G$59+H$30/(1+$C$91)^H$59+I$30/(1+$C$91)^I$59+J$30/(1+$C$91)^J$59+K$30/(1+$C$91)^K$59+L$30/(1+$C$91)^L$59+M$30/(1+$C$91)^M$59+(M$30*(1+D$84)/($C$91-D$84))/(1+$C$91)^M$59)/$D$72</f>
        <v>61.7484688809254</v>
      </c>
      <c r="E91" s="32" t="n">
        <f aca="false">(D$30/(1+$C$91)^D$59+E$30/(1+$C$91)^E$59+F$30/(1+$C$91)^F$59+G$30/(1+$C$91)^G$59+H$30/(1+$C$91)^H$59+I$30/(1+$C$91)^I$59+J$30/(1+$C$91)^J$59+K$30/(1+$C$91)^K$59+L$30/(1+$C$91)^L$59+M$30/(1+$C$91)^M$59+(M$30*(1+E$84)/($C$91-E$84))/(1+$C$91)^M$59)/$D$72</f>
        <v>63.0297015245472</v>
      </c>
      <c r="F91" s="32" t="n">
        <f aca="false">(D$30/(1+$C$91)^D$59+E$30/(1+$C$91)^E$59+F$30/(1+$C$91)^F$59+G$30/(1+$C$91)^G$59+H$30/(1+$C$91)^H$59+I$30/(1+$C$91)^I$59+J$30/(1+$C$91)^J$59+K$30/(1+$C$91)^K$59+L$30/(1+$C$91)^L$59+M$30/(1+$C$91)^M$59+(M$30*(1+F$84)/($C$91-F$84))/(1+$C$91)^M$59)/$D$72</f>
        <v>64.4091882052566</v>
      </c>
      <c r="G91" s="32" t="n">
        <f aca="false">(D$30/(1+$C$91)^D$59+E$30/(1+$C$91)^E$59+F$30/(1+$C$91)^F$59+G$30/(1+$C$91)^G$59+H$30/(1+$C$91)^H$59+I$30/(1+$C$91)^I$59+J$30/(1+$C$91)^J$59+K$30/(1+$C$91)^K$59+L$30/(1+$C$91)^L$59+M$30/(1+$C$91)^M$59+(M$30*(1+G$84)/($C$91-G$84))/(1+$C$91)^M$59)/$D$72</f>
        <v>65.8986817983032</v>
      </c>
      <c r="H91" s="32" t="n">
        <f aca="false">(D$30/(1+$C$91)^D$59+E$30/(1+$C$91)^E$59+F$30/(1+$C$91)^F$59+G$30/(1+$C$91)^G$59+H$30/(1+$C$91)^H$59+I$30/(1+$C$91)^I$59+J$30/(1+$C$91)^J$59+K$30/(1+$C$91)^K$59+L$30/(1+$C$91)^L$59+M$30/(1+$C$91)^M$59+(M$30*(1+H$84)/($C$91-H$84))/(1+$C$91)^M$59)/$D$72</f>
        <v>67.5118874837956</v>
      </c>
      <c r="I91" s="32" t="n">
        <f aca="false">(D$30/(1+$C$91)^D$59+E$30/(1+$C$91)^E$59+F$30/(1+$C$91)^F$59+G$30/(1+$C$91)^G$59+H$30/(1+$C$91)^H$59+I$30/(1+$C$91)^I$59+J$30/(1+$C$91)^J$59+K$30/(1+$C$91)^K$59+L$30/(1+$C$91)^L$59+M$30/(1+$C$91)^M$59+(M$30*(1+I$84)/($C$91-I$84))/(1+$C$91)^M$59)/$D$72</f>
        <v>69.2648856896947</v>
      </c>
      <c r="J91" s="32" t="n">
        <f aca="false">(D$30/(1+$C$91)^D$59+E$30/(1+$C$91)^E$59+F$30/(1+$C$91)^F$59+G$30/(1+$C$91)^G$59+H$30/(1+$C$91)^H$59+I$30/(1+$C$91)^I$59+J$30/(1+$C$91)^J$59+K$30/(1+$C$91)^K$59+L$30/(1+$C$91)^L$59+M$30/(1+$C$91)^M$59+(M$30*(1+J$84)/($C$91-J$84))/(1+$C$91)^M$59)/$D$72</f>
        <v>71.1766699649686</v>
      </c>
      <c r="K91" s="32" t="n">
        <f aca="false">(D$30/(1+$C$91)^D$59+E$30/(1+$C$91)^E$59+F$30/(1+$C$91)^F$59+G$30/(1+$C$91)^G$59+H$30/(1+$C$91)^H$59+I$30/(1+$C$91)^I$59+J$30/(1+$C$91)^J$59+K$30/(1+$C$91)^K$59+L$30/(1+$C$91)^L$59+M$30/(1+$C$91)^M$59+(M$30*(1+K$84)/($C$91-K$84))/(1+$C$91)^M$59)/$D$72</f>
        <v>73.269837947574</v>
      </c>
      <c r="L91" s="32" t="n">
        <f aca="false">(D$30/(1+$C$91)^D$59+E$30/(1+$C$91)^E$59+F$30/(1+$C$91)^F$59+G$30/(1+$C$91)^G$59+H$30/(1+$C$91)^H$59+I$30/(1+$C$91)^I$59+J$30/(1+$C$91)^J$59+K$30/(1+$C$91)^K$59+L$30/(1+$C$91)^L$59+M$30/(1+$C$91)^M$59+(M$30*(1+L$84)/($C$91-L$84))/(1+$C$91)^M$59)/$D$72</f>
        <v>75.5714887969728</v>
      </c>
      <c r="M91" s="11"/>
    </row>
    <row r="92" customFormat="false" ht="14.25" hidden="false" customHeight="true" outlineLevel="0" collapsed="false">
      <c r="C92" s="152" t="n">
        <f aca="false">$D$42+Drivers!$C$449</f>
        <v>0.0977</v>
      </c>
      <c r="D92" s="32" t="n">
        <f aca="false">(D$30/(1+$C$92)^D$59+E$30/(1+$C$92)^E$59+F$30/(1+$C$92)^F$59+G$30/(1+$C$92)^G$59+H$30/(1+$C$92)^H$59+I$30/(1+$C$92)^I$59+J$30/(1+$C$92)^J$59+K$30/(1+$C$92)^K$59+L$30/(1+$C$92)^L$59+M$30/(1+$C$92)^M$59+(M$30*(1+D$84)/($C$92-D$84))/(1+$C$92)^M$59)/$D$72</f>
        <v>59.5924920913827</v>
      </c>
      <c r="E92" s="32" t="n">
        <f aca="false">(D$30/(1+$C$92)^D$59+E$30/(1+$C$92)^E$59+F$30/(1+$C$92)^F$59+G$30/(1+$C$92)^G$59+H$30/(1+$C$92)^H$59+I$30/(1+$C$92)^I$59+J$30/(1+$C$92)^J$59+K$30/(1+$C$92)^K$59+L$30/(1+$C$92)^L$59+M$30/(1+$C$92)^M$59+(M$30*(1+E$84)/($C$92-E$84))/(1+$C$92)^M$59)/$D$72</f>
        <v>60.7613728007728</v>
      </c>
      <c r="F92" s="32" t="n">
        <f aca="false">(D$30/(1+$C$92)^D$59+E$30/(1+$C$92)^E$59+F$30/(1+$C$92)^F$59+G$30/(1+$C$92)^G$59+H$30/(1+$C$92)^H$59+I$30/(1+$C$92)^I$59+J$30/(1+$C$92)^J$59+K$30/(1+$C$92)^K$59+L$30/(1+$C$92)^L$59+M$30/(1+$C$92)^M$59+(M$30*(1+F$84)/($C$92-F$84))/(1+$C$92)^M$59)/$D$72</f>
        <v>62.0165814798372</v>
      </c>
      <c r="G92" s="32" t="n">
        <f aca="false">(D$30/(1+$C$92)^D$59+E$30/(1+$C$92)^E$59+F$30/(1+$C$92)^F$59+G$30/(1+$C$92)^G$59+H$30/(1+$C$92)^H$59+I$30/(1+$C$92)^I$59+J$30/(1+$C$92)^J$59+K$30/(1+$C$92)^K$59+L$30/(1+$C$92)^L$59+M$30/(1+$C$92)^M$59+(M$30*(1+G$84)/($C$92-G$84))/(1+$C$92)^M$59)/$D$72</f>
        <v>63.3680484931857</v>
      </c>
      <c r="H92" s="32" t="n">
        <f aca="false">(D$30/(1+$C$92)^D$59+E$30/(1+$C$92)^E$59+F$30/(1+$C$92)^F$59+G$30/(1+$C$92)^G$59+H$30/(1+$C$92)^H$59+I$30/(1+$C$92)^I$59+J$30/(1+$C$92)^J$59+K$30/(1+$C$92)^K$59+L$30/(1+$C$92)^L$59+M$30/(1+$C$92)^M$59+(M$30*(1+H$84)/($C$92-H$84))/(1+$C$92)^M$59)/$D$72</f>
        <v>64.8272879956369</v>
      </c>
      <c r="I92" s="32" t="n">
        <f aca="false">(D$30/(1+$C$92)^D$59+E$30/(1+$C$92)^E$59+F$30/(1+$C$92)^F$59+G$30/(1+$C$92)^G$59+H$30/(1+$C$92)^H$59+I$30/(1+$C$92)^I$59+J$30/(1+$C$92)^J$59+K$30/(1+$C$92)^K$59+L$30/(1+$C$92)^L$59+M$30/(1+$C$92)^M$59+(M$30*(1+I$84)/($C$92-I$84))/(1+$C$92)^M$59)/$D$72</f>
        <v>66.4077267923117</v>
      </c>
      <c r="J92" s="32" t="n">
        <f aca="false">(D$30/(1+$C$92)^D$59+E$30/(1+$C$92)^E$59+F$30/(1+$C$92)^F$59+G$30/(1+$C$92)^G$59+H$30/(1+$C$92)^H$59+I$30/(1+$C$92)^I$59+J$30/(1+$C$92)^J$59+K$30/(1+$C$92)^K$59+L$30/(1+$C$92)^L$59+M$30/(1+$C$92)^M$59+(M$30*(1+J$84)/($C$92-J$84))/(1+$C$92)^M$59)/$D$72</f>
        <v>68.1251186909513</v>
      </c>
      <c r="K92" s="32" t="n">
        <f aca="false">(D$30/(1+$C$92)^D$59+E$30/(1+$C$92)^E$59+F$30/(1+$C$92)^F$59+G$30/(1+$C$92)^G$59+H$30/(1+$C$92)^H$59+I$30/(1+$C$92)^I$59+J$30/(1+$C$92)^J$59+K$30/(1+$C$92)^K$59+L$30/(1+$C$92)^L$59+M$30/(1+$C$92)^M$59+(M$30*(1+K$84)/($C$92-K$84))/(1+$C$92)^M$59)/$D$72</f>
        <v>69.998071449975</v>
      </c>
      <c r="L92" s="32" t="n">
        <f aca="false">(D$30/(1+$C$92)^D$59+E$30/(1+$C$92)^E$59+F$30/(1+$C$92)^F$59+G$30/(1+$C$92)^G$59+H$30/(1+$C$92)^H$59+I$30/(1+$C$92)^I$59+J$30/(1+$C$92)^J$59+K$30/(1+$C$92)^K$59+L$30/(1+$C$92)^L$59+M$30/(1+$C$92)^M$59+(M$30*(1+L$84)/($C$92-L$84))/(1+$C$92)^M$59)/$D$72</f>
        <v>72.0487237117523</v>
      </c>
      <c r="M92" s="11"/>
    </row>
    <row r="93" customFormat="false" ht="14.25" hidden="false" customHeight="true" outlineLevel="0" collapsed="false">
      <c r="C93" s="152" t="n">
        <f aca="false">$D$42+Drivers!$C$450</f>
        <v>0.1002</v>
      </c>
      <c r="D93" s="32" t="n">
        <f aca="false">(D$30/(1+$C$93)^D$59+E$30/(1+$C$93)^E$59+F$30/(1+$C$93)^F$59+G$30/(1+$C$93)^G$59+H$30/(1+$C$93)^H$59+I$30/(1+$C$93)^I$59+J$30/(1+$C$93)^J$59+K$30/(1+$C$93)^K$59+L$30/(1+$C$93)^L$59+M$30/(1+$C$93)^M$59+(M$30*(1+D$84)/($C$93-D$84))/(1+$C$93)^M$59)/$D$72</f>
        <v>57.5803637967504</v>
      </c>
      <c r="E93" s="32" t="n">
        <f aca="false">(D$30/(1+$C$93)^D$59+E$30/(1+$C$93)^E$59+F$30/(1+$C$93)^F$59+G$30/(1+$C$93)^G$59+H$30/(1+$C$93)^H$59+I$30/(1+$C$93)^I$59+J$30/(1+$C$93)^J$59+K$30/(1+$C$93)^K$59+L$30/(1+$C$93)^L$59+M$30/(1+$C$93)^M$59+(M$30*(1+E$84)/($C$93-E$84))/(1+$C$93)^M$59)/$D$72</f>
        <v>58.6494129532576</v>
      </c>
      <c r="F93" s="32" t="n">
        <f aca="false">(D$30/(1+$C$93)^D$59+E$30/(1+$C$93)^E$59+F$30/(1+$C$93)^F$59+G$30/(1+$C$93)^G$59+H$30/(1+$C$93)^H$59+I$30/(1+$C$93)^I$59+J$30/(1+$C$93)^J$59+K$30/(1+$C$93)^K$59+L$30/(1+$C$93)^L$59+M$30/(1+$C$93)^M$59+(M$30*(1+F$84)/($C$93-F$84))/(1+$C$93)^M$59)/$D$72</f>
        <v>59.7946052120801</v>
      </c>
      <c r="G93" s="32" t="n">
        <f aca="false">(D$30/(1+$C$93)^D$59+E$30/(1+$C$93)^E$59+F$30/(1+$C$93)^F$59+G$30/(1+$C$93)^G$59+H$30/(1+$C$93)^H$59+I$30/(1+$C$93)^I$59+J$30/(1+$C$93)^J$59+K$30/(1+$C$93)^K$59+L$30/(1+$C$93)^L$59+M$30/(1+$C$93)^M$59+(M$30*(1+G$84)/($C$93-G$84))/(1+$C$93)^M$59)/$D$72</f>
        <v>61.0243759242869</v>
      </c>
      <c r="H93" s="32" t="n">
        <f aca="false">(D$30/(1+$C$93)^D$59+E$30/(1+$C$93)^E$59+F$30/(1+$C$93)^F$59+G$30/(1+$C$93)^G$59+H$30/(1+$C$93)^H$59+I$30/(1+$C$93)^I$59+J$30/(1+$C$93)^J$59+K$30/(1+$C$93)^K$59+L$30/(1+$C$93)^L$59+M$30/(1+$C$93)^M$59+(M$30*(1+H$84)/($C$93-H$84))/(1+$C$93)^M$59)/$D$72</f>
        <v>62.3484542064481</v>
      </c>
      <c r="I93" s="32" t="n">
        <f aca="false">(D$30/(1+$C$93)^D$59+E$30/(1+$C$93)^E$59+F$30/(1+$C$93)^F$59+G$30/(1+$C$93)^G$59+H$30/(1+$C$93)^H$59+I$30/(1+$C$93)^I$59+J$30/(1+$C$93)^J$59+K$30/(1+$C$93)^K$59+L$30/(1+$C$93)^L$59+M$30/(1+$C$93)^M$59+(M$30*(1+I$84)/($C$93-I$84))/(1+$C$93)^M$59)/$D$72</f>
        <v>63.7781208683671</v>
      </c>
      <c r="J93" s="32" t="n">
        <f aca="false">(D$30/(1+$C$93)^D$59+E$30/(1+$C$93)^E$59+F$30/(1+$C$93)^F$59+G$30/(1+$C$93)^G$59+H$30/(1+$C$93)^H$59+I$30/(1+$C$93)^I$59+J$30/(1+$C$93)^J$59+K$30/(1+$C$93)^K$59+L$30/(1+$C$93)^L$59+M$30/(1+$C$93)^M$59+(M$30*(1+J$84)/($C$93-J$84))/(1+$C$93)^M$59)/$D$72</f>
        <v>65.3265306085185</v>
      </c>
      <c r="K93" s="32" t="n">
        <f aca="false">(D$30/(1+$C$93)^D$59+E$30/(1+$C$93)^E$59+F$30/(1+$C$93)^F$59+G$30/(1+$C$93)^G$59+H$30/(1+$C$93)^H$59+I$30/(1+$C$93)^I$59+J$30/(1+$C$93)^J$59+K$30/(1+$C$93)^K$59+L$30/(1+$C$93)^L$59+M$30/(1+$C$93)^M$59+(M$30*(1+K$84)/($C$93-K$84))/(1+$C$93)^M$59)/$D$72</f>
        <v>67.0091179691336</v>
      </c>
      <c r="L93" s="32" t="n">
        <f aca="false">(D$30/(1+$C$93)^D$59+E$30/(1+$C$93)^E$59+F$30/(1+$C$93)^F$59+G$30/(1+$C$93)^G$59+H$30/(1+$C$93)^H$59+I$30/(1+$C$93)^I$59+J$30/(1+$C$93)^J$59+K$30/(1+$C$93)^K$59+L$30/(1+$C$93)^L$59+M$30/(1+$C$93)^M$59+(M$30*(1+L$84)/($C$93-L$84))/(1+$C$93)^M$59)/$D$72</f>
        <v>68.8441136051668</v>
      </c>
      <c r="M93" s="11"/>
    </row>
    <row r="94" customFormat="false" ht="14.25" hidden="false" customHeight="true" outlineLevel="0" collapsed="false">
      <c r="C94" s="11"/>
      <c r="D94" s="11"/>
      <c r="E94" s="11"/>
      <c r="F94" s="11"/>
      <c r="G94" s="11"/>
      <c r="H94" s="11"/>
      <c r="I94" s="11"/>
      <c r="J94" s="11"/>
      <c r="K94" s="11"/>
      <c r="L94" s="11"/>
      <c r="M94" s="11"/>
    </row>
    <row r="95" customFormat="false" ht="14.25" hidden="false" customHeight="true" outlineLevel="0" collapsed="false">
      <c r="A95" s="22" t="s">
        <v>11</v>
      </c>
      <c r="C95" s="71" t="s">
        <v>2545</v>
      </c>
      <c r="D95" s="54"/>
      <c r="E95" s="54"/>
      <c r="F95" s="54"/>
      <c r="G95" s="54"/>
      <c r="H95" s="54"/>
      <c r="I95" s="54"/>
      <c r="J95" s="54"/>
      <c r="K95" s="54"/>
      <c r="L95" s="54"/>
      <c r="M95" s="54"/>
    </row>
    <row r="96" customFormat="false" ht="14.25" hidden="false" customHeight="true" outlineLevel="0" collapsed="false">
      <c r="C96" s="11" t="s">
        <v>2546</v>
      </c>
      <c r="D96" s="34" t="n">
        <f aca="false">D42</f>
        <v>0.0902</v>
      </c>
      <c r="E96" s="11"/>
      <c r="F96" s="11"/>
      <c r="G96" s="11"/>
      <c r="H96" s="11"/>
      <c r="I96" s="11"/>
      <c r="J96" s="11"/>
      <c r="K96" s="11"/>
      <c r="L96" s="11"/>
      <c r="M96" s="11"/>
    </row>
    <row r="97" customFormat="false" ht="14.25" hidden="false" customHeight="true" outlineLevel="0" collapsed="false">
      <c r="C97" s="11" t="s">
        <v>2547</v>
      </c>
      <c r="D97" s="32" t="n">
        <f aca="false">D74</f>
        <v>73.610214991098</v>
      </c>
      <c r="E97" s="11"/>
      <c r="F97" s="11"/>
      <c r="G97" s="11"/>
      <c r="H97" s="11"/>
      <c r="I97" s="11"/>
      <c r="J97" s="11"/>
      <c r="K97" s="11"/>
      <c r="L97" s="11"/>
      <c r="M97" s="11"/>
    </row>
    <row r="98" customFormat="false" ht="14.25" hidden="false" customHeight="true" outlineLevel="0" collapsed="false">
      <c r="C98" s="11" t="s">
        <v>2548</v>
      </c>
      <c r="D98" s="154" t="n">
        <f aca="false">D75</f>
        <v>114.614683236849</v>
      </c>
      <c r="E98" s="11"/>
      <c r="F98" s="11"/>
      <c r="G98" s="11"/>
      <c r="H98" s="11"/>
      <c r="I98" s="11"/>
      <c r="J98" s="11"/>
      <c r="K98" s="11"/>
      <c r="L98" s="11"/>
      <c r="M98" s="11"/>
    </row>
    <row r="99" customFormat="false" ht="14.25" hidden="false" customHeight="true" outlineLevel="0" collapsed="false">
      <c r="C99" s="11" t="s">
        <v>2549</v>
      </c>
      <c r="D99" s="34" t="n">
        <f aca="false">D78</f>
        <v>0.59300191039416</v>
      </c>
      <c r="E99" s="11"/>
      <c r="F99" s="11"/>
      <c r="G99" s="11"/>
      <c r="H99" s="11"/>
      <c r="I99" s="11"/>
      <c r="J99" s="11"/>
      <c r="K99" s="11"/>
      <c r="L99" s="11"/>
      <c r="M99" s="11"/>
    </row>
    <row r="100" customFormat="false" ht="14.25" hidden="false" customHeight="true" outlineLevel="0" collapsed="false">
      <c r="C100" s="11" t="s">
        <v>2550</v>
      </c>
      <c r="D100" s="103" t="n">
        <f aca="false">D79</f>
        <v>0.738609259906588</v>
      </c>
      <c r="E100" s="11"/>
      <c r="F100" s="11"/>
      <c r="G100" s="11"/>
      <c r="H100" s="11"/>
      <c r="I100" s="11"/>
      <c r="J100" s="11"/>
      <c r="K100" s="11"/>
      <c r="L100" s="11"/>
      <c r="M100" s="11"/>
    </row>
    <row r="101" customFormat="false" ht="14.25" hidden="false" customHeight="true" outlineLevel="0" collapsed="false">
      <c r="C101" s="11" t="s">
        <v>2551</v>
      </c>
      <c r="D101" s="32" t="n">
        <f aca="false">H89</f>
        <v>73.610214991098</v>
      </c>
      <c r="E101" s="11"/>
      <c r="F101" s="11"/>
      <c r="G101" s="11"/>
      <c r="H101" s="11"/>
      <c r="I101" s="11"/>
      <c r="J101" s="11"/>
      <c r="K101" s="11"/>
      <c r="L101" s="11"/>
      <c r="M101" s="11"/>
    </row>
    <row r="102" customFormat="false" ht="14.25" hidden="false" customHeight="true" outlineLevel="0" collapsed="false">
      <c r="C102" s="11" t="s">
        <v>2552</v>
      </c>
      <c r="D102" s="65" t="n">
        <f aca="false">D38</f>
        <v>0</v>
      </c>
      <c r="E102" s="11"/>
      <c r="F102" s="11"/>
      <c r="G102" s="11"/>
      <c r="H102" s="11"/>
      <c r="I102" s="11"/>
      <c r="J102" s="11"/>
      <c r="K102" s="11"/>
      <c r="L102" s="11"/>
      <c r="M102" s="11"/>
    </row>
    <row r="103" customFormat="false" ht="14.25" hidden="false" customHeight="true" outlineLevel="0" collapsed="false">
      <c r="C103" s="11" t="s">
        <v>2553</v>
      </c>
      <c r="D103" s="65" t="n">
        <f aca="false">E38</f>
        <v>0</v>
      </c>
      <c r="E103" s="11"/>
      <c r="F103" s="11"/>
      <c r="G103" s="11"/>
      <c r="H103" s="11"/>
      <c r="I103" s="11"/>
      <c r="J103" s="11"/>
      <c r="K103" s="11"/>
      <c r="L103" s="11"/>
      <c r="M103" s="11"/>
    </row>
    <row r="104" customFormat="false" ht="14.25" hidden="false" customHeight="true" outlineLevel="0" collapsed="false">
      <c r="C104" s="11" t="s">
        <v>2554</v>
      </c>
      <c r="D104" s="65" t="n">
        <f aca="false">F38</f>
        <v>0</v>
      </c>
      <c r="E104" s="11"/>
      <c r="F104" s="11"/>
      <c r="G104" s="11"/>
      <c r="H104" s="11"/>
      <c r="I104" s="11"/>
      <c r="J104" s="11"/>
      <c r="K104" s="11"/>
      <c r="L104" s="11"/>
      <c r="M104" s="11"/>
    </row>
    <row r="105" customFormat="false" ht="14.25" hidden="false" customHeight="true" outlineLevel="0" collapsed="false">
      <c r="C105" s="11" t="s">
        <v>2555</v>
      </c>
      <c r="D105" s="65" t="n">
        <f aca="false">G38</f>
        <v>0</v>
      </c>
      <c r="E105" s="11"/>
      <c r="F105" s="11"/>
      <c r="G105" s="11"/>
      <c r="H105" s="11"/>
      <c r="I105" s="11"/>
      <c r="J105" s="11"/>
      <c r="K105" s="11"/>
      <c r="L105" s="11"/>
      <c r="M105" s="11"/>
    </row>
    <row r="106" customFormat="false" ht="14.25" hidden="false" customHeight="true" outlineLevel="0" collapsed="false">
      <c r="C106" s="11" t="s">
        <v>2556</v>
      </c>
      <c r="D106" s="65" t="n">
        <f aca="false">H38</f>
        <v>0</v>
      </c>
      <c r="E106" s="11"/>
      <c r="F106" s="11"/>
      <c r="G106" s="11"/>
      <c r="H106" s="11"/>
      <c r="I106" s="11"/>
      <c r="J106" s="11"/>
      <c r="K106" s="11"/>
      <c r="L106" s="11"/>
      <c r="M106" s="11"/>
    </row>
    <row r="107" customFormat="false" ht="14.25" hidden="false" customHeight="true" outlineLevel="0" collapsed="false">
      <c r="C107" s="11"/>
      <c r="D107" s="11"/>
      <c r="E107" s="11"/>
      <c r="F107" s="11"/>
      <c r="G107" s="11"/>
      <c r="H107" s="11"/>
      <c r="I107" s="11"/>
      <c r="J107" s="11"/>
      <c r="K107" s="11"/>
      <c r="L107" s="11"/>
      <c r="M107" s="11"/>
    </row>
    <row r="108" customFormat="false" ht="14.25" hidden="false" customHeight="true" outlineLevel="0" collapsed="false">
      <c r="A108" s="22" t="s">
        <v>11</v>
      </c>
      <c r="C108" s="71" t="s">
        <v>2557</v>
      </c>
      <c r="D108" s="54"/>
      <c r="E108" s="54"/>
      <c r="F108" s="54"/>
      <c r="G108" s="54"/>
      <c r="H108" s="54"/>
      <c r="I108" s="54"/>
      <c r="J108" s="54"/>
      <c r="K108" s="54"/>
      <c r="L108" s="54"/>
      <c r="M108" s="54"/>
    </row>
    <row r="109" customFormat="false" ht="14.25" hidden="false" customHeight="true" outlineLevel="0" collapsed="false">
      <c r="C109" s="11" t="s">
        <v>2558</v>
      </c>
      <c r="D109" s="11"/>
      <c r="E109" s="11"/>
      <c r="F109" s="11"/>
      <c r="G109" s="11"/>
      <c r="H109" s="11"/>
      <c r="I109" s="11"/>
      <c r="J109" s="11"/>
      <c r="K109" s="11"/>
      <c r="L109" s="11"/>
      <c r="M109" s="11"/>
    </row>
    <row r="110" customFormat="false" ht="14.25" hidden="false" customHeight="true" outlineLevel="0" collapsed="false">
      <c r="C110" s="11" t="s">
        <v>2559</v>
      </c>
      <c r="D110" s="41" t="n">
        <f aca="false">Drivers!$C$575</f>
        <v>1994.30199430199</v>
      </c>
      <c r="E110" s="11"/>
      <c r="F110" s="11"/>
      <c r="G110" s="11"/>
      <c r="H110" s="11"/>
      <c r="I110" s="11"/>
      <c r="J110" s="11"/>
      <c r="K110" s="11"/>
      <c r="L110" s="11"/>
      <c r="M110" s="11"/>
    </row>
    <row r="111" customFormat="false" ht="14.25" hidden="false" customHeight="true" outlineLevel="0" collapsed="false">
      <c r="C111" s="11" t="s">
        <v>2560</v>
      </c>
      <c r="D111" s="45" t="n">
        <f aca="false">Drivers!$C$576</f>
        <v>2451</v>
      </c>
      <c r="E111" s="11"/>
      <c r="F111" s="11"/>
      <c r="G111" s="11"/>
      <c r="H111" s="11"/>
      <c r="I111" s="11"/>
      <c r="J111" s="11"/>
      <c r="K111" s="11"/>
      <c r="L111" s="11"/>
      <c r="M111" s="11"/>
    </row>
    <row r="112" customFormat="false" ht="14.25" hidden="false" customHeight="true" outlineLevel="0" collapsed="false">
      <c r="C112" s="11" t="s">
        <v>2561</v>
      </c>
      <c r="D112" s="42" t="n">
        <f aca="false">Drivers!$C$577</f>
        <v>1994.30199430199</v>
      </c>
      <c r="E112" s="11"/>
      <c r="F112" s="11"/>
      <c r="G112" s="11"/>
      <c r="H112" s="11"/>
      <c r="I112" s="11"/>
      <c r="J112" s="11"/>
      <c r="K112" s="11"/>
      <c r="L112" s="11"/>
      <c r="M112" s="11"/>
    </row>
    <row r="113" customFormat="false" ht="14.25" hidden="false" customHeight="true" outlineLevel="0" collapsed="false">
      <c r="C113" s="11" t="s">
        <v>2562</v>
      </c>
      <c r="D113" s="42" t="str">
        <f aca="false">Drivers!C572</f>
        <v>A</v>
      </c>
      <c r="E113" s="11"/>
      <c r="F113" s="11"/>
      <c r="G113" s="11"/>
      <c r="H113" s="11"/>
      <c r="I113" s="11"/>
      <c r="J113" s="11"/>
      <c r="K113" s="11"/>
      <c r="L113" s="11"/>
      <c r="M113" s="11"/>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I2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2" customFormat="false" ht="15" hidden="false" customHeight="true" outlineLevel="0" collapsed="false">
      <c r="C2" s="1" t="str">
        <f aca="false">"Net Asset Value - "&amp;Cover!$D$5</f>
        <v>Net Asset Value - GATX Corporation</v>
      </c>
    </row>
    <row r="3" customFormat="false" ht="15" hidden="false" customHeight="true" outlineLevel="0" collapsed="false">
      <c r="C3" s="1" t="s">
        <v>1</v>
      </c>
    </row>
    <row r="5" customFormat="false" ht="15" hidden="false" customHeight="true" outlineLevel="0" collapsed="false">
      <c r="C5" s="1" t="s">
        <v>2</v>
      </c>
      <c r="D5" s="1" t="str">
        <f aca="false">Cover!$D$5</f>
        <v>GATX Corporation</v>
      </c>
    </row>
    <row r="6" customFormat="false" ht="15" hidden="false" customHeight="true" outlineLevel="0" collapsed="false">
      <c r="C6" s="1" t="s">
        <v>4</v>
      </c>
      <c r="D6" s="1" t="str">
        <f aca="false">Cover!$D$6</f>
        <v>GATX</v>
      </c>
    </row>
    <row r="7" customFormat="false" ht="15" hidden="false" customHeight="true" outlineLevel="0" collapsed="false">
      <c r="C7" s="1" t="s">
        <v>1551</v>
      </c>
      <c r="D7" s="1" t="n">
        <f aca="false">Cover!$D$7</f>
        <v>1</v>
      </c>
    </row>
    <row r="8" customFormat="false" ht="15" hidden="false" customHeight="true" outlineLevel="0" collapsed="false">
      <c r="C8" s="1" t="s">
        <v>7</v>
      </c>
      <c r="D8" s="157" t="n">
        <f aca="false">Cover!$D$8</f>
        <v>162.78</v>
      </c>
    </row>
    <row r="9" customFormat="false" ht="15" hidden="false" customHeight="true" outlineLevel="0" collapsed="false">
      <c r="C9" s="1" t="s">
        <v>8</v>
      </c>
      <c r="D9" s="158" t="n">
        <f aca="false">Cover!$D$9</f>
        <v>46303</v>
      </c>
    </row>
    <row r="10" customFormat="false" ht="15" hidden="false" customHeight="true" outlineLevel="0" collapsed="false">
      <c r="C10" s="1" t="s">
        <v>9</v>
      </c>
      <c r="D10" s="158" t="n">
        <f aca="false">Cover!$D$10</f>
        <v>46022</v>
      </c>
    </row>
    <row r="11" customFormat="false" ht="15" hidden="false" customHeight="true" outlineLevel="0" collapsed="false">
      <c r="C11" s="1" t="s">
        <v>1552</v>
      </c>
      <c r="D11" s="73" t="n">
        <f aca="false">Cover!$D$11</f>
        <v>35.8</v>
      </c>
    </row>
    <row r="13" customFormat="false" ht="15" hidden="false" customHeight="true" outlineLevel="0" collapsed="false">
      <c r="C13" s="1" t="s">
        <v>2563</v>
      </c>
    </row>
    <row r="14" customFormat="false" ht="15" hidden="false" customHeight="true" outlineLevel="0" collapsed="false">
      <c r="C14" s="1" t="s">
        <v>2564</v>
      </c>
    </row>
    <row r="15" customFormat="false" ht="15" hidden="false" customHeight="true" outlineLevel="0" collapsed="false">
      <c r="C15" s="1" t="s">
        <v>2565</v>
      </c>
    </row>
    <row r="17" customFormat="false" ht="15" hidden="false" customHeight="true" outlineLevel="0" collapsed="false">
      <c r="A17" s="1" t="s">
        <v>11</v>
      </c>
      <c r="C17" s="1" t="s">
        <v>2566</v>
      </c>
    </row>
    <row r="18" customFormat="false" ht="15" hidden="false" customHeight="true" outlineLevel="0" collapsed="false">
      <c r="D18" s="1" t="s">
        <v>1531</v>
      </c>
      <c r="E18" s="1" t="s">
        <v>1532</v>
      </c>
    </row>
    <row r="20" customFormat="false" ht="15" hidden="false" customHeight="true" outlineLevel="0" collapsed="false">
      <c r="C20" s="1" t="s">
        <v>2567</v>
      </c>
      <c r="D20" s="1" t="n">
        <f aca="false">('3 Statement Forecast'!D39)*(1-Drivers!$C$584)</f>
        <v>9699.265</v>
      </c>
      <c r="E20" s="1" t="n">
        <f aca="false">('3 Statement Forecast'!E39-Drivers!$C$123)*(1-Drivers!$C$584)</f>
        <v>9885.925</v>
      </c>
    </row>
    <row r="21" customFormat="false" ht="15" hidden="false" customHeight="true" outlineLevel="0" collapsed="false">
      <c r="C21" s="1" t="s">
        <v>2568</v>
      </c>
      <c r="D21" s="1" t="n">
        <f aca="false">('3 Statement Forecast'!D39)*Drivers!$C$584</f>
        <v>1711.635</v>
      </c>
      <c r="E21" s="1" t="n">
        <f aca="false">('3 Statement Forecast'!E39-Drivers!$C$123)*Drivers!$C$584</f>
        <v>1744.575</v>
      </c>
    </row>
    <row r="22" customFormat="false" ht="15" hidden="false" customHeight="true" outlineLevel="0" collapsed="false">
      <c r="C22" s="1" t="s">
        <v>2569</v>
      </c>
      <c r="D22" s="1" t="n">
        <v>0</v>
      </c>
      <c r="E22" s="73" t="n">
        <f aca="false">Drivers!$C$123</f>
        <v>4200</v>
      </c>
    </row>
    <row r="23" customFormat="false" ht="15" hidden="false" customHeight="true" outlineLevel="0" collapsed="false">
      <c r="C23" s="1" t="s">
        <v>2570</v>
      </c>
      <c r="D23" s="1" t="n">
        <f aca="false">D20+D21+D22</f>
        <v>11410.9</v>
      </c>
      <c r="E23" s="1" t="n">
        <f aca="false">E20+E21+E22</f>
        <v>15830.5</v>
      </c>
    </row>
    <row r="25" customFormat="false" ht="15" hidden="false" customHeight="true" outlineLevel="0" collapsed="false">
      <c r="C25" s="1" t="s">
        <v>2571</v>
      </c>
      <c r="D25" s="1" t="n">
        <f aca="false">D23-'3 Statement Forecast'!D39</f>
        <v>0</v>
      </c>
      <c r="E25" s="1" t="n">
        <f aca="false">E23-'3 Statement Forecast'!E39</f>
        <v>0</v>
      </c>
    </row>
    <row r="27" customFormat="false" ht="15" hidden="false" customHeight="true" outlineLevel="0" collapsed="false">
      <c r="A27" s="1" t="s">
        <v>11</v>
      </c>
      <c r="C27" s="1" t="s">
        <v>2572</v>
      </c>
    </row>
    <row r="28" customFormat="false" ht="15" hidden="false" customHeight="true" outlineLevel="0" collapsed="false">
      <c r="D28" s="1" t="s">
        <v>1558</v>
      </c>
      <c r="E28" s="1" t="s">
        <v>1559</v>
      </c>
      <c r="F28" s="1" t="s">
        <v>1531</v>
      </c>
      <c r="G28" s="1" t="s">
        <v>2573</v>
      </c>
    </row>
    <row r="29" customFormat="false" ht="15" hidden="false" customHeight="true" outlineLevel="0" collapsed="false">
      <c r="C29" s="1" t="s">
        <v>2574</v>
      </c>
      <c r="D29" s="1" t="n">
        <f aca="false">Drivers!$C$588</f>
        <v>272.8</v>
      </c>
      <c r="E29" s="1" t="n">
        <f aca="false">Drivers!$C$589</f>
        <v>230.6</v>
      </c>
      <c r="F29" s="1" t="n">
        <f aca="false">Drivers!$C$590</f>
        <v>275</v>
      </c>
      <c r="G29" s="1" t="n">
        <f aca="false">Drivers!$C$591</f>
        <v>195.7</v>
      </c>
    </row>
    <row r="30" customFormat="false" ht="15" hidden="false" customHeight="true" outlineLevel="0" collapsed="false">
      <c r="C30" s="1" t="s">
        <v>2575</v>
      </c>
      <c r="D30" s="73" t="n">
        <f aca="false">'Disposition Engine'!G21</f>
        <v>112.1</v>
      </c>
      <c r="E30" s="73" t="n">
        <f aca="false">'Disposition Engine'!H21</f>
        <v>119.9</v>
      </c>
      <c r="F30" s="73" t="n">
        <f aca="false">'Disposition Engine'!I21</f>
        <v>117</v>
      </c>
      <c r="G30" s="1" t="n">
        <f aca="false">Drivers!$C$592</f>
        <v>120.7</v>
      </c>
    </row>
    <row r="31" customFormat="false" ht="15" hidden="false" customHeight="true" outlineLevel="0" collapsed="false">
      <c r="C31" s="1" t="s">
        <v>2576</v>
      </c>
      <c r="D31" s="1" t="n">
        <f aca="false">D29-D30</f>
        <v>160.7</v>
      </c>
      <c r="E31" s="1" t="n">
        <f aca="false">E29-E30</f>
        <v>110.7</v>
      </c>
      <c r="F31" s="1" t="n">
        <f aca="false">F29-F30</f>
        <v>158</v>
      </c>
      <c r="G31" s="1" t="n">
        <f aca="false">G29-G30</f>
        <v>75</v>
      </c>
    </row>
    <row r="32" customFormat="false" ht="15" hidden="false" customHeight="true" outlineLevel="0" collapsed="false">
      <c r="C32" s="1" t="s">
        <v>2577</v>
      </c>
      <c r="D32" s="1" t="n">
        <f aca="false">D29/D31</f>
        <v>1.69757311761045</v>
      </c>
      <c r="E32" s="1" t="n">
        <f aca="false">E29/E31</f>
        <v>2.08310749774164</v>
      </c>
      <c r="F32" s="1" t="n">
        <f aca="false">F29/F31</f>
        <v>1.74050632911392</v>
      </c>
      <c r="G32" s="1" t="n">
        <f aca="false">G29/G31</f>
        <v>2.60933333333333</v>
      </c>
    </row>
    <row r="33" customFormat="false" ht="15" hidden="false" customHeight="true" outlineLevel="0" collapsed="false">
      <c r="C33" s="1" t="s">
        <v>2578</v>
      </c>
      <c r="D33" s="1" t="n">
        <f aca="false">AVERAGE(D32:F32)</f>
        <v>1.84039564815534</v>
      </c>
    </row>
    <row r="34" customFormat="false" ht="15" hidden="false" customHeight="true" outlineLevel="0" collapsed="false">
      <c r="C34" s="1" t="s">
        <v>2579</v>
      </c>
      <c r="D34" s="1" t="n">
        <f aca="false">D33</f>
        <v>1.84039564815534</v>
      </c>
    </row>
    <row r="36" customFormat="false" ht="15" hidden="false" customHeight="true" outlineLevel="0" collapsed="false">
      <c r="A36" s="1" t="s">
        <v>11</v>
      </c>
      <c r="C36" s="27" t="s">
        <v>2580</v>
      </c>
    </row>
    <row r="38" customFormat="false" ht="15" hidden="false" customHeight="true" outlineLevel="0" collapsed="false">
      <c r="C38" s="1" t="s">
        <v>2581</v>
      </c>
      <c r="D38" s="1" t="n">
        <f aca="false">Drivers!$C$585</f>
        <v>0.25</v>
      </c>
    </row>
    <row r="39" customFormat="false" ht="15" hidden="false" customHeight="true" outlineLevel="0" collapsed="false">
      <c r="C39" s="1" t="s">
        <v>2582</v>
      </c>
      <c r="D39" s="1" t="n">
        <f aca="false">Drivers!$C$586</f>
        <v>0</v>
      </c>
    </row>
    <row r="40" customFormat="false" ht="15" hidden="false" customHeight="true" outlineLevel="0" collapsed="false">
      <c r="C40" s="17" t="s">
        <v>2583</v>
      </c>
      <c r="D40" s="1" t="n">
        <f aca="false">1+(D34-1)*(1-D38)</f>
        <v>1.63029673611651</v>
      </c>
    </row>
    <row r="41" customFormat="false" ht="15" hidden="false" customHeight="true" outlineLevel="0" collapsed="false">
      <c r="C41" s="17" t="s">
        <v>2584</v>
      </c>
      <c r="D41" s="1" t="n">
        <f aca="false">1+(D34-1)*(1-D39)</f>
        <v>1.84039564815534</v>
      </c>
    </row>
    <row r="42" customFormat="false" ht="15" hidden="false" customHeight="true" outlineLevel="0" collapsed="false">
      <c r="C42" s="1" t="s">
        <v>2585</v>
      </c>
      <c r="D42" s="1" t="n">
        <v>1</v>
      </c>
    </row>
    <row r="44" customFormat="false" ht="15" hidden="false" customHeight="true" outlineLevel="0" collapsed="false">
      <c r="A44" s="1" t="s">
        <v>11</v>
      </c>
      <c r="C44" s="27" t="s">
        <v>2586</v>
      </c>
    </row>
    <row r="46" customFormat="false" ht="15" hidden="false" customHeight="true" outlineLevel="0" collapsed="false">
      <c r="C46" s="17" t="s">
        <v>2587</v>
      </c>
      <c r="D46" s="1" t="n">
        <f aca="false">E20*D40</f>
        <v>16116.9912609926</v>
      </c>
    </row>
    <row r="47" customFormat="false" ht="15" hidden="false" customHeight="true" outlineLevel="0" collapsed="false">
      <c r="C47" s="17" t="s">
        <v>2588</v>
      </c>
      <c r="D47" s="1" t="n">
        <f aca="false">E21*D41</f>
        <v>3210.7082378806</v>
      </c>
    </row>
    <row r="48" customFormat="false" ht="15" hidden="false" customHeight="true" outlineLevel="0" collapsed="false">
      <c r="C48" s="17" t="s">
        <v>2589</v>
      </c>
      <c r="D48" s="1" t="n">
        <f aca="false">E22*D42</f>
        <v>4200</v>
      </c>
    </row>
    <row r="49" customFormat="false" ht="15" hidden="false" customHeight="true" outlineLevel="0" collapsed="false">
      <c r="C49" s="17" t="s">
        <v>2590</v>
      </c>
      <c r="D49" s="1" t="n">
        <f aca="false">D46+D47+D48</f>
        <v>23527.6994988732</v>
      </c>
    </row>
    <row r="50" customFormat="false" ht="15" hidden="false" customHeight="true" outlineLevel="0" collapsed="false">
      <c r="C50" s="17" t="s">
        <v>2591</v>
      </c>
      <c r="D50" s="1" t="n">
        <f aca="false">D49-E23</f>
        <v>7697.19949887317</v>
      </c>
    </row>
    <row r="52" customFormat="false" ht="15" hidden="false" customHeight="true" outlineLevel="0" collapsed="false">
      <c r="A52" s="1" t="s">
        <v>11</v>
      </c>
      <c r="C52" s="1" t="s">
        <v>2592</v>
      </c>
    </row>
    <row r="54" customFormat="false" ht="15" hidden="false" customHeight="true" outlineLevel="0" collapsed="false">
      <c r="C54" s="1" t="s">
        <v>2593</v>
      </c>
      <c r="D54" s="1" t="n">
        <f aca="false">D49</f>
        <v>23527.6994988732</v>
      </c>
    </row>
    <row r="55" customFormat="false" ht="15" hidden="false" customHeight="true" outlineLevel="0" collapsed="false">
      <c r="C55" s="1" t="s">
        <v>2594</v>
      </c>
      <c r="D55" s="73" t="n">
        <f aca="false">Drivers!$C$577</f>
        <v>1994.30199430199</v>
      </c>
    </row>
    <row r="56" customFormat="false" ht="15" hidden="false" customHeight="true" outlineLevel="0" collapsed="false">
      <c r="C56" s="1" t="s">
        <v>2595</v>
      </c>
      <c r="D56" s="75" t="n">
        <f aca="false">'3 Statement Forecast'!E36+'3 Statement Forecast'!E37+'3 Statement Forecast'!E38+'3 Statement Forecast'!E40+'3 Statement Forecast'!E42+'3 Statement Forecast'!E43</f>
        <v>1685.49575056157</v>
      </c>
    </row>
    <row r="57" customFormat="false" ht="15" hidden="false" customHeight="true" outlineLevel="0" collapsed="false">
      <c r="C57" s="1" t="s">
        <v>2596</v>
      </c>
      <c r="D57" s="1" t="n">
        <f aca="false">-'3 Statement Forecast'!E47</f>
        <v>-12516.9559948862</v>
      </c>
    </row>
    <row r="58" customFormat="false" ht="15" hidden="false" customHeight="true" outlineLevel="0" collapsed="false">
      <c r="C58" s="1" t="s">
        <v>2597</v>
      </c>
      <c r="D58" s="1" t="n">
        <f aca="false">-'3 Statement Forecast'!E48</f>
        <v>-143.8</v>
      </c>
    </row>
    <row r="59" customFormat="false" ht="15" hidden="false" customHeight="true" outlineLevel="0" collapsed="false">
      <c r="C59" s="1" t="s">
        <v>2598</v>
      </c>
      <c r="D59" s="1" t="n">
        <f aca="false">-Drivers!$C$401*Drivers!$C$402</f>
        <v>-1245.89018691589</v>
      </c>
    </row>
    <row r="60" customFormat="false" ht="15" hidden="false" customHeight="true" outlineLevel="0" collapsed="false">
      <c r="C60" s="1" t="s">
        <v>2599</v>
      </c>
      <c r="D60" s="75" t="n">
        <f aca="false">D54+D55+D56+D57+D58+D59</f>
        <v>13300.8510619347</v>
      </c>
    </row>
    <row r="61" customFormat="false" ht="15" hidden="false" customHeight="true" outlineLevel="0" collapsed="false">
      <c r="C61" s="1" t="s">
        <v>2600</v>
      </c>
      <c r="D61" s="1" t="n">
        <f aca="false">-Drivers!$C$390*D50</f>
        <v>-1847.32787972956</v>
      </c>
    </row>
    <row r="62" customFormat="false" ht="15" hidden="false" customHeight="true" outlineLevel="0" collapsed="false">
      <c r="C62" s="1" t="s">
        <v>2601</v>
      </c>
      <c r="D62" s="75" t="n">
        <f aca="false">D60+D61</f>
        <v>11453.5231822051</v>
      </c>
    </row>
    <row r="63" customFormat="false" ht="15" hidden="false" customHeight="true" outlineLevel="0" collapsed="false">
      <c r="C63" s="1" t="s">
        <v>2602</v>
      </c>
      <c r="D63" s="73" t="n">
        <f aca="false">Drivers!$C$77</f>
        <v>35.8</v>
      </c>
    </row>
    <row r="64" customFormat="false" ht="15" hidden="false" customHeight="true" outlineLevel="0" collapsed="false">
      <c r="C64" s="1" t="s">
        <v>2603</v>
      </c>
      <c r="D64" s="1" t="n">
        <f aca="false">D60/D63</f>
        <v>371.532152568008</v>
      </c>
    </row>
    <row r="65" customFormat="false" ht="15" hidden="false" customHeight="true" outlineLevel="0" collapsed="false">
      <c r="C65" s="1" t="s">
        <v>2604</v>
      </c>
      <c r="D65" s="1" t="n">
        <f aca="false">D62/D63</f>
        <v>319.930815145395</v>
      </c>
    </row>
    <row r="66" customFormat="false" ht="15" hidden="false" customHeight="true" outlineLevel="0" collapsed="false">
      <c r="C66" s="1" t="s">
        <v>145</v>
      </c>
      <c r="D66" s="73" t="n">
        <f aca="false">Drivers!$C$179</f>
        <v>162.78</v>
      </c>
    </row>
    <row r="67" customFormat="false" ht="15" hidden="false" customHeight="true" outlineLevel="0" collapsed="false">
      <c r="C67" s="1" t="s">
        <v>2605</v>
      </c>
      <c r="D67" s="1" t="n">
        <f aca="false">D66/D65</f>
        <v>0.508797503379047</v>
      </c>
    </row>
    <row r="68" customFormat="false" ht="15" hidden="false" customHeight="true" outlineLevel="0" collapsed="false">
      <c r="C68" s="1" t="s">
        <v>2606</v>
      </c>
      <c r="D68" s="1" t="n">
        <f aca="false">D66/D64</f>
        <v>0.438131663369844</v>
      </c>
    </row>
    <row r="70" customFormat="false" ht="15" hidden="false" customHeight="true" outlineLevel="0" collapsed="false">
      <c r="A70" s="1" t="s">
        <v>11</v>
      </c>
      <c r="C70" s="1" t="s">
        <v>2607</v>
      </c>
    </row>
    <row r="71" customFormat="false" ht="15" hidden="false" customHeight="true" outlineLevel="0" collapsed="false">
      <c r="D71" s="1" t="s">
        <v>2608</v>
      </c>
      <c r="E71" s="1" t="n">
        <f aca="false">D34*Drivers!$C$595</f>
        <v>1.47231651852427</v>
      </c>
      <c r="F71" s="1" t="n">
        <f aca="false">D34*Drivers!$C$596</f>
        <v>1.65635608333981</v>
      </c>
      <c r="G71" s="1" t="n">
        <f aca="false">D34</f>
        <v>1.84039564815534</v>
      </c>
      <c r="H71" s="1" t="n">
        <f aca="false">D34*Drivers!$C$597</f>
        <v>2.02443521297088</v>
      </c>
      <c r="I71" s="1" t="n">
        <f aca="false">D34*Drivers!$C$598</f>
        <v>2.20847477778641</v>
      </c>
    </row>
    <row r="72" customFormat="false" ht="15" hidden="false" customHeight="true" outlineLevel="0" collapsed="false">
      <c r="D72" s="1" t="n">
        <v>0</v>
      </c>
      <c r="E72" s="1" t="n">
        <f aca="false">(((E20+E21)*(1+($E71-1)*(1-$D72))+E22)+D55+D56+D57+D58+D59-Drivers!$C$390*(((E20+E21)*(1+($E71-1)*(1-$D72))+E22)-E23))/D63</f>
        <v>273.143639309243</v>
      </c>
      <c r="F72" s="1" t="n">
        <f aca="false">(((E20+E21)*(1+($F71-1)*(1-$D72))+E22)+D55+D56+D57+D58+D59-Drivers!$C$390*(((E20+E21)*(1+($F71-1)*(1-$D72))+E22)-E23))/D63</f>
        <v>318.583830385393</v>
      </c>
      <c r="G72" s="1" t="n">
        <f aca="false">(((E20+E21)*(1+($G71-1)*(1-$D72))+E22)+D55+D56+D57+D58+D59-Drivers!$C$390*(((E20+E21)*(1+($G71-1)*(1-$D72))+E22)-E23))/D63</f>
        <v>364.024021461543</v>
      </c>
      <c r="H72" s="1" t="n">
        <f aca="false">(((E20+E21)*(1+($H71-1)*(1-$D72))+E22)+D55+D56+D57+D58+D59-Drivers!$C$390*(((E20+E21)*(1+($H71-1)*(1-$D72))+E22)-E23))/D63</f>
        <v>409.464212537693</v>
      </c>
      <c r="I72" s="1" t="n">
        <f aca="false">(((E20+E21)*(1+($I71-1)*(1-$D72))+E22)+D55+D56+D57+D58+D59-Drivers!$C$390*(((E20+E21)*(1+($I71-1)*(1-$D72))+E22)-E23))/D63</f>
        <v>454.904403613843</v>
      </c>
    </row>
    <row r="73" customFormat="false" ht="15" hidden="false" customHeight="true" outlineLevel="0" collapsed="false">
      <c r="D73" s="1" t="n">
        <v>0.1</v>
      </c>
      <c r="E73" s="1" t="n">
        <f aca="false">(((E20+E21)*(1+($E71-1)*(1-$D73))+E22)+D55+D56+D57+D58+D59-Drivers!$C$390*(((E20+E21)*(1+($E71-1)*(1-$D73))+E22)-E23))/D63</f>
        <v>261.481933375697</v>
      </c>
      <c r="F73" s="1" t="n">
        <f aca="false">(((E20+E21)*(1+($F71-1)*(1-$D73))+E22)+D55+D56+D57+D58+D59-Drivers!$C$390*(((E20+E21)*(1+($F71-1)*(1-$D73))+E22)-E23))/D63</f>
        <v>302.378105344232</v>
      </c>
      <c r="G73" s="1" t="n">
        <f aca="false">(((E20+E21)*(1+($G71-1)*(1-$D73))+E22)+D55+D56+D57+D58+D59-Drivers!$C$390*(((E20+E21)*(1+($G71-1)*(1-$D73))+E22)-E23))/D63</f>
        <v>343.274277312767</v>
      </c>
      <c r="H73" s="1" t="n">
        <f aca="false">(((E20+E21)*(1+($H71-1)*(1-$D73))+E22)+D55+D56+D57+D58+D59-Drivers!$C$390*(((E20+E21)*(1+($H71-1)*(1-$D73))+E22)-E23))/D63</f>
        <v>384.170449281302</v>
      </c>
      <c r="I73" s="1" t="n">
        <f aca="false">(((E20+E21)*(1+($I71-1)*(1-$D73))+E22)+D55+D56+D57+D58+D59-Drivers!$C$390*(((E20+E21)*(1+($I71-1)*(1-$D73))+E22)-E23))/D63</f>
        <v>425.066621249837</v>
      </c>
    </row>
    <row r="74" customFormat="false" ht="15" hidden="false" customHeight="true" outlineLevel="0" collapsed="false">
      <c r="D74" s="1" t="n">
        <v>0.25</v>
      </c>
      <c r="E74" s="1" t="n">
        <f aca="false">(((E20+E21)*(1+($E71-1)*(1-$D74))+E22)+D55+D56+D57+D58+D59-Drivers!$C$390*(((E20+E21)*(1+($E71-1)*(1-$D74))+E22)-E23))/D63</f>
        <v>243.989374475378</v>
      </c>
      <c r="F74" s="1" t="n">
        <f aca="false">(((E20+E21)*(1+($F71-1)*(1-$D74))+E22)+D55+D56+D57+D58+D59-Drivers!$C$390*(((E20+E21)*(1+($F71-1)*(1-$D74))+E22)-E23))/D63</f>
        <v>278.069517782491</v>
      </c>
      <c r="G74" s="1" t="n">
        <f aca="false">(((E20+E21)*(1+($G71-1)*(1-$D74))+E22)+D55+D56+D57+D58+D59-Drivers!$C$390*(((E20+E21)*(1+($G71-1)*(1-$D74))+E22)-E23))/D63</f>
        <v>312.149661089604</v>
      </c>
      <c r="H74" s="1" t="n">
        <f aca="false">(((E20+E21)*(1+($H71-1)*(1-$D74))+E22)+D55+D56+D57+D58+D59-Drivers!$C$390*(((E20+E21)*(1+($H71-1)*(1-$D74))+E22)-E23))/D63</f>
        <v>346.229804396716</v>
      </c>
      <c r="I74" s="1" t="n">
        <f aca="false">(((E20+E21)*(1+($I71-1)*(1-$D74))+E22)+D55+D56+D57+D58+D59-Drivers!$C$390*(((E20+E21)*(1+($I71-1)*(1-$D74))+E22)-E23))/D63</f>
        <v>380.309947703829</v>
      </c>
    </row>
    <row r="75" customFormat="false" ht="15" hidden="false" customHeight="true" outlineLevel="0" collapsed="false">
      <c r="D75" s="1" t="n">
        <v>0.4</v>
      </c>
      <c r="E75" s="1" t="n">
        <f aca="false">(((E20+E21)*(1+($E71-1)*(1-$D75))+E22)+D55+D56+D57+D58+D59-Drivers!$C$390*(((E20+E21)*(1+($E71-1)*(1-$D75))+E22)-E23))/D63</f>
        <v>226.49681557506</v>
      </c>
      <c r="F75" s="1" t="n">
        <f aca="false">(((E20+E21)*(1+($F71-1)*(1-$D75))+E22)+D55+D56+D57+D58+D59-Drivers!$C$390*(((E20+E21)*(1+($F71-1)*(1-$D75))+E22)-E23))/D63</f>
        <v>253.76093022075</v>
      </c>
      <c r="G75" s="1" t="n">
        <f aca="false">(((E20+E21)*(1+($G71-1)*(1-$D75))+E22)+D55+D56+D57+D58+D59-Drivers!$C$390*(((E20+E21)*(1+($G71-1)*(1-$D75))+E22)-E23))/D63</f>
        <v>281.02504486644</v>
      </c>
      <c r="H75" s="1" t="n">
        <f aca="false">(((E20+E21)*(1+($H71-1)*(1-$D75))+E22)+D55+D56+D57+D58+D59-Drivers!$C$390*(((E20+E21)*(1+($H71-1)*(1-$D75))+E22)-E23))/D63</f>
        <v>308.28915951213</v>
      </c>
      <c r="I75" s="1" t="n">
        <f aca="false">(((E20+E21)*(1+($I71-1)*(1-$D75))+E22)+D55+D56+D57+D58+D59-Drivers!$C$390*(((E20+E21)*(1+($I71-1)*(1-$D75))+E22)-E23))/D63</f>
        <v>335.55327415782</v>
      </c>
    </row>
    <row r="76" customFormat="false" ht="15" hidden="false" customHeight="true" outlineLevel="0" collapsed="false">
      <c r="D76" s="1" t="n">
        <v>0.5</v>
      </c>
      <c r="E76" s="1" t="n">
        <f aca="false">(((E20+E21)*(1+($E71-1)*(1-$D76))+E22)+D55+D56+D57+D58+D59-Drivers!$C$390*(((E20+E21)*(1+($E71-1)*(1-$D76))+E22)-E23))/D63</f>
        <v>214.835109641514</v>
      </c>
      <c r="F76" s="1" t="n">
        <f aca="false">(((E20+E21)*(1+($F71-1)*(1-$D76))+E22)+D55+D56+D57+D58+D59-Drivers!$C$390*(((E20+E21)*(1+($F71-1)*(1-$D76))+E22)-E23))/D63</f>
        <v>237.555205179589</v>
      </c>
      <c r="G76" s="1" t="n">
        <f aca="false">(((E20+E21)*(1+($G71-1)*(1-$D76))+E22)+D55+D56+D57+D58+D59-Drivers!$C$390*(((E20+E21)*(1+($G71-1)*(1-$D76))+E22)-E23))/D63</f>
        <v>260.275300717664</v>
      </c>
      <c r="H76" s="1" t="n">
        <f aca="false">(((E20+E21)*(1+($H71-1)*(1-$D76))+E22)+D55+D56+D57+D58+D59-Drivers!$C$390*(((E20+E21)*(1+($H71-1)*(1-$D76))+E22)-E23))/D63</f>
        <v>282.995396255739</v>
      </c>
      <c r="I76" s="1" t="n">
        <f aca="false">(((E20+E21)*(1+($I71-1)*(1-$D76))+E22)+D55+D56+D57+D58+D59-Drivers!$C$390*(((E20+E21)*(1+($I71-1)*(1-$D76))+E22)-E23))/D63</f>
        <v>305.715491793814</v>
      </c>
    </row>
    <row r="80" customFormat="false" ht="15" hidden="false" customHeight="true" outlineLevel="0" collapsed="false">
      <c r="A80" s="1" t="s">
        <v>11</v>
      </c>
      <c r="C80" s="1" t="s">
        <v>2609</v>
      </c>
    </row>
    <row r="82" customFormat="false" ht="15" hidden="false" customHeight="true" outlineLevel="0" collapsed="false">
      <c r="C82" s="1" t="s">
        <v>2610</v>
      </c>
      <c r="D82" s="1" t="n">
        <f aca="false">D32</f>
        <v>1.69757311761045</v>
      </c>
      <c r="E82" s="1" t="n">
        <f aca="false">E32</f>
        <v>2.08310749774164</v>
      </c>
      <c r="F82" s="1" t="n">
        <f aca="false">F32</f>
        <v>1.74050632911392</v>
      </c>
      <c r="G82" s="1" t="n">
        <f aca="false">G32</f>
        <v>2.60933333333333</v>
      </c>
    </row>
    <row r="83" customFormat="false" ht="15" hidden="false" customHeight="true" outlineLevel="0" collapsed="false">
      <c r="C83" s="1" t="s">
        <v>2611</v>
      </c>
      <c r="D83" s="1" t="n">
        <f aca="false">D25</f>
        <v>0</v>
      </c>
    </row>
    <row r="84" customFormat="false" ht="15" hidden="false" customHeight="true" outlineLevel="0" collapsed="false">
      <c r="C84" s="1" t="s">
        <v>2612</v>
      </c>
      <c r="D84" s="1" t="n">
        <f aca="false">E25</f>
        <v>0</v>
      </c>
    </row>
    <row r="85" customFormat="false" ht="15" hidden="false" customHeight="true" outlineLevel="0" collapsed="false">
      <c r="C85" s="1" t="s">
        <v>2613</v>
      </c>
      <c r="D85" s="1" t="n">
        <f aca="false">D64</f>
        <v>371.532152568008</v>
      </c>
    </row>
    <row r="86" customFormat="false" ht="15" hidden="false" customHeight="true" outlineLevel="0" collapsed="false">
      <c r="C86" s="1" t="s">
        <v>2614</v>
      </c>
      <c r="D86" s="1" t="n">
        <f aca="false">D65</f>
        <v>319.930815145395</v>
      </c>
    </row>
    <row r="87" customFormat="false" ht="15" hidden="false" customHeight="true" outlineLevel="0" collapsed="false">
      <c r="C87" s="1" t="s">
        <v>2605</v>
      </c>
      <c r="D87" s="1" t="n">
        <f aca="false">D67</f>
        <v>0.508797503379047</v>
      </c>
    </row>
    <row r="100" customFormat="false" ht="15" hidden="false" customHeight="true" outlineLevel="0" collapsed="false">
      <c r="A100" s="27" t="s">
        <v>11</v>
      </c>
      <c r="C100" s="27" t="s">
        <v>2615</v>
      </c>
    </row>
    <row r="102" customFormat="false" ht="15" hidden="false" customHeight="true" outlineLevel="0" collapsed="false">
      <c r="C102" s="17" t="s">
        <v>2616</v>
      </c>
    </row>
    <row r="104" customFormat="false" ht="15" hidden="false" customHeight="true" outlineLevel="0" collapsed="false">
      <c r="C104" s="159" t="s">
        <v>2617</v>
      </c>
      <c r="D104" s="159" t="s">
        <v>2618</v>
      </c>
      <c r="E104" s="159" t="s">
        <v>2619</v>
      </c>
      <c r="F104" s="159" t="s">
        <v>2620</v>
      </c>
      <c r="G104" s="159" t="s">
        <v>2621</v>
      </c>
      <c r="H104" s="159" t="s">
        <v>2622</v>
      </c>
      <c r="I104" s="159" t="s">
        <v>2623</v>
      </c>
    </row>
    <row r="105" customFormat="false" ht="15" hidden="false" customHeight="true" outlineLevel="0" collapsed="false">
      <c r="C105" s="17" t="s">
        <v>2624</v>
      </c>
      <c r="D105" s="160" t="n">
        <f aca="false">Drivers!$C$11</f>
        <v>20000</v>
      </c>
      <c r="E105" s="161" t="n">
        <f aca="false">Drivers!$C$666</f>
        <v>5</v>
      </c>
      <c r="F105" s="161" t="n">
        <f aca="false">Drivers!$C$673</f>
        <v>36</v>
      </c>
      <c r="G105" s="160" t="n">
        <f aca="false">Drivers!$C$674</f>
        <v>42625</v>
      </c>
      <c r="H105" s="162" t="n">
        <f aca="false">G105*(1-E105/F105)</f>
        <v>36704.8611111111</v>
      </c>
      <c r="I105" s="162" t="n">
        <f aca="false">Drivers!$C$675+(G105-Drivers!$C$675)*(F105-E105)/F105</f>
        <v>37399.3055555556</v>
      </c>
    </row>
    <row r="106" customFormat="false" ht="15" hidden="false" customHeight="true" outlineLevel="0" collapsed="false">
      <c r="C106" s="17" t="s">
        <v>2625</v>
      </c>
      <c r="D106" s="160" t="n">
        <f aca="false">Drivers!$C$12</f>
        <v>18500</v>
      </c>
      <c r="E106" s="161" t="n">
        <f aca="false">Drivers!$C$667</f>
        <v>8</v>
      </c>
      <c r="F106" s="161" t="n">
        <f aca="false">Drivers!$C$673</f>
        <v>36</v>
      </c>
      <c r="G106" s="160" t="n">
        <f aca="false">Drivers!$C$674</f>
        <v>42625</v>
      </c>
      <c r="H106" s="162" t="n">
        <f aca="false">G106*(1-E106/F106)</f>
        <v>33152.7777777778</v>
      </c>
      <c r="I106" s="162" t="n">
        <f aca="false">Drivers!$C$675+(G106-Drivers!$C$675)*(F106-E106)/F106</f>
        <v>34263.8888888889</v>
      </c>
    </row>
    <row r="107" customFormat="false" ht="15" hidden="false" customHeight="true" outlineLevel="0" collapsed="false">
      <c r="C107" s="17" t="s">
        <v>2626</v>
      </c>
      <c r="D107" s="160" t="n">
        <f aca="false">Drivers!$C$13</f>
        <v>18700</v>
      </c>
      <c r="E107" s="161" t="n">
        <f aca="false">Drivers!$C$668</f>
        <v>11</v>
      </c>
      <c r="F107" s="161" t="n">
        <f aca="false">Drivers!$C$673</f>
        <v>36</v>
      </c>
      <c r="G107" s="160" t="n">
        <f aca="false">Drivers!$C$674</f>
        <v>42625</v>
      </c>
      <c r="H107" s="162" t="n">
        <f aca="false">G107*(1-E107/F107)</f>
        <v>29600.6944444444</v>
      </c>
      <c r="I107" s="162" t="n">
        <f aca="false">Drivers!$C$675+(G107-Drivers!$C$675)*(F107-E107)/F107</f>
        <v>31128.4722222222</v>
      </c>
    </row>
    <row r="108" customFormat="false" ht="15" hidden="false" customHeight="true" outlineLevel="0" collapsed="false">
      <c r="C108" s="17" t="s">
        <v>2627</v>
      </c>
      <c r="D108" s="160" t="n">
        <f aca="false">Drivers!$C$14</f>
        <v>19400</v>
      </c>
      <c r="E108" s="161" t="n">
        <f aca="false">Drivers!$C$669</f>
        <v>14</v>
      </c>
      <c r="F108" s="161" t="n">
        <f aca="false">Drivers!$C$673</f>
        <v>36</v>
      </c>
      <c r="G108" s="160" t="n">
        <f aca="false">Drivers!$C$674</f>
        <v>42625</v>
      </c>
      <c r="H108" s="162" t="n">
        <f aca="false">G108*(1-E108/F108)</f>
        <v>26048.6111111111</v>
      </c>
      <c r="I108" s="162" t="n">
        <f aca="false">Drivers!$C$675+(G108-Drivers!$C$675)*(F108-E108)/F108</f>
        <v>27993.0555555556</v>
      </c>
    </row>
    <row r="109" customFormat="false" ht="15" hidden="false" customHeight="true" outlineLevel="0" collapsed="false">
      <c r="C109" s="17" t="s">
        <v>2628</v>
      </c>
      <c r="D109" s="160" t="n">
        <f aca="false">Drivers!$C$15</f>
        <v>21500</v>
      </c>
      <c r="E109" s="161" t="n">
        <f aca="false">Drivers!$C$670</f>
        <v>17</v>
      </c>
      <c r="F109" s="161" t="n">
        <f aca="false">Drivers!$C$673</f>
        <v>36</v>
      </c>
      <c r="G109" s="160" t="n">
        <f aca="false">Drivers!$C$674</f>
        <v>42625</v>
      </c>
      <c r="H109" s="162" t="n">
        <f aca="false">G109*(1-E109/F109)</f>
        <v>22496.5277777778</v>
      </c>
      <c r="I109" s="162" t="n">
        <f aca="false">Drivers!$C$675+(G109-Drivers!$C$675)*(F109-E109)/F109</f>
        <v>24857.6388888889</v>
      </c>
    </row>
    <row r="110" customFormat="false" ht="15" hidden="false" customHeight="true" outlineLevel="0" collapsed="false">
      <c r="C110" s="17" t="s">
        <v>2629</v>
      </c>
      <c r="D110" s="160" t="n">
        <f aca="false">Drivers!$C$16</f>
        <v>2493</v>
      </c>
      <c r="E110" s="161" t="n">
        <f aca="false">Drivers!$C$671</f>
        <v>25</v>
      </c>
      <c r="F110" s="161" t="n">
        <f aca="false">Drivers!$C$673</f>
        <v>36</v>
      </c>
      <c r="G110" s="160" t="n">
        <f aca="false">Drivers!$C$674</f>
        <v>42625</v>
      </c>
      <c r="H110" s="162" t="n">
        <f aca="false">G110*(1-E110/F110)</f>
        <v>13024.3055555556</v>
      </c>
      <c r="I110" s="162" t="n">
        <f aca="false">Drivers!$C$675+(G110-Drivers!$C$675)*(F110-E110)/F110</f>
        <v>16496.5277777778</v>
      </c>
    </row>
    <row r="111" customFormat="false" ht="15" hidden="false" customHeight="true" outlineLevel="0" collapsed="false">
      <c r="C111" s="17" t="s">
        <v>2630</v>
      </c>
      <c r="D111" s="160" t="n">
        <f aca="false">Drivers!$C$5</f>
        <v>100593</v>
      </c>
      <c r="E111" s="161" t="n">
        <f aca="false">Drivers!$C$672</f>
        <v>17</v>
      </c>
      <c r="F111" s="161" t="n">
        <f aca="false">Drivers!$C$673</f>
        <v>36</v>
      </c>
      <c r="G111" s="160" t="n">
        <f aca="false">Drivers!$C$674</f>
        <v>42625</v>
      </c>
      <c r="H111" s="17"/>
      <c r="I111" s="17"/>
    </row>
    <row r="113" customFormat="false" ht="15" hidden="false" customHeight="true" outlineLevel="0" collapsed="false">
      <c r="C113" s="27" t="s">
        <v>2631</v>
      </c>
    </row>
    <row r="114" customFormat="false" ht="15" hidden="false" customHeight="true" outlineLevel="0" collapsed="false">
      <c r="C114" s="17" t="s">
        <v>2632</v>
      </c>
      <c r="D114" s="115" t="n">
        <f aca="false">I105/H105</f>
        <v>1.01891968593321</v>
      </c>
    </row>
    <row r="115" customFormat="false" ht="15" hidden="false" customHeight="true" outlineLevel="0" collapsed="false">
      <c r="C115" s="17" t="s">
        <v>2633</v>
      </c>
      <c r="D115" s="115" t="n">
        <f aca="false">I106/H106</f>
        <v>1.03351487222455</v>
      </c>
    </row>
    <row r="116" customFormat="false" ht="15" hidden="false" customHeight="true" outlineLevel="0" collapsed="false">
      <c r="C116" s="17" t="s">
        <v>2634</v>
      </c>
      <c r="D116" s="115" t="n">
        <f aca="false">I107/H107</f>
        <v>1.05161290322581</v>
      </c>
    </row>
    <row r="117" customFormat="false" ht="15" hidden="false" customHeight="true" outlineLevel="0" collapsed="false">
      <c r="C117" s="17" t="s">
        <v>2635</v>
      </c>
      <c r="D117" s="115" t="n">
        <f aca="false">I108/H108</f>
        <v>1.07464676086377</v>
      </c>
    </row>
    <row r="118" customFormat="false" ht="15" hidden="false" customHeight="true" outlineLevel="0" collapsed="false">
      <c r="C118" s="17" t="s">
        <v>2636</v>
      </c>
      <c r="D118" s="115" t="n">
        <f aca="false">I109/H109</f>
        <v>1.10495446828214</v>
      </c>
    </row>
    <row r="119" customFormat="false" ht="15" hidden="false" customHeight="true" outlineLevel="0" collapsed="false">
      <c r="C119" s="17" t="s">
        <v>2637</v>
      </c>
      <c r="D119" s="115" t="n">
        <f aca="false">I110/H110</f>
        <v>1.26659557451346</v>
      </c>
    </row>
    <row r="121" customFormat="false" ht="15" hidden="false" customHeight="true" outlineLevel="0" collapsed="false">
      <c r="C121" s="17" t="s">
        <v>2638</v>
      </c>
      <c r="D121" s="115" t="n">
        <f aca="false">SUMPRODUCT(D105:D110,I105:I110)/SUMPRODUCT(D105:D110,H105:H110)</f>
        <v>1.0548021510288</v>
      </c>
    </row>
    <row r="123" customFormat="false" ht="15" hidden="false" customHeight="true" outlineLevel="0" collapsed="false">
      <c r="C123" s="17" t="s">
        <v>2639</v>
      </c>
      <c r="D123" s="163" t="n">
        <f aca="false">D33</f>
        <v>1.84039564815534</v>
      </c>
    </row>
    <row r="124" customFormat="false" ht="15" hidden="false" customHeight="true" outlineLevel="0" collapsed="false">
      <c r="C124" s="17" t="s">
        <v>2640</v>
      </c>
      <c r="D124" s="164" t="n">
        <v>1</v>
      </c>
      <c r="E124" s="17" t="n">
        <f aca="false">D123/D121</f>
        <v>1.74477805753459</v>
      </c>
      <c r="F124" s="1" t="s">
        <v>2641</v>
      </c>
    </row>
    <row r="126" customFormat="false" ht="15" hidden="false" customHeight="true" outlineLevel="0" collapsed="false">
      <c r="C126" s="27" t="s">
        <v>2642</v>
      </c>
    </row>
    <row r="127" customFormat="false" ht="15" hidden="false" customHeight="true" outlineLevel="0" collapsed="false">
      <c r="C127" s="17" t="s">
        <v>2643</v>
      </c>
      <c r="D127" s="115" t="n">
        <f aca="false">MIN(I105/H105*$D$124,$D$123)</f>
        <v>1.01891968593321</v>
      </c>
    </row>
    <row r="128" customFormat="false" ht="15" hidden="false" customHeight="true" outlineLevel="0" collapsed="false">
      <c r="C128" s="17" t="s">
        <v>2644</v>
      </c>
      <c r="D128" s="115" t="n">
        <f aca="false">MIN(I106/H106*$D$124,$D$123)</f>
        <v>1.03351487222455</v>
      </c>
    </row>
    <row r="129" customFormat="false" ht="15" hidden="false" customHeight="true" outlineLevel="0" collapsed="false">
      <c r="C129" s="17" t="s">
        <v>2645</v>
      </c>
      <c r="D129" s="115" t="n">
        <f aca="false">MIN(I107/H107*$D$124,$D$123)</f>
        <v>1.05161290322581</v>
      </c>
    </row>
    <row r="130" customFormat="false" ht="15" hidden="false" customHeight="true" outlineLevel="0" collapsed="false">
      <c r="C130" s="17" t="s">
        <v>2646</v>
      </c>
      <c r="D130" s="115" t="n">
        <f aca="false">MIN(I108/H108*$D$124,$D$123)</f>
        <v>1.07464676086377</v>
      </c>
    </row>
    <row r="131" customFormat="false" ht="15" hidden="false" customHeight="true" outlineLevel="0" collapsed="false">
      <c r="C131" s="17" t="s">
        <v>2647</v>
      </c>
      <c r="D131" s="115" t="n">
        <f aca="false">MIN(I109/H109*$D$124,$D$123)</f>
        <v>1.10495446828214</v>
      </c>
    </row>
    <row r="132" customFormat="false" ht="15" hidden="false" customHeight="true" outlineLevel="0" collapsed="false">
      <c r="C132" s="17" t="s">
        <v>2648</v>
      </c>
      <c r="D132" s="115" t="n">
        <f aca="false">MIN(I110/H110*$D$124,$D$123)</f>
        <v>1.26659557451346</v>
      </c>
    </row>
    <row r="133" customFormat="false" ht="15" hidden="false" customHeight="true" outlineLevel="0" collapsed="false">
      <c r="C133" s="17" t="s">
        <v>2649</v>
      </c>
      <c r="D133" s="164" t="n">
        <v>1</v>
      </c>
    </row>
    <row r="135" customFormat="false" ht="15" hidden="false" customHeight="true" outlineLevel="0" collapsed="false">
      <c r="A135" s="27" t="s">
        <v>11</v>
      </c>
      <c r="C135" s="27" t="s">
        <v>2650</v>
      </c>
    </row>
    <row r="137" customFormat="false" ht="15" hidden="false" customHeight="true" outlineLevel="0" collapsed="false">
      <c r="C137" s="17" t="s">
        <v>2651</v>
      </c>
      <c r="D137" s="162" t="n">
        <f aca="false">SUM(D105:D110)</f>
        <v>100593</v>
      </c>
    </row>
    <row r="138" customFormat="false" ht="15" hidden="false" customHeight="true" outlineLevel="0" collapsed="false">
      <c r="C138" s="17" t="s">
        <v>2652</v>
      </c>
      <c r="D138" s="42" t="n">
        <f aca="false">E20</f>
        <v>9885.925</v>
      </c>
    </row>
    <row r="140" customFormat="false" ht="15" hidden="false" customHeight="true" outlineLevel="0" collapsed="false">
      <c r="C140" s="159" t="s">
        <v>2653</v>
      </c>
      <c r="D140" s="159" t="s">
        <v>2654</v>
      </c>
      <c r="E140" s="159" t="s">
        <v>2655</v>
      </c>
      <c r="F140" s="159" t="s">
        <v>2656</v>
      </c>
    </row>
    <row r="141" customFormat="false" ht="15" hidden="false" customHeight="true" outlineLevel="0" collapsed="false">
      <c r="C141" s="17" t="s">
        <v>2624</v>
      </c>
      <c r="D141" s="32" t="n">
        <f aca="false">D105/$D$137*$D$138</f>
        <v>1965.52941059517</v>
      </c>
      <c r="E141" s="163" t="n">
        <f aca="false">D127</f>
        <v>1.01891968593321</v>
      </c>
      <c r="F141" s="32" t="n">
        <f aca="false">D141*E141</f>
        <v>2002.71660973613</v>
      </c>
    </row>
    <row r="142" customFormat="false" ht="15" hidden="false" customHeight="true" outlineLevel="0" collapsed="false">
      <c r="C142" s="17" t="s">
        <v>2625</v>
      </c>
      <c r="D142" s="32" t="n">
        <f aca="false">D106/$D$137*$D$138</f>
        <v>1818.11470480053</v>
      </c>
      <c r="E142" s="163" t="n">
        <f aca="false">D128</f>
        <v>1.03351487222455</v>
      </c>
      <c r="F142" s="32" t="n">
        <f aca="false">D142*E142</f>
        <v>1879.0485868215</v>
      </c>
    </row>
    <row r="143" customFormat="false" ht="15" hidden="false" customHeight="true" outlineLevel="0" collapsed="false">
      <c r="C143" s="17" t="s">
        <v>2626</v>
      </c>
      <c r="D143" s="32" t="n">
        <f aca="false">D107/$D$137*$D$138</f>
        <v>1837.76999890648</v>
      </c>
      <c r="E143" s="163" t="n">
        <f aca="false">D129</f>
        <v>1.05161290322581</v>
      </c>
      <c r="F143" s="32" t="n">
        <f aca="false">D143*E143</f>
        <v>1932.62264401134</v>
      </c>
    </row>
    <row r="144" customFormat="false" ht="15" hidden="false" customHeight="true" outlineLevel="0" collapsed="false">
      <c r="C144" s="17" t="s">
        <v>2627</v>
      </c>
      <c r="D144" s="32" t="n">
        <f aca="false">D108/$D$137*$D$138</f>
        <v>1906.56352827732</v>
      </c>
      <c r="E144" s="163" t="n">
        <f aca="false">D130</f>
        <v>1.07464676086377</v>
      </c>
      <c r="F144" s="32" t="n">
        <f aca="false">D144*E144</f>
        <v>2048.88232004422</v>
      </c>
    </row>
    <row r="145" customFormat="false" ht="15" hidden="false" customHeight="true" outlineLevel="0" collapsed="false">
      <c r="C145" s="17" t="s">
        <v>2628</v>
      </c>
      <c r="D145" s="32" t="n">
        <f aca="false">D109/$D$137*$D$138</f>
        <v>2112.94411638981</v>
      </c>
      <c r="E145" s="163" t="n">
        <f aca="false">D131</f>
        <v>1.10495446828214</v>
      </c>
      <c r="F145" s="32" t="n">
        <f aca="false">D145*E145</f>
        <v>2334.70704263538</v>
      </c>
    </row>
    <row r="146" customFormat="false" ht="15" hidden="false" customHeight="true" outlineLevel="0" collapsed="false">
      <c r="C146" s="17" t="s">
        <v>2629</v>
      </c>
      <c r="D146" s="32" t="n">
        <f aca="false">D110/$D$137*$D$138</f>
        <v>245.003241030688</v>
      </c>
      <c r="E146" s="163" t="n">
        <f aca="false">D132</f>
        <v>1.26659557451346</v>
      </c>
      <c r="F146" s="32" t="n">
        <f aca="false">D146*E146</f>
        <v>310.320020830925</v>
      </c>
    </row>
    <row r="147" customFormat="false" ht="15" hidden="false" customHeight="true" outlineLevel="0" collapsed="false">
      <c r="C147" s="27" t="s">
        <v>2657</v>
      </c>
      <c r="D147" s="89" t="n">
        <f aca="false">SUM(D141:D146)</f>
        <v>9885.925</v>
      </c>
      <c r="F147" s="89" t="n">
        <f aca="false">SUM(F141:F146)</f>
        <v>10508.2972240795</v>
      </c>
    </row>
    <row r="149" customFormat="false" ht="15" hidden="false" customHeight="true" outlineLevel="0" collapsed="false">
      <c r="C149" s="17" t="s">
        <v>2658</v>
      </c>
      <c r="D149" s="42" t="n">
        <f aca="false">E21</f>
        <v>1744.575</v>
      </c>
      <c r="E149" s="164" t="n">
        <v>1</v>
      </c>
      <c r="F149" s="32" t="n">
        <f aca="false">D149*E149</f>
        <v>1744.575</v>
      </c>
    </row>
    <row r="150" customFormat="false" ht="15" hidden="false" customHeight="true" outlineLevel="0" collapsed="false">
      <c r="C150" s="17" t="s">
        <v>2659</v>
      </c>
      <c r="D150" s="42" t="n">
        <f aca="false">E22</f>
        <v>4200</v>
      </c>
      <c r="E150" s="164" t="n">
        <v>1</v>
      </c>
      <c r="F150" s="32" t="n">
        <f aca="false">D150*E150</f>
        <v>4200</v>
      </c>
    </row>
    <row r="152" customFormat="false" ht="15" hidden="false" customHeight="true" outlineLevel="0" collapsed="false">
      <c r="C152" s="27" t="s">
        <v>2660</v>
      </c>
      <c r="D152" s="89" t="n">
        <f aca="false">D147+D149+D150</f>
        <v>15830.5</v>
      </c>
      <c r="F152" s="89" t="n">
        <f aca="false">F147+F149+F150</f>
        <v>16452.8722240795</v>
      </c>
    </row>
    <row r="153" customFormat="false" ht="15" hidden="false" customHeight="true" outlineLevel="0" collapsed="false">
      <c r="C153" s="17" t="s">
        <v>2661</v>
      </c>
      <c r="D153" s="32" t="n">
        <f aca="false">F152-D152</f>
        <v>622.37222407948</v>
      </c>
    </row>
    <row r="155" customFormat="false" ht="15" hidden="false" customHeight="true" outlineLevel="0" collapsed="false">
      <c r="A155" s="27" t="s">
        <v>11</v>
      </c>
      <c r="C155" s="27" t="s">
        <v>2662</v>
      </c>
    </row>
    <row r="157" customFormat="false" ht="15" hidden="false" customHeight="true" outlineLevel="0" collapsed="false">
      <c r="C157" s="17" t="s">
        <v>2663</v>
      </c>
      <c r="D157" s="32" t="n">
        <f aca="false">F152</f>
        <v>16452.8722240795</v>
      </c>
    </row>
    <row r="158" customFormat="false" ht="15" hidden="false" customHeight="true" outlineLevel="0" collapsed="false">
      <c r="C158" s="17" t="s">
        <v>2594</v>
      </c>
      <c r="D158" s="42" t="n">
        <f aca="false">Drivers!$C$577</f>
        <v>1994.30199430199</v>
      </c>
    </row>
    <row r="159" customFormat="false" ht="15" hidden="false" customHeight="true" outlineLevel="0" collapsed="false">
      <c r="C159" s="17" t="s">
        <v>2595</v>
      </c>
      <c r="D159" s="42" t="n">
        <f aca="false">'3 Statement Forecast'!E36+'3 Statement Forecast'!E37+'3 Statement Forecast'!E38+'3 Statement Forecast'!E40+'3 Statement Forecast'!E42+'3 Statement Forecast'!E43</f>
        <v>1685.49575056157</v>
      </c>
    </row>
    <row r="160" customFormat="false" ht="15" hidden="false" customHeight="true" outlineLevel="0" collapsed="false">
      <c r="C160" s="17" t="s">
        <v>2596</v>
      </c>
      <c r="D160" s="42" t="n">
        <f aca="false">-'3 Statement Forecast'!E47</f>
        <v>-12516.9559948862</v>
      </c>
    </row>
    <row r="161" customFormat="false" ht="15" hidden="false" customHeight="true" outlineLevel="0" collapsed="false">
      <c r="C161" s="17" t="s">
        <v>2597</v>
      </c>
      <c r="D161" s="42" t="n">
        <f aca="false">-'3 Statement Forecast'!E48</f>
        <v>-143.8</v>
      </c>
    </row>
    <row r="162" customFormat="false" ht="15" hidden="false" customHeight="true" outlineLevel="0" collapsed="false">
      <c r="C162" s="17" t="s">
        <v>2598</v>
      </c>
      <c r="D162" s="42" t="n">
        <f aca="false">-Drivers!$C$401*Drivers!$C$402</f>
        <v>-1245.89018691589</v>
      </c>
    </row>
    <row r="163" customFormat="false" ht="15" hidden="false" customHeight="true" outlineLevel="0" collapsed="false">
      <c r="C163" s="27" t="s">
        <v>2599</v>
      </c>
      <c r="D163" s="89" t="n">
        <f aca="false">D157+D158+D159+D160+D161+D162</f>
        <v>6226.02378714099</v>
      </c>
    </row>
    <row r="164" customFormat="false" ht="15" hidden="false" customHeight="true" outlineLevel="0" collapsed="false">
      <c r="C164" s="17" t="s">
        <v>2600</v>
      </c>
      <c r="D164" s="32" t="n">
        <f aca="false">-Drivers!$C$390*D153</f>
        <v>-149.369333779075</v>
      </c>
    </row>
    <row r="165" customFormat="false" ht="15" hidden="false" customHeight="true" outlineLevel="0" collapsed="false">
      <c r="C165" s="27" t="s">
        <v>2664</v>
      </c>
      <c r="D165" s="89" t="n">
        <f aca="false">D163+D164</f>
        <v>6076.65445336191</v>
      </c>
    </row>
    <row r="166" customFormat="false" ht="15" hidden="false" customHeight="true" outlineLevel="0" collapsed="false">
      <c r="C166" s="17" t="s">
        <v>2602</v>
      </c>
      <c r="D166" s="114" t="n">
        <f aca="false">Drivers!$C$77</f>
        <v>35.8</v>
      </c>
    </row>
    <row r="167" customFormat="false" ht="15" hidden="false" customHeight="true" outlineLevel="0" collapsed="false">
      <c r="C167" s="27" t="s">
        <v>2665</v>
      </c>
      <c r="D167" s="109" t="n">
        <f aca="false">D163/D166</f>
        <v>173.911278970419</v>
      </c>
    </row>
    <row r="168" customFormat="false" ht="15" hidden="false" customHeight="true" outlineLevel="0" collapsed="false">
      <c r="C168" s="27" t="s">
        <v>2666</v>
      </c>
      <c r="D168" s="165" t="n">
        <f aca="false">D165/D166</f>
        <v>169.738951211227</v>
      </c>
    </row>
    <row r="169" customFormat="false" ht="15" hidden="false" customHeight="true" outlineLevel="0" collapsed="false">
      <c r="C169" s="17" t="s">
        <v>145</v>
      </c>
      <c r="D169" s="14" t="n">
        <f aca="false">Drivers!$C$179</f>
        <v>162.78</v>
      </c>
    </row>
    <row r="170" customFormat="false" ht="15" hidden="false" customHeight="true" outlineLevel="0" collapsed="false">
      <c r="C170" s="17" t="s">
        <v>2667</v>
      </c>
      <c r="D170" s="115" t="n">
        <f aca="false">Drivers!$C$179/D168</f>
        <v>0.959002037177862</v>
      </c>
    </row>
    <row r="172" customFormat="false" ht="15" hidden="false" customHeight="true" outlineLevel="0" collapsed="false">
      <c r="A172" s="27" t="s">
        <v>11</v>
      </c>
      <c r="C172" s="27" t="s">
        <v>2668</v>
      </c>
    </row>
    <row r="174" customFormat="false" ht="15" hidden="false" customHeight="true" outlineLevel="0" collapsed="false">
      <c r="C174" s="17" t="s">
        <v>2669</v>
      </c>
      <c r="D174" s="32" t="n">
        <f aca="false">Drivers!$C$179*D166</f>
        <v>5827.524</v>
      </c>
    </row>
    <row r="175" customFormat="false" ht="15" hidden="false" customHeight="true" outlineLevel="0" collapsed="false">
      <c r="C175" s="17" t="s">
        <v>2670</v>
      </c>
      <c r="D175" s="42" t="n">
        <f aca="false">'3 Statement Forecast'!E47</f>
        <v>12516.9559948862</v>
      </c>
    </row>
    <row r="176" customFormat="false" ht="15" hidden="false" customHeight="true" outlineLevel="0" collapsed="false">
      <c r="C176" s="17" t="s">
        <v>2671</v>
      </c>
      <c r="D176" s="42" t="n">
        <f aca="false">'3 Statement Forecast'!E48</f>
        <v>143.8</v>
      </c>
    </row>
    <row r="177" customFormat="false" ht="15" hidden="false" customHeight="true" outlineLevel="0" collapsed="false">
      <c r="C177" s="17" t="s">
        <v>2672</v>
      </c>
      <c r="D177" s="42" t="n">
        <f aca="false">Drivers!$C$401*Drivers!$C$402</f>
        <v>1245.89018691589</v>
      </c>
    </row>
    <row r="178" customFormat="false" ht="15" hidden="false" customHeight="true" outlineLevel="0" collapsed="false">
      <c r="C178" s="17" t="s">
        <v>2673</v>
      </c>
      <c r="D178" s="42" t="n">
        <f aca="false">-Drivers!$C$577</f>
        <v>-1994.30199430199</v>
      </c>
    </row>
    <row r="179" customFormat="false" ht="15" hidden="false" customHeight="true" outlineLevel="0" collapsed="false">
      <c r="C179" s="17" t="s">
        <v>2674</v>
      </c>
      <c r="D179" s="42" t="n">
        <f aca="false">-('3 Statement Forecast'!E36+'3 Statement Forecast'!E37+'3 Statement Forecast'!E38+'3 Statement Forecast'!E40+'3 Statement Forecast'!E42+'3 Statement Forecast'!E43)</f>
        <v>-1685.49575056157</v>
      </c>
    </row>
    <row r="180" customFormat="false" ht="15" hidden="false" customHeight="true" outlineLevel="0" collapsed="false">
      <c r="C180" s="27" t="s">
        <v>2675</v>
      </c>
      <c r="D180" s="89" t="n">
        <f aca="false">D174+D175+D176+D177+D178+D179</f>
        <v>16054.3724369385</v>
      </c>
    </row>
    <row r="181" customFormat="false" ht="15" hidden="false" customHeight="true" outlineLevel="0" collapsed="false">
      <c r="C181" s="17" t="s">
        <v>2676</v>
      </c>
      <c r="D181" s="42" t="n">
        <f aca="false">'3 Statement Forecast'!E39</f>
        <v>15830.5</v>
      </c>
    </row>
    <row r="182" customFormat="false" ht="15" hidden="false" customHeight="true" outlineLevel="0" collapsed="false">
      <c r="C182" s="27" t="s">
        <v>2677</v>
      </c>
      <c r="D182" s="166" t="n">
        <f aca="false">D180/D181</f>
        <v>1.01414184245213</v>
      </c>
    </row>
    <row r="184" customFormat="false" ht="15" hidden="false" customHeight="true" outlineLevel="0" collapsed="false">
      <c r="C184" s="17" t="s">
        <v>2678</v>
      </c>
      <c r="D184" s="115" t="n">
        <f aca="false">F152/D181</f>
        <v>1.03931475468744</v>
      </c>
    </row>
    <row r="185" customFormat="false" ht="15" hidden="false" customHeight="true" outlineLevel="0" collapsed="false">
      <c r="C185" s="17" t="s">
        <v>2679</v>
      </c>
    </row>
    <row r="187" customFormat="false" ht="15" hidden="false" customHeight="true" outlineLevel="0" collapsed="false">
      <c r="A187" s="27" t="s">
        <v>11</v>
      </c>
      <c r="C187" s="27" t="s">
        <v>2680</v>
      </c>
    </row>
    <row r="189" customFormat="false" ht="15" hidden="false" customHeight="true" outlineLevel="0" collapsed="false">
      <c r="C189" s="27" t="s">
        <v>2681</v>
      </c>
      <c r="D189" s="167" t="n">
        <v>-4</v>
      </c>
      <c r="E189" s="167" t="n">
        <v>-2</v>
      </c>
      <c r="F189" s="167" t="n">
        <v>0</v>
      </c>
      <c r="G189" s="167" t="n">
        <v>2</v>
      </c>
      <c r="H189" s="167" t="n">
        <v>4</v>
      </c>
    </row>
    <row r="190" customFormat="false" ht="15" hidden="false" customHeight="true" outlineLevel="0" collapsed="false">
      <c r="C190" s="168" t="n">
        <v>3000</v>
      </c>
      <c r="D190" s="64" t="n">
        <f aca="false">(((SUMPRODUCT(D105:D110,($C$190+(Drivers!$C$674-$C$190)*(Drivers!$C$673-E105:E110-D$189)/Drivers!$C$673))*E20/SUMPRODUCT(D105:D110,H105:H110))+E21+E22+Drivers!$C$577+('3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Forecast'!E48-Drivers!$C$401*Drivers!$C$402)-Drivers!$C$390*((SUMPRODUCT(D105:D110,($C$190+(Drivers!$C$674-$C$190)*(Drivers!$C$673-E105:E110-D$189)/Drivers!$C$673))*E20/SUMPRODUCT(D105:D110,H105:H110))-E20))/Drivers!$C$77</f>
        <v>195.23238945332</v>
      </c>
      <c r="E190" s="64" t="n">
        <f aca="false">(((SUMPRODUCT(D105:D110,($C$190+(Drivers!$C$674-$C$190)*(Drivers!$C$673-E105:E110-E$189)/Drivers!$C$673))*E20/SUMPRODUCT(D105:D110,H105:H110))+E21+E22+Drivers!$C$577+('3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Forecast'!E48-Drivers!$C$401*Drivers!$C$402)-Drivers!$C$390*((SUMPRODUCT(D105:D110,($C$190+(Drivers!$C$674-$C$190)*(Drivers!$C$673-E105:E110-E$189)/Drivers!$C$673))*E20/SUMPRODUCT(D105:D110,H105:H110))-E20))/Drivers!$C$77</f>
        <v>179.329863197333</v>
      </c>
      <c r="F190" s="64" t="n">
        <f aca="false">(((SUMPRODUCT(D105:D110,($C$190+(Drivers!$C$674-$C$190)*(Drivers!$C$673-E105:E110-F$189)/Drivers!$C$673))*E20/SUMPRODUCT(D105:D110,H105:H110))+E21+E22+Drivers!$C$577+('3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Forecast'!E48-Drivers!$C$401*Drivers!$C$402)-Drivers!$C$390*((SUMPRODUCT(D105:D110,($C$190+(Drivers!$C$674-$C$190)*(Drivers!$C$673-E105:E110-F$189)/Drivers!$C$673))*E20/SUMPRODUCT(D105:D110,H105:H110))-E20))/Drivers!$C$77</f>
        <v>163.427336941347</v>
      </c>
      <c r="G190" s="64" t="n">
        <f aca="false">(((SUMPRODUCT(D105:D110,($C$190+(Drivers!$C$674-$C$190)*(Drivers!$C$673-E105:E110-G$189)/Drivers!$C$673))*E20/SUMPRODUCT(D105:D110,H105:H110))+E21+E22+Drivers!$C$577+('3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Forecast'!E48-Drivers!$C$401*Drivers!$C$402)-Drivers!$C$390*((SUMPRODUCT(D105:D110,($C$190+(Drivers!$C$674-$C$190)*(Drivers!$C$673-E105:E110-G$189)/Drivers!$C$673))*E20/SUMPRODUCT(D105:D110,H105:H110))-E20))/Drivers!$C$77</f>
        <v>147.52481068536</v>
      </c>
      <c r="H190" s="64" t="n">
        <f aca="false">(((SUMPRODUCT(D105:D110,($C$190+(Drivers!$C$674-$C$190)*(Drivers!$C$673-E105:E110-H$189)/Drivers!$C$673))*E20/SUMPRODUCT(D105:D110,H105:H110))+E21+E22+Drivers!$C$577+('3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Forecast'!E48-Drivers!$C$401*Drivers!$C$402)-Drivers!$C$390*((SUMPRODUCT(D105:D110,($C$190+(Drivers!$C$674-$C$190)*(Drivers!$C$673-E105:E110-H$189)/Drivers!$C$673))*E20/SUMPRODUCT(D105:D110,H105:H110))-E20))/Drivers!$C$77</f>
        <v>131.622284429373</v>
      </c>
    </row>
    <row r="191" customFormat="false" ht="15" hidden="false" customHeight="true" outlineLevel="0" collapsed="false">
      <c r="C191" s="168" t="n">
        <v>4000</v>
      </c>
      <c r="D191" s="64" t="n">
        <f aca="false">(((SUMPRODUCT(D105:D110,($C$191+(Drivers!$C$674-$C$191)*(Drivers!$C$673-E105:E110-D$189)/Drivers!$C$673))*E20/SUMPRODUCT(D105:D110,H105:H110))+E21+E22+Drivers!$C$577+('3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Forecast'!E48-Drivers!$C$401*Drivers!$C$402)-Drivers!$C$390*((SUMPRODUCT(D105:D110,($C$191+(Drivers!$C$674-$C$191)*(Drivers!$C$673-E105:E110-D$189)/Drivers!$C$673))*E20/SUMPRODUCT(D105:D110,H105:H110))-E20))/Drivers!$C$77</f>
        <v>196.729990608346</v>
      </c>
      <c r="E191" s="64" t="n">
        <f aca="false">(((SUMPRODUCT(D105:D110,($C$191+(Drivers!$C$674-$C$191)*(Drivers!$C$673-E105:E110-E$189)/Drivers!$C$673))*E20/SUMPRODUCT(D105:D110,H105:H110))+E21+E22+Drivers!$C$577+('3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Forecast'!E48-Drivers!$C$401*Drivers!$C$402)-Drivers!$C$390*((SUMPRODUCT(D105:D110,($C$191+(Drivers!$C$674-$C$191)*(Drivers!$C$673-E105:E110-E$189)/Drivers!$C$673))*E20/SUMPRODUCT(D105:D110,H105:H110))-E20))/Drivers!$C$77</f>
        <v>181.228789936107</v>
      </c>
      <c r="F191" s="64" t="n">
        <f aca="false">(((SUMPRODUCT(D105:D110,($C$191+(Drivers!$C$674-$C$191)*(Drivers!$C$673-E105:E110-F$189)/Drivers!$C$673))*E20/SUMPRODUCT(D105:D110,H105:H110))+E21+E22+Drivers!$C$577+('3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Forecast'!E48-Drivers!$C$401*Drivers!$C$402)-Drivers!$C$390*((SUMPRODUCT(D105:D110,($C$191+(Drivers!$C$674-$C$191)*(Drivers!$C$673-E105:E110-F$189)/Drivers!$C$673))*E20/SUMPRODUCT(D105:D110,H105:H110))-E20))/Drivers!$C$77</f>
        <v>165.727589263867</v>
      </c>
      <c r="G191" s="64" t="n">
        <f aca="false">(((SUMPRODUCT(D105:D110,($C$191+(Drivers!$C$674-$C$191)*(Drivers!$C$673-E105:E110-G$189)/Drivers!$C$673))*E20/SUMPRODUCT(D105:D110,H105:H110))+E21+E22+Drivers!$C$577+('3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Forecast'!E48-Drivers!$C$401*Drivers!$C$402)-Drivers!$C$390*((SUMPRODUCT(D105:D110,($C$191+(Drivers!$C$674-$C$191)*(Drivers!$C$673-E105:E110-G$189)/Drivers!$C$673))*E20/SUMPRODUCT(D105:D110,H105:H110))-E20))/Drivers!$C$77</f>
        <v>150.226388591628</v>
      </c>
      <c r="H191" s="64" t="n">
        <f aca="false">(((SUMPRODUCT(D105:D110,($C$191+(Drivers!$C$674-$C$191)*(Drivers!$C$673-E105:E110-H$189)/Drivers!$C$673))*E20/SUMPRODUCT(D105:D110,H105:H110))+E21+E22+Drivers!$C$577+('3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Forecast'!E48-Drivers!$C$401*Drivers!$C$402)-Drivers!$C$390*((SUMPRODUCT(D105:D110,($C$191+(Drivers!$C$674-$C$191)*(Drivers!$C$673-E105:E110-H$189)/Drivers!$C$673))*E20/SUMPRODUCT(D105:D110,H105:H110))-E20))/Drivers!$C$77</f>
        <v>134.725187919388</v>
      </c>
    </row>
    <row r="192" customFormat="false" ht="15" hidden="false" customHeight="true" outlineLevel="0" collapsed="false">
      <c r="C192" s="168" t="n">
        <v>5000</v>
      </c>
      <c r="D192" s="64" t="n">
        <f aca="false">(((SUMPRODUCT(D105:D110,($C$192+(Drivers!$C$674-$C$192)*(Drivers!$C$673-E105:E110-D$189)/Drivers!$C$673))*E20/SUMPRODUCT(D105:D110,H105:H110))+E21+E22+Drivers!$C$577+('3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Forecast'!E48-Drivers!$C$401*Drivers!$C$402)-Drivers!$C$390*((SUMPRODUCT(D105:D110,($C$192+(Drivers!$C$674-$C$192)*(Drivers!$C$673-E105:E110-D$189)/Drivers!$C$673))*E20/SUMPRODUCT(D105:D110,H105:H110))-E20))/Drivers!$C$77</f>
        <v>198.227591763372</v>
      </c>
      <c r="E192" s="64" t="n">
        <f aca="false">(((SUMPRODUCT(D105:D110,($C$192+(Drivers!$C$674-$C$192)*(Drivers!$C$673-E105:E110-E$189)/Drivers!$C$673))*E20/SUMPRODUCT(D105:D110,H105:H110))+E21+E22+Drivers!$C$577+('3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Forecast'!E48-Drivers!$C$401*Drivers!$C$402)-Drivers!$C$390*((SUMPRODUCT(D105:D110,($C$192+(Drivers!$C$674-$C$192)*(Drivers!$C$673-E105:E110-E$189)/Drivers!$C$673))*E20/SUMPRODUCT(D105:D110,H105:H110))-E20))/Drivers!$C$77</f>
        <v>183.12771667488</v>
      </c>
      <c r="F192" s="64" t="n">
        <f aca="false">(((SUMPRODUCT(D105:D110,($C$192+(Drivers!$C$674-$C$192)*(Drivers!$C$673-E105:E110-F$189)/Drivers!$C$673))*E20/SUMPRODUCT(D105:D110,H105:H110))+E21+E22+Drivers!$C$577+('3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Forecast'!E48-Drivers!$C$401*Drivers!$C$402)-Drivers!$C$390*((SUMPRODUCT(D105:D110,($C$192+(Drivers!$C$674-$C$192)*(Drivers!$C$673-E105:E110-F$189)/Drivers!$C$673))*E20/SUMPRODUCT(D105:D110,H105:H110))-E20))/Drivers!$C$77</f>
        <v>168.027841586388</v>
      </c>
      <c r="G192" s="64" t="n">
        <f aca="false">(((SUMPRODUCT(D105:D110,($C$192+(Drivers!$C$674-$C$192)*(Drivers!$C$673-E105:E110-G$189)/Drivers!$C$673))*E20/SUMPRODUCT(D105:D110,H105:H110))+E21+E22+Drivers!$C$577+('3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Forecast'!E48-Drivers!$C$401*Drivers!$C$402)-Drivers!$C$390*((SUMPRODUCT(D105:D110,($C$192+(Drivers!$C$674-$C$192)*(Drivers!$C$673-E105:E110-G$189)/Drivers!$C$673))*E20/SUMPRODUCT(D105:D110,H105:H110))-E20))/Drivers!$C$77</f>
        <v>152.927966497895</v>
      </c>
      <c r="H192" s="64" t="n">
        <f aca="false">(((SUMPRODUCT(D105:D110,($C$192+(Drivers!$C$674-$C$192)*(Drivers!$C$673-E105:E110-H$189)/Drivers!$C$673))*E20/SUMPRODUCT(D105:D110,H105:H110))+E21+E22+Drivers!$C$577+('3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Forecast'!E48-Drivers!$C$401*Drivers!$C$402)-Drivers!$C$390*((SUMPRODUCT(D105:D110,($C$192+(Drivers!$C$674-$C$192)*(Drivers!$C$673-E105:E110-H$189)/Drivers!$C$673))*E20/SUMPRODUCT(D105:D110,H105:H110))-E20))/Drivers!$C$77</f>
        <v>137.828091409403</v>
      </c>
    </row>
    <row r="193" customFormat="false" ht="15" hidden="false" customHeight="true" outlineLevel="0" collapsed="false">
      <c r="C193" s="168" t="n">
        <v>6000</v>
      </c>
      <c r="D193" s="64" t="n">
        <f aca="false">(((SUMPRODUCT(D105:D110,($C$193+(Drivers!$C$674-$C$193)*(Drivers!$C$673-E105:E110-D$189)/Drivers!$C$673))*E20/SUMPRODUCT(D105:D110,H105:H110))+E21+E22+Drivers!$C$577+('3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Forecast'!E48-Drivers!$C$401*Drivers!$C$402)-Drivers!$C$390*((SUMPRODUCT(D105:D110,($C$193+(Drivers!$C$674-$C$193)*(Drivers!$C$673-E105:E110-D$189)/Drivers!$C$673))*E20/SUMPRODUCT(D105:D110,H105:H110))-E20))/Drivers!$C$77</f>
        <v>199.725192918398</v>
      </c>
      <c r="E193" s="64" t="n">
        <f aca="false">(((SUMPRODUCT(D105:D110,($C$193+(Drivers!$C$674-$C$193)*(Drivers!$C$673-E105:E110-E$189)/Drivers!$C$673))*E20/SUMPRODUCT(D105:D110,H105:H110))+E21+E22+Drivers!$C$577+('3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Forecast'!E48-Drivers!$C$401*Drivers!$C$402)-Drivers!$C$390*((SUMPRODUCT(D105:D110,($C$193+(Drivers!$C$674-$C$193)*(Drivers!$C$673-E105:E110-E$189)/Drivers!$C$673))*E20/SUMPRODUCT(D105:D110,H105:H110))-E20))/Drivers!$C$77</f>
        <v>185.026643413653</v>
      </c>
      <c r="F193" s="64" t="n">
        <f aca="false">(((SUMPRODUCT(D105:D110,($C$193+(Drivers!$C$674-$C$193)*(Drivers!$C$673-E105:E110-F$189)/Drivers!$C$673))*E20/SUMPRODUCT(D105:D110,H105:H110))+E21+E22+Drivers!$C$577+('3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Forecast'!E48-Drivers!$C$401*Drivers!$C$402)-Drivers!$C$390*((SUMPRODUCT(D105:D110,($C$193+(Drivers!$C$674-$C$193)*(Drivers!$C$673-E105:E110-F$189)/Drivers!$C$673))*E20/SUMPRODUCT(D105:D110,H105:H110))-E20))/Drivers!$C$77</f>
        <v>170.328093908908</v>
      </c>
      <c r="G193" s="64" t="n">
        <f aca="false">(((SUMPRODUCT(D105:D110,($C$193+(Drivers!$C$674-$C$193)*(Drivers!$C$673-E105:E110-G$189)/Drivers!$C$673))*E20/SUMPRODUCT(D105:D110,H105:H110))+E21+E22+Drivers!$C$577+('3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Forecast'!E48-Drivers!$C$401*Drivers!$C$402)-Drivers!$C$390*((SUMPRODUCT(D105:D110,($C$193+(Drivers!$C$674-$C$193)*(Drivers!$C$673-E105:E110-G$189)/Drivers!$C$673))*E20/SUMPRODUCT(D105:D110,H105:H110))-E20))/Drivers!$C$77</f>
        <v>155.629544404163</v>
      </c>
      <c r="H193" s="64" t="n">
        <f aca="false">(((SUMPRODUCT(D105:D110,($C$193+(Drivers!$C$674-$C$193)*(Drivers!$C$673-E105:E110-H$189)/Drivers!$C$673))*E20/SUMPRODUCT(D105:D110,H105:H110))+E21+E22+Drivers!$C$577+('3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Forecast'!E48-Drivers!$C$401*Drivers!$C$402)-Drivers!$C$390*((SUMPRODUCT(D105:D110,($C$193+(Drivers!$C$674-$C$193)*(Drivers!$C$673-E105:E110-H$189)/Drivers!$C$673))*E20/SUMPRODUCT(D105:D110,H105:H110))-E20))/Drivers!$C$77</f>
        <v>140.930994899418</v>
      </c>
    </row>
    <row r="194" customFormat="false" ht="15" hidden="false" customHeight="true" outlineLevel="0" collapsed="false">
      <c r="C194" s="168" t="n">
        <v>8000</v>
      </c>
      <c r="D194" s="64" t="n">
        <f aca="false">(((SUMPRODUCT(D105:D110,($C$194+(Drivers!$C$674-$C$194)*(Drivers!$C$673-E105:E110-D$189)/Drivers!$C$673))*E20/SUMPRODUCT(D105:D110,H105:H110))+E21+E22+Drivers!$C$577+('3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Forecast'!E48-Drivers!$C$401*Drivers!$C$402)-Drivers!$C$390*((SUMPRODUCT(D105:D110,($C$194+(Drivers!$C$674-$C$194)*(Drivers!$C$673-E105:E110-D$189)/Drivers!$C$673))*E20/SUMPRODUCT(D105:D110,H105:H110))-E20))/Drivers!$C$77</f>
        <v>202.72039522845</v>
      </c>
      <c r="E194" s="64" t="n">
        <f aca="false">(((SUMPRODUCT(D105:D110,($C$194+(Drivers!$C$674-$C$194)*(Drivers!$C$673-E105:E110-E$189)/Drivers!$C$673))*E20/SUMPRODUCT(D105:D110,H105:H110))+E21+E22+Drivers!$C$577+('3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Forecast'!E48-Drivers!$C$401*Drivers!$C$402)-Drivers!$C$390*((SUMPRODUCT(D105:D110,($C$194+(Drivers!$C$674-$C$194)*(Drivers!$C$673-E105:E110-E$189)/Drivers!$C$673))*E20/SUMPRODUCT(D105:D110,H105:H110))-E20))/Drivers!$C$77</f>
        <v>188.824496891199</v>
      </c>
      <c r="F194" s="64" t="n">
        <f aca="false">(((SUMPRODUCT(D105:D110,($C$194+(Drivers!$C$674-$C$194)*(Drivers!$C$673-E105:E110-F$189)/Drivers!$C$673))*E20/SUMPRODUCT(D105:D110,H105:H110))+E21+E22+Drivers!$C$577+('3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Forecast'!E48-Drivers!$C$401*Drivers!$C$402)-Drivers!$C$390*((SUMPRODUCT(D105:D110,($C$194+(Drivers!$C$674-$C$194)*(Drivers!$C$673-E105:E110-F$189)/Drivers!$C$673))*E20/SUMPRODUCT(D105:D110,H105:H110))-E20))/Drivers!$C$77</f>
        <v>174.928598553949</v>
      </c>
      <c r="G194" s="64" t="n">
        <f aca="false">(((SUMPRODUCT(D105:D110,($C$194+(Drivers!$C$674-$C$194)*(Drivers!$C$673-E105:E110-G$189)/Drivers!$C$673))*E20/SUMPRODUCT(D105:D110,H105:H110))+E21+E22+Drivers!$C$577+('3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Forecast'!E48-Drivers!$C$401*Drivers!$C$402)-Drivers!$C$390*((SUMPRODUCT(D105:D110,($C$194+(Drivers!$C$674-$C$194)*(Drivers!$C$673-E105:E110-G$189)/Drivers!$C$673))*E20/SUMPRODUCT(D105:D110,H105:H110))-E20))/Drivers!$C$77</f>
        <v>161.032700216699</v>
      </c>
      <c r="H194" s="64" t="n">
        <f aca="false">(((SUMPRODUCT(D105:D110,($C$194+(Drivers!$C$674-$C$194)*(Drivers!$C$673-E105:E110-H$189)/Drivers!$C$673))*E20/SUMPRODUCT(D105:D110,H105:H110))+E21+E22+Drivers!$C$577+('3 Statement Forecast'!E36+'3 Statement Forecast'!E37+'3 Statement Forecast'!E38+'3 Statement Forecast'!E40+'3 Statement Forecast'!E42+'3 Statement Forecast'!E43)-'3 Statement Forecast'!E47-'3 Statement Forecast'!E48-Drivers!$C$401*Drivers!$C$402)-Drivers!$C$390*((SUMPRODUCT(D105:D110,($C$194+(Drivers!$C$674-$C$194)*(Drivers!$C$673-E105:E110-H$189)/Drivers!$C$673))*E20/SUMPRODUCT(D105:D110,H105:H110))-E20))/Drivers!$C$77</f>
        <v>147.136801879448</v>
      </c>
    </row>
    <row r="196" customFormat="false" ht="15" hidden="false" customHeight="true" outlineLevel="0" collapsed="false">
      <c r="A196" s="27" t="s">
        <v>11</v>
      </c>
      <c r="C196" s="27" t="s">
        <v>2682</v>
      </c>
    </row>
    <row r="198" customFormat="false" ht="15" hidden="false" customHeight="true" outlineLevel="0" collapsed="false">
      <c r="C198" s="17" t="s">
        <v>2683</v>
      </c>
      <c r="D198" s="64" t="n">
        <f aca="false">D168</f>
        <v>169.738951211227</v>
      </c>
    </row>
    <row r="199" customFormat="false" ht="15" hidden="false" customHeight="true" outlineLevel="0" collapsed="false">
      <c r="C199" s="17" t="s">
        <v>2684</v>
      </c>
      <c r="D199" s="64" t="n">
        <f aca="false">D167</f>
        <v>173.911278970419</v>
      </c>
    </row>
    <row r="200" customFormat="false" ht="15" hidden="false" customHeight="true" outlineLevel="0" collapsed="false">
      <c r="C200" s="17" t="s">
        <v>2685</v>
      </c>
      <c r="D200" s="115" t="n">
        <f aca="false">D182</f>
        <v>1.01414184245213</v>
      </c>
    </row>
    <row r="201" customFormat="false" ht="15" hidden="false" customHeight="true" outlineLevel="0" collapsed="false">
      <c r="C201" s="17" t="s">
        <v>2686</v>
      </c>
      <c r="D201" s="32" t="n">
        <f aca="false">D153</f>
        <v>622.37222407948</v>
      </c>
    </row>
    <row r="202" customFormat="false" ht="15" hidden="false" customHeight="true" outlineLevel="0" collapsed="false">
      <c r="C202" s="17" t="s">
        <v>2687</v>
      </c>
      <c r="D202" s="34" t="n">
        <f aca="false">D153/(Drivers!$C$179*D166)</f>
        <v>0.106798740610846</v>
      </c>
    </row>
    <row r="203" customFormat="false" ht="15" hidden="false" customHeight="true" outlineLevel="0" collapsed="false">
      <c r="C203" s="17" t="s">
        <v>2688</v>
      </c>
      <c r="D203" s="32" t="n">
        <f aca="false">F152</f>
        <v>16452.8722240795</v>
      </c>
    </row>
    <row r="204" customFormat="false" ht="15" hidden="false" customHeight="true" outlineLevel="0" collapsed="false">
      <c r="C204" s="17" t="s">
        <v>2689</v>
      </c>
      <c r="D204" s="115" t="n">
        <f aca="false">Drivers!$C$179/D168</f>
        <v>0.959002037177862</v>
      </c>
    </row>
    <row r="207" customFormat="false" ht="15" hidden="false" customHeight="true" outlineLevel="0" collapsed="false">
      <c r="B207" s="127" t="s">
        <v>2690</v>
      </c>
    </row>
    <row r="208" customFormat="false" ht="15" hidden="false" customHeight="true" outlineLevel="0" collapsed="false">
      <c r="B208" s="1" t="s">
        <v>2691</v>
      </c>
    </row>
    <row r="210" customFormat="false" ht="15" hidden="false" customHeight="true" outlineLevel="0" collapsed="false">
      <c r="C210" s="128" t="s">
        <v>1530</v>
      </c>
      <c r="D210" s="128" t="s">
        <v>2692</v>
      </c>
      <c r="E210" s="128" t="s">
        <v>2693</v>
      </c>
      <c r="F210" s="128" t="s">
        <v>2694</v>
      </c>
    </row>
    <row r="211" customFormat="false" ht="15" hidden="false" customHeight="true" outlineLevel="0" collapsed="false">
      <c r="C211" s="1" t="s">
        <v>2695</v>
      </c>
      <c r="D211" s="129" t="n">
        <v>1</v>
      </c>
      <c r="E211" s="129" t="n">
        <v>1.15</v>
      </c>
      <c r="F211" s="129" t="n">
        <v>1.35</v>
      </c>
    </row>
    <row r="212" customFormat="false" ht="15" hidden="false" customHeight="true" outlineLevel="0" collapsed="false">
      <c r="C212" s="1" t="s">
        <v>2696</v>
      </c>
      <c r="D212" s="1" t="n">
        <f aca="false">((D105/$D$137*$D$138)*MIN(I105/H105*D211,$D$123)+(D106/$D$137*$D$138)*MIN(I106/H106*D211,$D$123)+(D107/$D$137*$D$138)*MIN(I107/H107*D211,$D$123)+(D108/$D$137*$D$138)*MIN(I108/H108*D211,$D$123)+(D109/$D$137*$D$138)*MIN(I109/H109*D211,$D$123)+(D110/$D$137*$D$138)*MIN(I110/H110*D211,$D$123)+$D$149+$D$150)/$D$152</f>
        <v>1.03931475468744</v>
      </c>
      <c r="E212" s="1" t="n">
        <f aca="false">((D105/$D$137*$D$138)*MIN(I105/H105*E211,$D$123)+(D106/$D$137*$D$138)*MIN(I106/H106*E211,$D$123)+(D107/$D$137*$D$138)*MIN(I107/H107*E211,$D$123)+(D108/$D$137*$D$138)*MIN(I108/H108*E211,$D$123)+(D109/$D$137*$D$138)*MIN(I109/H109*E211,$D$123)+(D110/$D$137*$D$138)*MIN(I110/H110*E211,$D$123)+$D$149+$D$150)/$D$152</f>
        <v>1.13888486198739</v>
      </c>
      <c r="F212" s="1" t="n">
        <f aca="false">((D105/$D$137*$D$138)*MIN(I105/H105*F211,$D$123)+(D106/$D$137*$D$138)*MIN(I106/H106*F211,$D$123)+(D107/$D$137*$D$138)*MIN(I107/H107*F211,$D$123)+(D108/$D$137*$D$138)*MIN(I108/H108*F211,$D$123)+(D109/$D$137*$D$138)*MIN(I109/H109*F211,$D$123)+(D110/$D$137*$D$138)*MIN(I110/H110*F211,$D$123)+$D$149+$D$150)/$D$152</f>
        <v>1.271645005054</v>
      </c>
    </row>
    <row r="213" customFormat="false" ht="15" hidden="false" customHeight="true" outlineLevel="0" collapsed="false">
      <c r="C213" s="1" t="s">
        <v>2697</v>
      </c>
      <c r="D213" s="1" t="n">
        <f aca="false">(D105/$D$137*$D$138)*MIN(I105/H105*D211,$D$123)+(D106/$D$137*$D$138)*MIN(I106/H106*D211,$D$123)+(D107/$D$137*$D$138)*MIN(I107/H107*D211,$D$123)+(D108/$D$137*$D$138)*MIN(I108/H108*D211,$D$123)+(D109/$D$137*$D$138)*MIN(I109/H109*D211,$D$123)+(D110/$D$137*$D$138)*MIN(I110/H110*D211,$D$123)+$D$149+$D$150</f>
        <v>16452.8722240795</v>
      </c>
      <c r="E213" s="1" t="n">
        <f aca="false">(D105/$D$137*$D$138)*MIN(I105/H105*E211,$D$123)+(D106/$D$137*$D$138)*MIN(I106/H106*E211,$D$123)+(D107/$D$137*$D$138)*MIN(I107/H107*E211,$D$123)+(D108/$D$137*$D$138)*MIN(I108/H108*E211,$D$123)+(D109/$D$137*$D$138)*MIN(I109/H109*E211,$D$123)+(D110/$D$137*$D$138)*MIN(I110/H110*E211,$D$123)+$D$149+$D$150</f>
        <v>18029.1168076914</v>
      </c>
      <c r="F213" s="1" t="n">
        <f aca="false">(D105/$D$137*$D$138)*MIN(I105/H105*F211,$D$123)+(D106/$D$137*$D$138)*MIN(I106/H106*F211,$D$123)+(D107/$D$137*$D$138)*MIN(I107/H107*F211,$D$123)+(D108/$D$137*$D$138)*MIN(I108/H108*F211,$D$123)+(D109/$D$137*$D$138)*MIN(I109/H109*F211,$D$123)+(D110/$D$137*$D$138)*MIN(I110/H110*F211,$D$123)+$D$149+$D$150</f>
        <v>20130.7762525073</v>
      </c>
    </row>
    <row r="214" customFormat="false" ht="15" hidden="false" customHeight="true" outlineLevel="0" collapsed="false">
      <c r="C214" s="1" t="s">
        <v>2661</v>
      </c>
      <c r="D214" s="1" t="n">
        <f aca="false">D213-$D$152</f>
        <v>622.37222407948</v>
      </c>
      <c r="E214" s="1" t="n">
        <f aca="false">E213-$D$152</f>
        <v>2198.6168076914</v>
      </c>
      <c r="F214" s="1" t="n">
        <f aca="false">F213-$D$152</f>
        <v>4300.2762525073</v>
      </c>
    </row>
    <row r="215" customFormat="false" ht="15" hidden="false" customHeight="true" outlineLevel="0" collapsed="false">
      <c r="C215" s="1" t="s">
        <v>2698</v>
      </c>
      <c r="D215" s="1" t="n">
        <f aca="false">D213+$D$158+$D$159+$D$160+$D$161+$D$162</f>
        <v>6226.02378714099</v>
      </c>
      <c r="E215" s="1" t="n">
        <f aca="false">E213+$D$158+$D$159+$D$160+$D$161+$D$162</f>
        <v>7802.26837075291</v>
      </c>
      <c r="F215" s="1" t="n">
        <f aca="false">F213+$D$158+$D$159+$D$160+$D$161+$D$162</f>
        <v>9903.92781556881</v>
      </c>
    </row>
    <row r="216" customFormat="false" ht="15" hidden="false" customHeight="true" outlineLevel="0" collapsed="false">
      <c r="C216" s="1" t="s">
        <v>2699</v>
      </c>
      <c r="D216" s="1" t="n">
        <f aca="false">-Drivers!$C$390*D214</f>
        <v>-149.369333779075</v>
      </c>
      <c r="E216" s="1" t="n">
        <f aca="false">-Drivers!$C$390*E214</f>
        <v>-527.668033845936</v>
      </c>
      <c r="F216" s="1" t="n">
        <f aca="false">-Drivers!$C$390*F214</f>
        <v>-1032.06630060175</v>
      </c>
    </row>
    <row r="217" customFormat="false" ht="15" hidden="false" customHeight="true" outlineLevel="0" collapsed="false">
      <c r="C217" s="1" t="s">
        <v>2700</v>
      </c>
      <c r="D217" s="1" t="n">
        <f aca="false">D215+D216</f>
        <v>6076.65445336191</v>
      </c>
      <c r="E217" s="1" t="n">
        <f aca="false">E215+E216</f>
        <v>7274.60033690697</v>
      </c>
      <c r="F217" s="1" t="n">
        <f aca="false">F215+F216</f>
        <v>8871.86151496706</v>
      </c>
    </row>
    <row r="218" customFormat="false" ht="15" hidden="false" customHeight="true" outlineLevel="0" collapsed="false">
      <c r="C218" s="1" t="s">
        <v>2701</v>
      </c>
      <c r="D218" s="1" t="n">
        <f aca="false">D217/$D$166</f>
        <v>169.738951211227</v>
      </c>
      <c r="E218" s="1" t="n">
        <f aca="false">E217/$D$166</f>
        <v>203.201126729245</v>
      </c>
      <c r="F218" s="1" t="n">
        <f aca="false">F217/$D$166</f>
        <v>247.81736075327</v>
      </c>
    </row>
    <row r="219" customFormat="false" ht="15" hidden="false" customHeight="true" outlineLevel="0" collapsed="false">
      <c r="C219" s="1" t="s">
        <v>2702</v>
      </c>
      <c r="D219" s="1" t="n">
        <f aca="false">0.3*Valuation!D222+0.35*D218+0.35*Valuation!D224</f>
        <v>162.565666188363</v>
      </c>
      <c r="E219" s="1" t="n">
        <f aca="false">0.3*Valuation!D222+0.35*E218+0.35*Valuation!D224</f>
        <v>174.27742761967</v>
      </c>
      <c r="F219" s="1" t="n">
        <f aca="false">0.3*Valuation!D222+0.35*F218+0.35*Valuation!D224</f>
        <v>189.893109528078</v>
      </c>
    </row>
    <row r="220" customFormat="false" ht="15" hidden="false" customHeight="true" outlineLevel="0" collapsed="false">
      <c r="C220" s="1" t="s">
        <v>2703</v>
      </c>
      <c r="D220" s="1" t="n">
        <f aca="false">(D219+Rating!$D$21)/Drivers!$C$179-1</f>
        <v>0.0149015001128094</v>
      </c>
      <c r="E220" s="1" t="n">
        <f aca="false">(E219+Rating!$D$21)/Drivers!$C$179-1</f>
        <v>0.0868499055146184</v>
      </c>
      <c r="F220" s="1" t="n">
        <f aca="false">(F219+Rating!$D$21)/Drivers!$C$179-1</f>
        <v>0.18278111271703</v>
      </c>
    </row>
    <row r="222" customFormat="false" ht="15" hidden="false" customHeight="true" outlineLevel="0" collapsed="false">
      <c r="C222" s="1" t="s">
        <v>2704</v>
      </c>
      <c r="D222" s="129" t="n">
        <v>1.214583</v>
      </c>
      <c r="E222" s="1" t="s">
        <v>2705</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O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2" customFormat="false" ht="15" hidden="false" customHeight="true" outlineLevel="0" collapsed="false">
      <c r="C2" s="1" t="str">
        <f aca="false">"Residual Income Valuation - "&amp;Cover!$D$5</f>
        <v>Residual Income Valuation - GATX Corporation</v>
      </c>
    </row>
    <row r="3" customFormat="false" ht="15" hidden="false" customHeight="true" outlineLevel="0" collapsed="false">
      <c r="C3" s="1" t="s">
        <v>1</v>
      </c>
    </row>
    <row r="5" customFormat="false" ht="15" hidden="false" customHeight="true" outlineLevel="0" collapsed="false">
      <c r="C5" s="1" t="s">
        <v>2</v>
      </c>
      <c r="D5" s="1" t="str">
        <f aca="false">Cover!$D$5</f>
        <v>GATX Corporation</v>
      </c>
    </row>
    <row r="6" customFormat="false" ht="15" hidden="false" customHeight="true" outlineLevel="0" collapsed="false">
      <c r="C6" s="1" t="s">
        <v>4</v>
      </c>
      <c r="D6" s="1" t="str">
        <f aca="false">Cover!$D$6</f>
        <v>GATX</v>
      </c>
    </row>
    <row r="7" customFormat="false" ht="15" hidden="false" customHeight="true" outlineLevel="0" collapsed="false">
      <c r="C7" s="1" t="s">
        <v>1551</v>
      </c>
      <c r="D7" s="1" t="n">
        <f aca="false">Cover!$D$7</f>
        <v>1</v>
      </c>
    </row>
    <row r="8" customFormat="false" ht="15" hidden="false" customHeight="true" outlineLevel="0" collapsed="false">
      <c r="C8" s="1" t="s">
        <v>7</v>
      </c>
      <c r="D8" s="157" t="n">
        <f aca="false">Cover!$D$8</f>
        <v>162.78</v>
      </c>
    </row>
    <row r="9" customFormat="false" ht="15" hidden="false" customHeight="true" outlineLevel="0" collapsed="false">
      <c r="C9" s="1" t="s">
        <v>8</v>
      </c>
      <c r="D9" s="158" t="n">
        <f aca="false">Cover!$D$9</f>
        <v>46303</v>
      </c>
    </row>
    <row r="10" customFormat="false" ht="15" hidden="false" customHeight="true" outlineLevel="0" collapsed="false">
      <c r="C10" s="1" t="s">
        <v>9</v>
      </c>
      <c r="D10" s="158" t="n">
        <f aca="false">Cover!$D$10</f>
        <v>46022</v>
      </c>
    </row>
    <row r="11" customFormat="false" ht="15" hidden="false" customHeight="true" outlineLevel="0" collapsed="false">
      <c r="C11" s="1" t="s">
        <v>1552</v>
      </c>
      <c r="D11" s="73" t="n">
        <f aca="false">Cover!$D$11</f>
        <v>35.8</v>
      </c>
    </row>
    <row r="13" customFormat="false" ht="15" hidden="false" customHeight="true" outlineLevel="0" collapsed="false">
      <c r="C13" s="1" t="s">
        <v>2706</v>
      </c>
    </row>
    <row r="14" customFormat="false" ht="15" hidden="false" customHeight="true" outlineLevel="0" collapsed="false">
      <c r="C14" s="1" t="s">
        <v>2707</v>
      </c>
    </row>
    <row r="15" customFormat="false" ht="15" hidden="false" customHeight="true" outlineLevel="0" collapsed="false">
      <c r="C15" s="1" t="s">
        <v>2708</v>
      </c>
    </row>
    <row r="17" customFormat="false" ht="15" hidden="false" customHeight="true" outlineLevel="0" collapsed="false">
      <c r="A17" s="1" t="s">
        <v>11</v>
      </c>
      <c r="C17" s="1" t="s">
        <v>2709</v>
      </c>
    </row>
    <row r="18" customFormat="false" ht="15" hidden="false" customHeight="true" outlineLevel="0" collapsed="false">
      <c r="D18" s="1" t="s">
        <v>1531</v>
      </c>
      <c r="E18" s="1" t="s">
        <v>1532</v>
      </c>
      <c r="F18" s="1" t="s">
        <v>1533</v>
      </c>
      <c r="G18" s="1" t="s">
        <v>1534</v>
      </c>
      <c r="H18" s="1" t="s">
        <v>1535</v>
      </c>
      <c r="I18" s="1" t="s">
        <v>1536</v>
      </c>
      <c r="J18" s="1" t="s">
        <v>1537</v>
      </c>
      <c r="K18" s="1" t="s">
        <v>1538</v>
      </c>
      <c r="L18" s="1" t="s">
        <v>1539</v>
      </c>
      <c r="M18" s="1" t="s">
        <v>1540</v>
      </c>
      <c r="N18" s="1" t="s">
        <v>1541</v>
      </c>
    </row>
    <row r="20" customFormat="false" ht="15" hidden="false" customHeight="true" outlineLevel="0" collapsed="false">
      <c r="C20" s="1" t="s">
        <v>2114</v>
      </c>
      <c r="D20" s="73" t="n">
        <f aca="false">'3 Statement Forecast'!D31</f>
        <v>333.3</v>
      </c>
      <c r="E20" s="73" t="n">
        <f aca="false">'3 Statement Forecast'!E31</f>
        <v>368.354184088351</v>
      </c>
      <c r="F20" s="73" t="n">
        <f aca="false">'3 Statement Forecast'!F31</f>
        <v>358.467180034485</v>
      </c>
      <c r="G20" s="73" t="n">
        <f aca="false">'3 Statement Forecast'!G31</f>
        <v>370.500139618881</v>
      </c>
      <c r="H20" s="73" t="n">
        <f aca="false">'3 Statement Forecast'!H31</f>
        <v>381.636253038615</v>
      </c>
      <c r="I20" s="73" t="n">
        <f aca="false">'3 Statement Forecast'!I31</f>
        <v>374.518878546467</v>
      </c>
      <c r="J20" s="73" t="n">
        <f aca="false">'3 Statement Forecast'!J31</f>
        <v>390.718739050694</v>
      </c>
      <c r="K20" s="73" t="n">
        <f aca="false">'3 Statement Forecast'!K31</f>
        <v>396.982669858683</v>
      </c>
      <c r="L20" s="73" t="n">
        <f aca="false">'3 Statement Forecast'!L31</f>
        <v>408.810729858244</v>
      </c>
      <c r="M20" s="73" t="n">
        <f aca="false">'3 Statement Forecast'!M31</f>
        <v>423.106134402192</v>
      </c>
      <c r="N20" s="73" t="n">
        <f aca="false">'3 Statement Forecast'!N31</f>
        <v>439.922335205436</v>
      </c>
    </row>
    <row r="21" customFormat="false" ht="15" hidden="false" customHeight="true" outlineLevel="0" collapsed="false">
      <c r="C21" s="1" t="s">
        <v>2710</v>
      </c>
      <c r="D21" s="1" t="n">
        <f aca="false">Drivers!$C$599</f>
        <v>2438.9</v>
      </c>
      <c r="E21" s="73" t="n">
        <f aca="false">'3 Statement Forecast'!D58</f>
        <v>2750.5</v>
      </c>
      <c r="F21" s="73" t="n">
        <f aca="false">'3 Statement Forecast'!E58</f>
        <v>2928.94218408835</v>
      </c>
      <c r="G21" s="73" t="n">
        <f aca="false">'3 Statement Forecast'!F58</f>
        <v>3072.55206558602</v>
      </c>
      <c r="H21" s="73" t="n">
        <f aca="false">'3 Statement Forecast'!G58</f>
        <v>3229.713104858</v>
      </c>
      <c r="I21" s="73" t="n">
        <f aca="false">'3 Statement Forecast'!H58</f>
        <v>3399.4771157042</v>
      </c>
      <c r="J21" s="73" t="n">
        <f aca="false">'3 Statement Forecast'!I58</f>
        <v>3563.54100631382</v>
      </c>
      <c r="K21" s="73" t="n">
        <f aca="false">'3 Statement Forecast'!J58</f>
        <v>3735.49465420506</v>
      </c>
      <c r="L21" s="73" t="n">
        <f aca="false">'3 Statement Forecast'!K58</f>
        <v>3910.49900081628</v>
      </c>
      <c r="M21" s="73" t="n">
        <f aca="false">'3 Statement Forecast'!L58</f>
        <v>4091.26392311176</v>
      </c>
      <c r="N21" s="73" t="n">
        <f aca="false">'3 Statement Forecast'!M58</f>
        <v>4278.9910826478</v>
      </c>
    </row>
    <row r="22" customFormat="false" ht="15" hidden="false" customHeight="true" outlineLevel="0" collapsed="false">
      <c r="C22" s="1" t="s">
        <v>2711</v>
      </c>
      <c r="D22" s="73" t="n">
        <f aca="false">'3 Statement Forecast'!D58</f>
        <v>2750.5</v>
      </c>
      <c r="E22" s="73" t="n">
        <f aca="false">'3 Statement Forecast'!E58</f>
        <v>2928.94218408835</v>
      </c>
      <c r="F22" s="73" t="n">
        <f aca="false">'3 Statement Forecast'!F58</f>
        <v>3072.55206558602</v>
      </c>
      <c r="G22" s="73" t="n">
        <f aca="false">'3 Statement Forecast'!G58</f>
        <v>3229.713104858</v>
      </c>
      <c r="H22" s="73" t="n">
        <f aca="false">'3 Statement Forecast'!H58</f>
        <v>3399.4771157042</v>
      </c>
      <c r="I22" s="73" t="n">
        <f aca="false">'3 Statement Forecast'!I58</f>
        <v>3563.54100631382</v>
      </c>
      <c r="J22" s="73" t="n">
        <f aca="false">'3 Statement Forecast'!J58</f>
        <v>3735.49465420506</v>
      </c>
      <c r="K22" s="73" t="n">
        <f aca="false">'3 Statement Forecast'!K58</f>
        <v>3910.49900081628</v>
      </c>
      <c r="L22" s="73" t="n">
        <f aca="false">'3 Statement Forecast'!L58</f>
        <v>4091.26392311176</v>
      </c>
      <c r="M22" s="73" t="n">
        <f aca="false">'3 Statement Forecast'!M58</f>
        <v>4278.9910826478</v>
      </c>
      <c r="N22" s="73" t="n">
        <f aca="false">'3 Statement Forecast'!N58</f>
        <v>4403.91784457692</v>
      </c>
    </row>
    <row r="23" customFormat="false" ht="15" hidden="false" customHeight="true" outlineLevel="0" collapsed="false">
      <c r="C23" s="1" t="s">
        <v>2712</v>
      </c>
      <c r="D23" s="1" t="n">
        <f aca="false">(D21+D22)/2</f>
        <v>2594.7</v>
      </c>
      <c r="E23" s="1" t="n">
        <f aca="false">(E21+E22)/2</f>
        <v>2839.72109204418</v>
      </c>
      <c r="F23" s="1" t="n">
        <f aca="false">(F21+F22)/2</f>
        <v>3000.74712483719</v>
      </c>
      <c r="G23" s="1" t="n">
        <f aca="false">(G21+G22)/2</f>
        <v>3151.13258522201</v>
      </c>
      <c r="H23" s="1" t="n">
        <f aca="false">(H21+H22)/2</f>
        <v>3314.5951102811</v>
      </c>
      <c r="I23" s="1" t="n">
        <f aca="false">(I21+I22)/2</f>
        <v>3481.50906100901</v>
      </c>
      <c r="J23" s="1" t="n">
        <f aca="false">(J21+J22)/2</f>
        <v>3649.51783025944</v>
      </c>
      <c r="K23" s="1" t="n">
        <f aca="false">(K21+K22)/2</f>
        <v>3822.99682751067</v>
      </c>
      <c r="L23" s="1" t="n">
        <f aca="false">(L21+L22)/2</f>
        <v>4000.88146196402</v>
      </c>
      <c r="M23" s="1" t="n">
        <f aca="false">(M21+M22)/2</f>
        <v>4185.12750287978</v>
      </c>
      <c r="N23" s="1" t="n">
        <f aca="false">(N21+N22)/2</f>
        <v>4341.45446361236</v>
      </c>
    </row>
    <row r="24" customFormat="false" ht="15" hidden="false" customHeight="true" outlineLevel="0" collapsed="false">
      <c r="C24" s="1" t="s">
        <v>2713</v>
      </c>
      <c r="D24" s="1" t="n">
        <f aca="false">D20/D23</f>
        <v>0.12845415654989</v>
      </c>
      <c r="E24" s="1" t="n">
        <f aca="false">E20/E23</f>
        <v>0.129714916412157</v>
      </c>
      <c r="F24" s="1" t="n">
        <f aca="false">F20/F23</f>
        <v>0.119459309672398</v>
      </c>
      <c r="G24" s="1" t="n">
        <f aca="false">G20/G23</f>
        <v>0.117576817096313</v>
      </c>
      <c r="H24" s="1" t="n">
        <f aca="false">H20/H23</f>
        <v>0.115138121049798</v>
      </c>
      <c r="I24" s="1" t="n">
        <f aca="false">I20/I23</f>
        <v>0.107573719322139</v>
      </c>
      <c r="J24" s="1" t="n">
        <f aca="false">J20/J23</f>
        <v>0.107060372691183</v>
      </c>
      <c r="K24" s="1" t="n">
        <f aca="false">K20/K23</f>
        <v>0.103840700834998</v>
      </c>
      <c r="L24" s="1" t="n">
        <f aca="false">L20/L23</f>
        <v>0.102180165482223</v>
      </c>
      <c r="M24" s="1" t="n">
        <f aca="false">M20/M23</f>
        <v>0.10109754938435</v>
      </c>
      <c r="N24" s="1" t="n">
        <f aca="false">N20/N23</f>
        <v>0.101330634443507</v>
      </c>
    </row>
    <row r="25" customFormat="false" ht="15" hidden="false" customHeight="true" outlineLevel="0" collapsed="false">
      <c r="C25" s="1" t="s">
        <v>2714</v>
      </c>
      <c r="D25" s="43" t="n">
        <f aca="false">DCF!$D$57</f>
        <v>0.0902</v>
      </c>
      <c r="E25" s="43" t="n">
        <f aca="false">DCF!$D$57</f>
        <v>0.0902</v>
      </c>
      <c r="F25" s="43" t="n">
        <f aca="false">DCF!$D$57</f>
        <v>0.0902</v>
      </c>
      <c r="G25" s="43" t="n">
        <f aca="false">DCF!$D$57</f>
        <v>0.0902</v>
      </c>
      <c r="H25" s="43" t="n">
        <f aca="false">DCF!$D$57</f>
        <v>0.0902</v>
      </c>
      <c r="I25" s="43" t="n">
        <f aca="false">DCF!$D$57</f>
        <v>0.0902</v>
      </c>
      <c r="J25" s="43" t="n">
        <f aca="false">DCF!$D$57</f>
        <v>0.0902</v>
      </c>
      <c r="K25" s="43" t="n">
        <f aca="false">DCF!$D$57</f>
        <v>0.0902</v>
      </c>
      <c r="L25" s="43" t="n">
        <f aca="false">DCF!$D$57</f>
        <v>0.0902</v>
      </c>
      <c r="M25" s="43" t="n">
        <f aca="false">DCF!$D$57</f>
        <v>0.0902</v>
      </c>
      <c r="N25" s="43" t="n">
        <f aca="false">DCF!$D$57</f>
        <v>0.0902</v>
      </c>
    </row>
    <row r="26" customFormat="false" ht="15" hidden="false" customHeight="true" outlineLevel="0" collapsed="false">
      <c r="C26" s="17" t="s">
        <v>2715</v>
      </c>
      <c r="D26" s="1" t="n">
        <f aca="false">D20-D25*D21</f>
        <v>113.31122</v>
      </c>
      <c r="E26" s="1" t="n">
        <f aca="false">E20-E25*E21</f>
        <v>120.259084088351</v>
      </c>
      <c r="F26" s="1" t="n">
        <f aca="false">F20-F25*F21</f>
        <v>94.2765950297156</v>
      </c>
      <c r="G26" s="1" t="n">
        <f aca="false">G20-G25*G21</f>
        <v>93.3559433030214</v>
      </c>
      <c r="H26" s="1" t="n">
        <f aca="false">H20-H25*H21</f>
        <v>90.316130980424</v>
      </c>
      <c r="I26" s="1" t="n">
        <f aca="false">I20-I25*I21</f>
        <v>67.8860427099472</v>
      </c>
      <c r="J26" s="1" t="n">
        <f aca="false">J20-J25*J21</f>
        <v>69.287340281187</v>
      </c>
      <c r="K26" s="1" t="n">
        <f aca="false">K20-K25*K21</f>
        <v>60.0410520493857</v>
      </c>
      <c r="L26" s="1" t="n">
        <f aca="false">L20-L25*L21</f>
        <v>56.0837199846151</v>
      </c>
      <c r="M26" s="1" t="n">
        <f aca="false">M20-M25*M21</f>
        <v>54.0741285375112</v>
      </c>
      <c r="N26" s="1" t="n">
        <f aca="false">N20-N25*N21</f>
        <v>53.9573395506038</v>
      </c>
    </row>
    <row r="27" customFormat="false" ht="15" hidden="false" customHeight="true" outlineLevel="0" collapsed="false">
      <c r="C27" s="1" t="s">
        <v>2716</v>
      </c>
      <c r="D27" s="1" t="n">
        <v>0</v>
      </c>
      <c r="E27" s="1" t="n">
        <v>1</v>
      </c>
      <c r="F27" s="1" t="n">
        <v>2</v>
      </c>
      <c r="G27" s="1" t="n">
        <v>3</v>
      </c>
      <c r="H27" s="1" t="n">
        <v>4</v>
      </c>
      <c r="I27" s="1" t="n">
        <v>5</v>
      </c>
      <c r="J27" s="1" t="n">
        <v>6</v>
      </c>
      <c r="K27" s="1" t="n">
        <v>7</v>
      </c>
      <c r="L27" s="1" t="n">
        <v>8</v>
      </c>
      <c r="M27" s="1" t="n">
        <v>9</v>
      </c>
      <c r="N27" s="1" t="n">
        <v>10</v>
      </c>
    </row>
    <row r="28" customFormat="false" ht="15" hidden="false" customHeight="true" outlineLevel="0" collapsed="false">
      <c r="C28" s="1" t="s">
        <v>2525</v>
      </c>
      <c r="D28" s="1" t="n">
        <f aca="false">1/(1+D25)^D27</f>
        <v>1</v>
      </c>
      <c r="E28" s="1" t="n">
        <f aca="false">1/(1+E25)^E27</f>
        <v>0.91726288754357</v>
      </c>
      <c r="F28" s="1" t="n">
        <f aca="false">1/(1+F25)^F27</f>
        <v>0.841371204864768</v>
      </c>
      <c r="G28" s="1" t="n">
        <f aca="false">1/(1+G25)^G27</f>
        <v>0.77175858087027</v>
      </c>
      <c r="H28" s="1" t="n">
        <f aca="false">1/(1+H25)^H27</f>
        <v>0.707905504375591</v>
      </c>
      <c r="I28" s="1" t="n">
        <f aca="false">1/(1+I25)^I27</f>
        <v>0.649335447051542</v>
      </c>
      <c r="J28" s="1" t="n">
        <f aca="false">1/(1+J25)^J27</f>
        <v>0.595611307146892</v>
      </c>
      <c r="K28" s="1" t="n">
        <f aca="false">1/(1+K25)^K27</f>
        <v>0.546332147447159</v>
      </c>
      <c r="L28" s="1" t="n">
        <f aca="false">1/(1+L25)^L27</f>
        <v>0.50113020312526</v>
      </c>
      <c r="M28" s="1" t="n">
        <f aca="false">1/(1+M25)^M27</f>
        <v>0.459668137153972</v>
      </c>
      <c r="N28" s="1" t="n">
        <f aca="false">1/(1+N25)^N27</f>
        <v>0.421636522797626</v>
      </c>
    </row>
    <row r="29" customFormat="false" ht="15" hidden="false" customHeight="true" outlineLevel="0" collapsed="false">
      <c r="C29" s="1" t="s">
        <v>2717</v>
      </c>
      <c r="D29" s="1" t="n">
        <v>0</v>
      </c>
      <c r="E29" s="1" t="n">
        <f aca="false">E26*E28</f>
        <v>110.309194724226</v>
      </c>
      <c r="F29" s="1" t="n">
        <f aca="false">F26*F28</f>
        <v>79.3216123506996</v>
      </c>
      <c r="G29" s="1" t="n">
        <f aca="false">G26*G28</f>
        <v>72.0482503193452</v>
      </c>
      <c r="H29" s="1" t="n">
        <f aca="false">H26*H28</f>
        <v>63.935286254949</v>
      </c>
      <c r="I29" s="1" t="n">
        <f aca="false">I26*I28</f>
        <v>44.0808138916237</v>
      </c>
      <c r="J29" s="1" t="n">
        <f aca="false">J26*J28</f>
        <v>41.2683233136093</v>
      </c>
      <c r="K29" s="1" t="n">
        <f aca="false">K26*K28</f>
        <v>32.8023569011275</v>
      </c>
      <c r="L29" s="1" t="n">
        <f aca="false">L26*L28</f>
        <v>28.1052459879104</v>
      </c>
      <c r="M29" s="1" t="n">
        <f aca="false">M26*M28</f>
        <v>24.8561539330622</v>
      </c>
      <c r="N29" s="1" t="n">
        <f aca="false">N26*N28</f>
        <v>22.7503850275274</v>
      </c>
    </row>
    <row r="31" customFormat="false" ht="15" hidden="false" customHeight="true" outlineLevel="0" collapsed="false">
      <c r="A31" s="1" t="s">
        <v>11</v>
      </c>
      <c r="C31" s="1" t="s">
        <v>2718</v>
      </c>
    </row>
    <row r="33" customFormat="false" ht="15" hidden="false" customHeight="true" outlineLevel="0" collapsed="false">
      <c r="C33" s="1" t="s">
        <v>2719</v>
      </c>
      <c r="D33" s="1" t="n">
        <f aca="false">Drivers!$C$593</f>
        <v>10</v>
      </c>
    </row>
    <row r="34" customFormat="false" ht="15" hidden="false" customHeight="true" outlineLevel="0" collapsed="false">
      <c r="C34" s="1" t="s">
        <v>2720</v>
      </c>
      <c r="D34" s="1" t="n">
        <f aca="false">N26</f>
        <v>53.9573395506038</v>
      </c>
    </row>
    <row r="35" customFormat="false" ht="15" hidden="false" customHeight="true" outlineLevel="0" collapsed="false">
      <c r="C35" s="1" t="s">
        <v>2721</v>
      </c>
      <c r="D35" s="43" t="n">
        <f aca="false">DCF!$D$57</f>
        <v>0.0902</v>
      </c>
    </row>
    <row r="36" customFormat="false" ht="15" hidden="false" customHeight="true" outlineLevel="0" collapsed="false">
      <c r="C36" s="1" t="s">
        <v>2722</v>
      </c>
      <c r="D36" s="1" t="n">
        <f aca="false">SUMPRODUCT(($D$79:$D$98&lt;=$D$33)*($D$34*(1-$D$79:$D$98/$D$33))/(1+$D$35)^($D$100+$D$79:$D$98))</f>
        <v>75.909221721605</v>
      </c>
    </row>
    <row r="38" customFormat="false" ht="15" hidden="false" customHeight="true" outlineLevel="0" collapsed="false">
      <c r="A38" s="1" t="s">
        <v>11</v>
      </c>
      <c r="C38" s="1" t="s">
        <v>2723</v>
      </c>
    </row>
    <row r="40" customFormat="false" ht="15" hidden="false" customHeight="true" outlineLevel="0" collapsed="false">
      <c r="C40" s="1" t="s">
        <v>2724</v>
      </c>
      <c r="D40" s="73" t="n">
        <f aca="false">D22</f>
        <v>2750.5</v>
      </c>
    </row>
    <row r="41" customFormat="false" ht="15" hidden="false" customHeight="true" outlineLevel="0" collapsed="false">
      <c r="C41" s="1" t="s">
        <v>2725</v>
      </c>
      <c r="D41" s="1" t="n">
        <f aca="false">SUM(E29:N29)</f>
        <v>519.47762270408</v>
      </c>
    </row>
    <row r="42" customFormat="false" ht="15" hidden="false" customHeight="true" outlineLevel="0" collapsed="false">
      <c r="C42" s="1" t="s">
        <v>2726</v>
      </c>
      <c r="D42" s="1" t="n">
        <f aca="false">D36</f>
        <v>75.909221721605</v>
      </c>
    </row>
    <row r="43" customFormat="false" ht="15" hidden="false" customHeight="true" outlineLevel="0" collapsed="false">
      <c r="C43" s="1" t="s">
        <v>2727</v>
      </c>
      <c r="D43" s="1" t="n">
        <f aca="false">D40+D41+D42</f>
        <v>3345.88684442568</v>
      </c>
    </row>
    <row r="44" customFormat="false" ht="15" hidden="false" customHeight="true" outlineLevel="0" collapsed="false">
      <c r="C44" s="1" t="s">
        <v>2602</v>
      </c>
      <c r="D44" s="73" t="n">
        <f aca="false">Drivers!$C$77</f>
        <v>35.8</v>
      </c>
    </row>
    <row r="45" customFormat="false" ht="15" hidden="false" customHeight="true" outlineLevel="0" collapsed="false">
      <c r="C45" s="1" t="s">
        <v>2728</v>
      </c>
      <c r="D45" s="1" t="n">
        <f aca="false">D43/D44</f>
        <v>93.4605263806057</v>
      </c>
    </row>
    <row r="46" customFormat="false" ht="15" hidden="false" customHeight="true" outlineLevel="0" collapsed="false">
      <c r="C46" s="1" t="s">
        <v>2729</v>
      </c>
      <c r="D46" s="1" t="n">
        <f aca="false">D40/D44</f>
        <v>76.8296089385475</v>
      </c>
    </row>
    <row r="47" customFormat="false" ht="15" hidden="false" customHeight="true" outlineLevel="0" collapsed="false">
      <c r="C47" s="1" t="s">
        <v>2730</v>
      </c>
      <c r="D47" s="1" t="n">
        <f aca="false">D45/D46</f>
        <v>1.21646494980029</v>
      </c>
    </row>
    <row r="48" customFormat="false" ht="15" hidden="false" customHeight="true" outlineLevel="0" collapsed="false">
      <c r="C48" s="1" t="s">
        <v>2731</v>
      </c>
      <c r="D48" s="1" t="n">
        <f aca="false">(F24-Drivers!$C$594)/(DCF!$D$57-Drivers!$C$594)</f>
        <v>1.53005995783331</v>
      </c>
    </row>
    <row r="49" customFormat="false" ht="15" hidden="false" customHeight="true" outlineLevel="0" collapsed="false">
      <c r="C49" s="1" t="s">
        <v>145</v>
      </c>
      <c r="D49" s="73" t="n">
        <f aca="false">Drivers!$C$179</f>
        <v>162.78</v>
      </c>
    </row>
    <row r="50" customFormat="false" ht="15" hidden="false" customHeight="true" outlineLevel="0" collapsed="false">
      <c r="C50" s="1" t="s">
        <v>2732</v>
      </c>
      <c r="D50" s="1" t="n">
        <f aca="false">D45/D49-1</f>
        <v>-0.425847607933372</v>
      </c>
    </row>
    <row r="52" customFormat="false" ht="15" hidden="false" customHeight="true" outlineLevel="0" collapsed="false">
      <c r="A52" s="1" t="s">
        <v>11</v>
      </c>
      <c r="C52" s="1" t="s">
        <v>2733</v>
      </c>
    </row>
    <row r="54" customFormat="false" ht="15" hidden="false" customHeight="true" outlineLevel="0" collapsed="false">
      <c r="C54" s="1" t="s">
        <v>2734</v>
      </c>
      <c r="D54" s="1" t="n">
        <f aca="false">D20-'3 Statement Forecast'!D31</f>
        <v>0</v>
      </c>
      <c r="E54" s="1" t="n">
        <f aca="false">E20-'3 Statement Forecast'!E31</f>
        <v>0</v>
      </c>
      <c r="F54" s="1" t="n">
        <f aca="false">F20-'3 Statement Forecast'!F31</f>
        <v>0</v>
      </c>
      <c r="G54" s="1" t="n">
        <f aca="false">G20-'3 Statement Forecast'!G31</f>
        <v>0</v>
      </c>
      <c r="H54" s="1" t="n">
        <f aca="false">H20-'3 Statement Forecast'!H31</f>
        <v>0</v>
      </c>
      <c r="I54" s="1" t="n">
        <f aca="false">I20-'3 Statement Forecast'!I31</f>
        <v>0</v>
      </c>
      <c r="J54" s="1" t="n">
        <f aca="false">J20-'3 Statement Forecast'!J31</f>
        <v>0</v>
      </c>
      <c r="K54" s="1" t="n">
        <f aca="false">K20-'3 Statement Forecast'!K31</f>
        <v>0</v>
      </c>
      <c r="L54" s="1" t="n">
        <f aca="false">L20-'3 Statement Forecast'!L31</f>
        <v>0</v>
      </c>
      <c r="M54" s="1" t="n">
        <f aca="false">M20-'3 Statement Forecast'!M31</f>
        <v>0</v>
      </c>
      <c r="N54" s="1" t="n">
        <f aca="false">N20-'3 Statement Forecast'!N31</f>
        <v>0</v>
      </c>
    </row>
    <row r="55" customFormat="false" ht="15" hidden="false" customHeight="true" outlineLevel="0" collapsed="false">
      <c r="C55" s="17" t="s">
        <v>2735</v>
      </c>
      <c r="D55" s="1" t="n">
        <f aca="false">(D22-D21)-(D20+'3 Statement Forecast'!D86+'3 Statement Forecast'!D85+Drivers!$C$83)+(-'3 Statement Forecast'!D83*(1-1/Drivers!$C$402))</f>
        <v>105.099999999999</v>
      </c>
      <c r="E55" s="1" t="n">
        <f aca="false">(E22-E21)-(E20+'3 Statement Forecast'!E86+'3 Statement Forecast'!E85+Drivers!$C$83)+(-'3 Statement Forecast'!E83*(1-1/Drivers!$C$402))</f>
        <v>-8.5265128291212E-014</v>
      </c>
      <c r="F55" s="1" t="n">
        <f aca="false">(F22-F21)-(F20+'3 Statement Forecast'!F86+'3 Statement Forecast'!F85+Drivers!$C$83)+(-'3 Statement Forecast'!F83*(1-1/Drivers!$C$402))</f>
        <v>0</v>
      </c>
      <c r="G55" s="1" t="n">
        <f aca="false">(G22-G21)-(G20+'3 Statement Forecast'!G86+'3 Statement Forecast'!G85+Drivers!$C$83)+(-'3 Statement Forecast'!G83*(1-1/Drivers!$C$402))</f>
        <v>-7.8159700933611E-013</v>
      </c>
      <c r="H55" s="1" t="n">
        <f aca="false">(H22-H21)-(H20+'3 Statement Forecast'!H86+'3 Statement Forecast'!H85+Drivers!$C$83)+(-'3 Statement Forecast'!H83*(1-1/Drivers!$C$402))</f>
        <v>-3.83693077310454E-013</v>
      </c>
      <c r="I55" s="1" t="n">
        <f aca="false">(I22-I21)-(I20+'3 Statement Forecast'!I86+'3 Statement Forecast'!I85+Drivers!$C$83)+(-'3 Statement Forecast'!I83*(1-1/Drivers!$C$402))</f>
        <v>-2.70006239588838E-013</v>
      </c>
      <c r="J55" s="1" t="n">
        <f aca="false">(J22-J21)-(J20+'3 Statement Forecast'!J86+'3 Statement Forecast'!J85+Drivers!$C$83)+(-'3 Statement Forecast'!J83*(1-1/Drivers!$C$402))</f>
        <v>0</v>
      </c>
      <c r="K55" s="1" t="n">
        <f aca="false">(K22-K21)-(K20+'3 Statement Forecast'!K86+'3 Statement Forecast'!K85+Drivers!$C$83)+(-'3 Statement Forecast'!K83*(1-1/Drivers!$C$402))</f>
        <v>1.84741111297626E-013</v>
      </c>
      <c r="L55" s="1" t="n">
        <f aca="false">(L22-L21)-(L20+'3 Statement Forecast'!L86+'3 Statement Forecast'!L85+Drivers!$C$83)+(-'3 Statement Forecast'!L83*(1-1/Drivers!$C$402))</f>
        <v>-1.52056145452661E-012</v>
      </c>
      <c r="M55" s="1" t="n">
        <f aca="false">(M22-M21)-(M20+'3 Statement Forecast'!M86+'3 Statement Forecast'!M85+Drivers!$C$83)+(-'3 Statement Forecast'!M83*(1-1/Drivers!$C$402))</f>
        <v>-9.52127265918534E-013</v>
      </c>
      <c r="N55" s="1" t="n">
        <f aca="false">(N22-N21)-(N20+'3 Statement Forecast'!N86+'3 Statement Forecast'!N85+Drivers!$C$83)+(-'3 Statement Forecast'!N83*(1-1/Drivers!$C$402))</f>
        <v>-70.9903287919645</v>
      </c>
      <c r="O55" s="1" t="s">
        <v>2736</v>
      </c>
    </row>
    <row r="57" customFormat="false" ht="15" hidden="false" customHeight="true" outlineLevel="0" collapsed="false">
      <c r="A57" s="1" t="s">
        <v>11</v>
      </c>
      <c r="C57" s="1" t="s">
        <v>2737</v>
      </c>
    </row>
    <row r="58" customFormat="false" ht="15" hidden="false" customHeight="true" outlineLevel="0" collapsed="false">
      <c r="C58" s="1" t="s">
        <v>2738</v>
      </c>
    </row>
    <row r="59" customFormat="false" ht="15" hidden="false" customHeight="true" outlineLevel="0" collapsed="false">
      <c r="D59" s="1" t="n">
        <v>5</v>
      </c>
      <c r="E59" s="1" t="n">
        <v>10</v>
      </c>
      <c r="F59" s="1" t="n">
        <v>15</v>
      </c>
      <c r="G59" s="1" t="n">
        <v>20</v>
      </c>
    </row>
    <row r="60" customFormat="false" ht="15" hidden="false" customHeight="true" outlineLevel="0" collapsed="false">
      <c r="C60" s="75" t="n">
        <f aca="false">DCF!$D$57-Drivers!$C$603</f>
        <v>0.0802</v>
      </c>
      <c r="D60" s="1" t="n">
        <f aca="false">($D$40+SUMPRODUCT(($E$24:$N$24-$C60)*$E$21:$N$21/(1+$C60)^$E$79:$N$79)+SUMPRODUCT(($D$79:$D$98&lt;=$D$59)*($N$26*(1-$D$79:$D$98/$D$59))/(1+$C60)^($D$100+$D$79:$D$98)))/$D$44</f>
        <v>97.7056906427132</v>
      </c>
      <c r="E60" s="1" t="n">
        <f aca="false">($D$40+SUMPRODUCT(($E$24:$N$24-$C60)*$E$21:$N$21/(1+$C60)^$E$79:$N$79)+SUMPRODUCT(($D$79:$D$98&lt;=$E$59)*($N$26*(1-$D$79:$D$98/$E$59))/(1+$C60)^($D$100+$D$79:$D$98)))/$D$44</f>
        <v>98.9043829146955</v>
      </c>
      <c r="F60" s="1" t="n">
        <f aca="false">($D$40+SUMPRODUCT(($E$24:$N$24-$C60)*$E$21:$N$21/(1+$C60)^$E$79:$N$79)+SUMPRODUCT(($D$79:$D$98&lt;=$F$59)*($N$26*(1-$D$79:$D$98/$F$59))/(1+$C60)^($D$100+$D$79:$D$98)))/$D$44</f>
        <v>99.8473169111813</v>
      </c>
      <c r="G60" s="1" t="n">
        <f aca="false">($D$40+SUMPRODUCT(($E$24:$N$24-$C60)*$E$21:$N$21/(1+$C60)^$E$79:$N$79)+SUMPRODUCT(($D$79:$D$98&lt;=$G$59)*($N$26*(1-$D$79:$D$98/$G$59))/(1+$C60)^($D$100+$D$79:$D$98)))/$D$44</f>
        <v>100.595883561386</v>
      </c>
    </row>
    <row r="61" customFormat="false" ht="15" hidden="false" customHeight="true" outlineLevel="0" collapsed="false">
      <c r="C61" s="75" t="n">
        <f aca="false">DCF!$D$57-Drivers!$C$604</f>
        <v>0.0852</v>
      </c>
      <c r="D61" s="1" t="n">
        <f aca="false">($D$40+SUMPRODUCT(($E$24:$N$24-$C61)*$E$21:$N$21/(1+$C61)^$E$79:$N$79)+SUMPRODUCT(($D$79:$D$98&lt;=$D$59)*($N$26*(1-$D$79:$D$98/$D$59))/(1+$C61)^($D$100+$D$79:$D$98)))/$D$44</f>
        <v>94.1438473868368</v>
      </c>
      <c r="E61" s="1" t="n">
        <f aca="false">($D$40+SUMPRODUCT(($E$24:$N$24-$C61)*$E$21:$N$21/(1+$C61)^$E$79:$N$79)+SUMPRODUCT(($D$79:$D$98&lt;=$E$59)*($N$26*(1-$D$79:$D$98/$E$59))/(1+$C61)^($D$100+$D$79:$D$98)))/$D$44</f>
        <v>95.2639536103056</v>
      </c>
      <c r="F61" s="1" t="n">
        <f aca="false">($D$40+SUMPRODUCT(($E$24:$N$24-$C61)*$E$21:$N$21/(1+$C61)^$E$79:$N$79)+SUMPRODUCT(($D$79:$D$98&lt;=$F$59)*($N$26*(1-$D$79:$D$98/$F$59))/(1+$C61)^($D$100+$D$79:$D$98)))/$D$44</f>
        <v>96.1334792404002</v>
      </c>
      <c r="G61" s="1" t="n">
        <f aca="false">($D$40+SUMPRODUCT(($E$24:$N$24-$C61)*$E$21:$N$21/(1+$C61)^$E$79:$N$79)+SUMPRODUCT(($D$79:$D$98&lt;=$G$59)*($N$26*(1-$D$79:$D$98/$G$59))/(1+$C61)^($D$100+$D$79:$D$98)))/$D$44</f>
        <v>96.8154892449938</v>
      </c>
    </row>
    <row r="62" customFormat="false" ht="15" hidden="false" customHeight="true" outlineLevel="0" collapsed="false">
      <c r="C62" s="43" t="n">
        <f aca="false">DCF!$D$57</f>
        <v>0.0902</v>
      </c>
      <c r="D62" s="1" t="n">
        <f aca="false">($D$40+SUMPRODUCT(($E$24:$N$24-$C62)*$E$21:$N$21/(1+$C62)^$E$79:$N$79)+SUMPRODUCT(($D$79:$D$98&lt;=$D$59)*($N$26*(1-$D$79:$D$98/$D$59))/(1+$C62)^($D$100+$D$79:$D$98)))/$D$44</f>
        <v>90.7453622673544</v>
      </c>
      <c r="E62" s="1" t="n">
        <f aca="false">($D$40+SUMPRODUCT(($E$24:$N$24-$C62)*$E$21:$N$21/(1+$C62)^$E$79:$N$79)+SUMPRODUCT(($D$79:$D$98&lt;=$E$59)*($N$26*(1-$D$79:$D$98/$E$59))/(1+$C62)^($D$100+$D$79:$D$98)))/$D$44</f>
        <v>91.792448770464</v>
      </c>
      <c r="F62" s="1" t="n">
        <f aca="false">($D$40+SUMPRODUCT(($E$24:$N$24-$C62)*$E$21:$N$21/(1+$C62)^$E$79:$N$79)+SUMPRODUCT(($D$79:$D$98&lt;=$F$59)*($N$26*(1-$D$79:$D$98/$F$59))/(1+$C62)^($D$100+$D$79:$D$98)))/$D$44</f>
        <v>92.5947511932328</v>
      </c>
      <c r="G62" s="1" t="n">
        <f aca="false">($D$40+SUMPRODUCT(($E$24:$N$24-$C62)*$E$21:$N$21/(1+$C62)^$E$79:$N$79)+SUMPRODUCT(($D$79:$D$98&lt;=$G$59)*($N$26*(1-$D$79:$D$98/$G$59))/(1+$C62)^($D$100+$D$79:$D$98)))/$D$44</f>
        <v>93.2166473607369</v>
      </c>
    </row>
    <row r="63" customFormat="false" ht="15" hidden="false" customHeight="true" outlineLevel="0" collapsed="false">
      <c r="C63" s="75" t="n">
        <f aca="false">DCF!$D$57+Drivers!$C$604</f>
        <v>0.0952</v>
      </c>
      <c r="D63" s="1" t="n">
        <f aca="false">($D$40+SUMPRODUCT(($E$24:$N$24-$C63)*$E$21:$N$21/(1+$C63)^$E$79:$N$79)+SUMPRODUCT(($D$79:$D$98&lt;=$D$59)*($N$26*(1-$D$79:$D$98/$D$59))/(1+$C63)^($D$100+$D$79:$D$98)))/$D$44</f>
        <v>87.501773648144</v>
      </c>
      <c r="E63" s="1" t="n">
        <f aca="false">($D$40+SUMPRODUCT(($E$24:$N$24-$C63)*$E$21:$N$21/(1+$C63)^$E$79:$N$79)+SUMPRODUCT(($D$79:$D$98&lt;=$E$59)*($N$26*(1-$D$79:$D$98/$E$59))/(1+$C63)^($D$100+$D$79:$D$98)))/$D$44</f>
        <v>88.480983973236</v>
      </c>
      <c r="F63" s="1" t="n">
        <f aca="false">($D$40+SUMPRODUCT(($E$24:$N$24-$C63)*$E$21:$N$21/(1+$C63)^$E$79:$N$79)+SUMPRODUCT(($D$79:$D$98&lt;=$F$59)*($N$26*(1-$D$79:$D$98/$F$59))/(1+$C63)^($D$100+$D$79:$D$98)))/$D$44</f>
        <v>89.2216899106702</v>
      </c>
      <c r="G63" s="1" t="n">
        <f aca="false">($D$40+SUMPRODUCT(($E$24:$N$24-$C63)*$E$21:$N$21/(1+$C63)^$E$79:$N$79)+SUMPRODUCT(($D$79:$D$98&lt;=$G$59)*($N$26*(1-$D$79:$D$98/$G$59))/(1+$C63)^($D$100+$D$79:$D$98)))/$D$44</f>
        <v>89.789245025619</v>
      </c>
    </row>
    <row r="64" customFormat="false" ht="15" hidden="false" customHeight="true" outlineLevel="0" collapsed="false">
      <c r="C64" s="75" t="n">
        <f aca="false">DCF!$D$57+Drivers!$C$603</f>
        <v>0.1002</v>
      </c>
      <c r="D64" s="1" t="n">
        <f aca="false">($D$40+SUMPRODUCT(($E$24:$N$24-$C64)*$E$21:$N$21/(1+$C64)^$E$79:$N$79)+SUMPRODUCT(($D$79:$D$98&lt;=$D$59)*($N$26*(1-$D$79:$D$98/$D$59))/(1+$C64)^($D$100+$D$79:$D$98)))/$D$44</f>
        <v>84.4051004029148</v>
      </c>
      <c r="E64" s="1" t="n">
        <f aca="false">($D$40+SUMPRODUCT(($E$24:$N$24-$C64)*$E$21:$N$21/(1+$C64)^$E$79:$N$79)+SUMPRODUCT(($D$79:$D$98&lt;=$E$59)*($N$26*(1-$D$79:$D$98/$E$59))/(1+$C64)^($D$100+$D$79:$D$98)))/$D$44</f>
        <v>85.3211895266041</v>
      </c>
      <c r="F64" s="1" t="n">
        <f aca="false">($D$40+SUMPRODUCT(($E$24:$N$24-$C64)*$E$21:$N$21/(1+$C64)^$E$79:$N$79)+SUMPRODUCT(($D$79:$D$98&lt;=$F$59)*($N$26*(1-$D$79:$D$98/$F$59))/(1+$C64)^($D$100+$D$79:$D$98)))/$D$44</f>
        <v>86.005420863989</v>
      </c>
      <c r="G64" s="1" t="n">
        <f aca="false">($D$40+SUMPRODUCT(($E$24:$N$24-$C64)*$E$21:$N$21/(1+$C64)^$E$79:$N$79)+SUMPRODUCT(($D$79:$D$98&lt;=$G$59)*($N$26*(1-$D$79:$D$98/$G$59))/(1+$C64)^($D$100+$D$79:$D$98)))/$D$44</f>
        <v>86.5238117769614</v>
      </c>
    </row>
    <row r="66" customFormat="false" ht="15" hidden="false" customHeight="true" outlineLevel="0" collapsed="false">
      <c r="A66" s="1" t="s">
        <v>11</v>
      </c>
      <c r="C66" s="1" t="s">
        <v>2609</v>
      </c>
    </row>
    <row r="68" customFormat="false" ht="15" hidden="false" customHeight="true" outlineLevel="0" collapsed="false">
      <c r="C68" s="1" t="s">
        <v>2739</v>
      </c>
      <c r="D68" s="1" t="n">
        <f aca="false">E24</f>
        <v>0.129714916412157</v>
      </c>
    </row>
    <row r="69" customFormat="false" ht="15" hidden="false" customHeight="true" outlineLevel="0" collapsed="false">
      <c r="C69" s="1" t="s">
        <v>2740</v>
      </c>
      <c r="D69" s="1" t="n">
        <f aca="false">F24</f>
        <v>0.119459309672398</v>
      </c>
    </row>
    <row r="70" customFormat="false" ht="15" hidden="false" customHeight="true" outlineLevel="0" collapsed="false">
      <c r="C70" s="1" t="s">
        <v>2741</v>
      </c>
      <c r="D70" s="1" t="n">
        <f aca="false">I24</f>
        <v>0.107573719322139</v>
      </c>
    </row>
    <row r="71" customFormat="false" ht="15" hidden="false" customHeight="true" outlineLevel="0" collapsed="false">
      <c r="C71" s="1" t="s">
        <v>2728</v>
      </c>
      <c r="D71" s="1" t="n">
        <f aca="false">D45</f>
        <v>93.4605263806057</v>
      </c>
    </row>
    <row r="72" customFormat="false" ht="15" hidden="false" customHeight="true" outlineLevel="0" collapsed="false">
      <c r="C72" s="1" t="s">
        <v>2742</v>
      </c>
      <c r="D72" s="1" t="n">
        <f aca="false">D47</f>
        <v>1.21646494980029</v>
      </c>
    </row>
    <row r="73" customFormat="false" ht="15" hidden="false" customHeight="true" outlineLevel="0" collapsed="false">
      <c r="C73" s="1" t="s">
        <v>2743</v>
      </c>
      <c r="D73" s="1" t="n">
        <f aca="false">D48</f>
        <v>1.53005995783331</v>
      </c>
    </row>
    <row r="74" customFormat="false" ht="15" hidden="false" customHeight="true" outlineLevel="0" collapsed="false">
      <c r="C74" s="1" t="s">
        <v>2744</v>
      </c>
      <c r="D74" s="1" t="n">
        <f aca="false">MAX(ABS(D54),ABS(E54),ABS(F54),ABS(G54),ABS(H54),ABS(I54),ABS(J54),ABS(K54),ABS(L54),ABS(M54),ABS(N54))</f>
        <v>0</v>
      </c>
    </row>
    <row r="75" customFormat="false" ht="15" hidden="false" customHeight="true" outlineLevel="0" collapsed="false">
      <c r="C75" s="1" t="s">
        <v>2745</v>
      </c>
      <c r="D75" s="1" t="n">
        <f aca="false">MAX(ABS(E55),ABS(F55),ABS(G55),ABS(H55),ABS(I55),ABS(J55),ABS(K55),ABS(L55),ABS(M55),ABS(N55))</f>
        <v>70.9903287919645</v>
      </c>
    </row>
    <row r="77" customFormat="false" ht="15" hidden="false" customHeight="true" outlineLevel="0" collapsed="false">
      <c r="C77" s="1" t="s">
        <v>2746</v>
      </c>
    </row>
    <row r="78" customFormat="false" ht="15" hidden="false" customHeight="true" outlineLevel="0" collapsed="false">
      <c r="C78" s="1" t="s">
        <v>2747</v>
      </c>
    </row>
    <row r="79" customFormat="false" ht="15" hidden="false" customHeight="true" outlineLevel="0" collapsed="false">
      <c r="C79" s="1" t="s">
        <v>2748</v>
      </c>
      <c r="D79" s="1" t="n">
        <v>1</v>
      </c>
      <c r="E79" s="1" t="n">
        <v>1</v>
      </c>
      <c r="F79" s="1" t="n">
        <v>2</v>
      </c>
      <c r="G79" s="1" t="n">
        <v>3</v>
      </c>
      <c r="H79" s="1" t="n">
        <v>4</v>
      </c>
      <c r="I79" s="1" t="n">
        <v>5</v>
      </c>
      <c r="J79" s="1" t="n">
        <v>6</v>
      </c>
      <c r="K79" s="1" t="n">
        <v>7</v>
      </c>
      <c r="L79" s="1" t="n">
        <v>8</v>
      </c>
      <c r="M79" s="1" t="n">
        <v>9</v>
      </c>
      <c r="N79" s="1" t="n">
        <v>10</v>
      </c>
    </row>
    <row r="80" customFormat="false" ht="15" hidden="false" customHeight="true" outlineLevel="0" collapsed="false">
      <c r="D80" s="1" t="n">
        <v>2</v>
      </c>
    </row>
    <row r="81" customFormat="false" ht="15" hidden="false" customHeight="true" outlineLevel="0" collapsed="false">
      <c r="D81" s="1" t="n">
        <v>3</v>
      </c>
    </row>
    <row r="82" customFormat="false" ht="15" hidden="false" customHeight="true" outlineLevel="0" collapsed="false">
      <c r="D82" s="1" t="n">
        <v>4</v>
      </c>
    </row>
    <row r="83" customFormat="false" ht="15" hidden="false" customHeight="true" outlineLevel="0" collapsed="false">
      <c r="D83" s="1" t="n">
        <v>5</v>
      </c>
    </row>
    <row r="84" customFormat="false" ht="15" hidden="false" customHeight="true" outlineLevel="0" collapsed="false">
      <c r="D84" s="1" t="n">
        <v>6</v>
      </c>
    </row>
    <row r="85" customFormat="false" ht="15" hidden="false" customHeight="true" outlineLevel="0" collapsed="false">
      <c r="D85" s="1" t="n">
        <v>7</v>
      </c>
    </row>
    <row r="86" customFormat="false" ht="15" hidden="false" customHeight="true" outlineLevel="0" collapsed="false">
      <c r="D86" s="1" t="n">
        <v>8</v>
      </c>
    </row>
    <row r="87" customFormat="false" ht="15" hidden="false" customHeight="true" outlineLevel="0" collapsed="false">
      <c r="D87" s="1" t="n">
        <v>9</v>
      </c>
    </row>
    <row r="88" customFormat="false" ht="15" hidden="false" customHeight="true" outlineLevel="0" collapsed="false">
      <c r="D88" s="1" t="n">
        <v>10</v>
      </c>
    </row>
    <row r="89" customFormat="false" ht="15" hidden="false" customHeight="true" outlineLevel="0" collapsed="false">
      <c r="D89" s="1" t="n">
        <v>11</v>
      </c>
    </row>
    <row r="90" customFormat="false" ht="15" hidden="false" customHeight="true" outlineLevel="0" collapsed="false">
      <c r="D90" s="1" t="n">
        <v>12</v>
      </c>
    </row>
    <row r="91" customFormat="false" ht="15" hidden="false" customHeight="true" outlineLevel="0" collapsed="false">
      <c r="D91" s="1" t="n">
        <v>13</v>
      </c>
    </row>
    <row r="92" customFormat="false" ht="15" hidden="false" customHeight="true" outlineLevel="0" collapsed="false">
      <c r="D92" s="1" t="n">
        <v>14</v>
      </c>
    </row>
    <row r="93" customFormat="false" ht="15" hidden="false" customHeight="true" outlineLevel="0" collapsed="false">
      <c r="D93" s="1" t="n">
        <v>15</v>
      </c>
    </row>
    <row r="94" customFormat="false" ht="15" hidden="false" customHeight="true" outlineLevel="0" collapsed="false">
      <c r="D94" s="1" t="n">
        <v>16</v>
      </c>
    </row>
    <row r="95" customFormat="false" ht="15" hidden="false" customHeight="true" outlineLevel="0" collapsed="false">
      <c r="D95" s="1" t="n">
        <v>17</v>
      </c>
    </row>
    <row r="96" customFormat="false" ht="15" hidden="false" customHeight="true" outlineLevel="0" collapsed="false">
      <c r="D96" s="1" t="n">
        <v>18</v>
      </c>
    </row>
    <row r="97" customFormat="false" ht="15" hidden="false" customHeight="true" outlineLevel="0" collapsed="false">
      <c r="D97" s="1" t="n">
        <v>19</v>
      </c>
    </row>
    <row r="98" customFormat="false" ht="15" hidden="false" customHeight="true" outlineLevel="0" collapsed="false">
      <c r="D98" s="1" t="n">
        <v>20</v>
      </c>
    </row>
    <row r="100" customFormat="false" ht="15" hidden="false" customHeight="true" outlineLevel="0" collapsed="false">
      <c r="C100" s="1" t="s">
        <v>2749</v>
      </c>
      <c r="D100" s="1" t="n">
        <v>10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L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2" customFormat="false" ht="15" hidden="false" customHeight="true" outlineLevel="0" collapsed="false">
      <c r="C2" s="1" t="str">
        <f aca="false">"Peer P/B vs ROE Regression - "&amp;Cover!$D$5</f>
        <v>Peer P/B vs ROE Regression - GATX Corporation</v>
      </c>
    </row>
    <row r="3" customFormat="false" ht="15" hidden="false" customHeight="true" outlineLevel="0" collapsed="false">
      <c r="C3" s="1" t="s">
        <v>1</v>
      </c>
    </row>
    <row r="5" customFormat="false" ht="15" hidden="false" customHeight="true" outlineLevel="0" collapsed="false">
      <c r="C5" s="1" t="s">
        <v>2</v>
      </c>
      <c r="D5" s="1" t="str">
        <f aca="false">Cover!$D$5</f>
        <v>GATX Corporation</v>
      </c>
    </row>
    <row r="6" customFormat="false" ht="15" hidden="false" customHeight="true" outlineLevel="0" collapsed="false">
      <c r="C6" s="1" t="s">
        <v>4</v>
      </c>
      <c r="D6" s="1" t="str">
        <f aca="false">Cover!$D$6</f>
        <v>GATX</v>
      </c>
    </row>
    <row r="7" customFormat="false" ht="15" hidden="false" customHeight="true" outlineLevel="0" collapsed="false">
      <c r="C7" s="1" t="s">
        <v>1551</v>
      </c>
      <c r="D7" s="1" t="n">
        <f aca="false">Cover!$D$7</f>
        <v>1</v>
      </c>
    </row>
    <row r="8" customFormat="false" ht="15" hidden="false" customHeight="true" outlineLevel="0" collapsed="false">
      <c r="C8" s="1" t="s">
        <v>7</v>
      </c>
      <c r="D8" s="157" t="n">
        <f aca="false">Cover!$D$8</f>
        <v>162.78</v>
      </c>
    </row>
    <row r="9" customFormat="false" ht="15" hidden="false" customHeight="true" outlineLevel="0" collapsed="false">
      <c r="C9" s="1" t="s">
        <v>8</v>
      </c>
      <c r="D9" s="158" t="n">
        <f aca="false">Cover!$D$9</f>
        <v>46303</v>
      </c>
    </row>
    <row r="10" customFormat="false" ht="15" hidden="false" customHeight="true" outlineLevel="0" collapsed="false">
      <c r="C10" s="1" t="s">
        <v>9</v>
      </c>
      <c r="D10" s="158" t="n">
        <f aca="false">Cover!$D$10</f>
        <v>46022</v>
      </c>
    </row>
    <row r="11" customFormat="false" ht="15" hidden="false" customHeight="true" outlineLevel="0" collapsed="false">
      <c r="C11" s="1" t="s">
        <v>1552</v>
      </c>
      <c r="D11" s="73" t="n">
        <f aca="false">Cover!$D$11</f>
        <v>35.8</v>
      </c>
    </row>
    <row r="13" customFormat="false" ht="15" hidden="false" customHeight="true" outlineLevel="0" collapsed="false">
      <c r="C13" s="1" t="s">
        <v>2750</v>
      </c>
    </row>
    <row r="14" customFormat="false" ht="15" hidden="false" customHeight="true" outlineLevel="0" collapsed="false">
      <c r="C14" s="1" t="s">
        <v>2751</v>
      </c>
    </row>
    <row r="15" customFormat="false" ht="15" hidden="false" customHeight="true" outlineLevel="0" collapsed="false">
      <c r="C15" s="1" t="s">
        <v>2752</v>
      </c>
    </row>
    <row r="17" customFormat="false" ht="15" hidden="false" customHeight="true" outlineLevel="0" collapsed="false">
      <c r="A17" s="1" t="s">
        <v>11</v>
      </c>
      <c r="C17" s="1" t="s">
        <v>2753</v>
      </c>
    </row>
    <row r="18" customFormat="false" ht="15" hidden="false" customHeight="true" outlineLevel="0" collapsed="false">
      <c r="C18" s="1" t="s">
        <v>4</v>
      </c>
      <c r="D18" s="1" t="s">
        <v>2754</v>
      </c>
      <c r="E18" s="1" t="s">
        <v>1999</v>
      </c>
      <c r="F18" s="1" t="s">
        <v>2755</v>
      </c>
      <c r="G18" s="1" t="s">
        <v>2756</v>
      </c>
      <c r="H18" s="1" t="s">
        <v>2757</v>
      </c>
      <c r="I18" s="1" t="s">
        <v>2758</v>
      </c>
      <c r="J18" s="1" t="s">
        <v>2759</v>
      </c>
      <c r="K18" s="1" t="s">
        <v>2760</v>
      </c>
      <c r="L18" s="1" t="s">
        <v>2761</v>
      </c>
    </row>
    <row r="20" customFormat="false" ht="15" hidden="false" customHeight="true" outlineLevel="0" collapsed="false">
      <c r="C20" s="1" t="s">
        <v>5</v>
      </c>
      <c r="D20" s="1" t="s">
        <v>3</v>
      </c>
      <c r="E20" s="1" t="n">
        <f aca="false">Drivers!$C$606</f>
        <v>177.89</v>
      </c>
      <c r="F20" s="1" t="n">
        <f aca="false">Drivers!$C$607</f>
        <v>2.26</v>
      </c>
      <c r="G20" s="1" t="n">
        <f aca="false">Drivers!$C$608</f>
        <v>0.1327</v>
      </c>
      <c r="H20" s="1" t="n">
        <f aca="false">Drivers!$C$654</f>
        <v>0.119459309672398</v>
      </c>
      <c r="I20" s="1" t="n">
        <f aca="false">Drivers!$C$609</f>
        <v>0.0148</v>
      </c>
      <c r="J20" s="1" t="n">
        <f aca="false">Drivers!$C$610</f>
        <v>4.56</v>
      </c>
      <c r="K20" s="1" t="s">
        <v>2762</v>
      </c>
      <c r="L20" s="1" t="s">
        <v>2763</v>
      </c>
    </row>
    <row r="21" customFormat="false" ht="15" hidden="false" customHeight="true" outlineLevel="0" collapsed="false">
      <c r="C21" s="1" t="s">
        <v>2764</v>
      </c>
      <c r="D21" s="1" t="s">
        <v>2765</v>
      </c>
      <c r="E21" s="1" t="n">
        <f aca="false">Drivers!$C$612</f>
        <v>141.64</v>
      </c>
      <c r="F21" s="1" t="n">
        <f aca="false">Drivers!$C$613</f>
        <v>1.21</v>
      </c>
      <c r="G21" s="1" t="n">
        <f aca="false">Drivers!$C$614</f>
        <v>0.1866</v>
      </c>
      <c r="H21" s="1" t="n">
        <f aca="false">Drivers!$C$614</f>
        <v>0.1866</v>
      </c>
      <c r="I21" s="1" t="n">
        <f aca="false">Drivers!$C$615</f>
        <v>0.0104</v>
      </c>
      <c r="J21" s="1" t="n">
        <f aca="false">Drivers!$C$616</f>
        <v>2.29</v>
      </c>
      <c r="K21" s="1" t="s">
        <v>2762</v>
      </c>
      <c r="L21" s="1" t="s">
        <v>2763</v>
      </c>
    </row>
    <row r="22" customFormat="false" ht="15" hidden="false" customHeight="true" outlineLevel="0" collapsed="false">
      <c r="C22" s="1" t="s">
        <v>2766</v>
      </c>
      <c r="D22" s="1" t="s">
        <v>2767</v>
      </c>
      <c r="E22" s="1" t="n">
        <f aca="false">Drivers!$C$618</f>
        <v>28</v>
      </c>
      <c r="F22" s="1" t="n">
        <f aca="false">Drivers!$C$619</f>
        <v>1.95</v>
      </c>
      <c r="G22" s="1" t="n">
        <f aca="false">Drivers!$C$620</f>
        <v>0.1</v>
      </c>
      <c r="H22" s="1" t="n">
        <f aca="false">Drivers!$C$620</f>
        <v>0.1</v>
      </c>
      <c r="I22" s="1" t="n">
        <f aca="false">Drivers!$C$621</f>
        <v>0.0443</v>
      </c>
      <c r="J22" s="1" t="n">
        <f aca="false">Drivers!$C$622</f>
        <v>4.5</v>
      </c>
      <c r="K22" s="1" t="s">
        <v>2762</v>
      </c>
      <c r="L22" s="1" t="s">
        <v>2763</v>
      </c>
    </row>
    <row r="23" customFormat="false" ht="15" hidden="false" customHeight="true" outlineLevel="0" collapsed="false">
      <c r="C23" s="1" t="s">
        <v>2768</v>
      </c>
      <c r="D23" s="1" t="s">
        <v>2769</v>
      </c>
      <c r="E23" s="1" t="n">
        <f aca="false">Drivers!$C$624</f>
        <v>41.82</v>
      </c>
      <c r="F23" s="1" t="n">
        <f aca="false">Drivers!$C$625</f>
        <v>0.82</v>
      </c>
      <c r="G23" s="1" t="n">
        <f aca="false">Drivers!$C$626</f>
        <v>0.0696</v>
      </c>
      <c r="H23" s="1" t="n">
        <f aca="false">Drivers!$C$626</f>
        <v>0.0696</v>
      </c>
      <c r="I23" s="1" t="n">
        <f aca="false">Drivers!$C$627</f>
        <v>0.0325</v>
      </c>
      <c r="J23" s="1" t="n">
        <f aca="false">Drivers!$C$628</f>
        <v>1.2</v>
      </c>
      <c r="K23" s="1" t="s">
        <v>2762</v>
      </c>
      <c r="L23" s="1" t="s">
        <v>2763</v>
      </c>
    </row>
    <row r="24" customFormat="false" ht="15" hidden="false" customHeight="true" outlineLevel="0" collapsed="false">
      <c r="C24" s="1" t="s">
        <v>2770</v>
      </c>
      <c r="D24" s="1" t="s">
        <v>2771</v>
      </c>
      <c r="E24" s="1" t="n">
        <f aca="false">Drivers!$C$630</f>
        <v>54.32</v>
      </c>
      <c r="F24" s="1" t="n">
        <f aca="false">Drivers!$C$631</f>
        <v>1.75</v>
      </c>
      <c r="G24" s="1" t="n">
        <f aca="false">Drivers!$C$632</f>
        <v>0.1259</v>
      </c>
      <c r="H24" s="1" t="n">
        <f aca="false">Drivers!$C$632</f>
        <v>0.1259</v>
      </c>
      <c r="I24" s="1" t="n">
        <f aca="false">Drivers!$C$633</f>
        <v>0.0098</v>
      </c>
      <c r="J24" s="1" t="n">
        <f aca="false">Drivers!$C$634</f>
        <v>6</v>
      </c>
      <c r="K24" s="1" t="s">
        <v>2762</v>
      </c>
      <c r="L24" s="1" t="s">
        <v>2763</v>
      </c>
    </row>
    <row r="25" customFormat="false" ht="15" hidden="false" customHeight="true" outlineLevel="0" collapsed="false">
      <c r="C25" s="1" t="s">
        <v>2772</v>
      </c>
      <c r="D25" s="1" t="s">
        <v>2773</v>
      </c>
      <c r="E25" s="14" t="n">
        <f aca="false">Drivers!$C$697</f>
        <v>61</v>
      </c>
      <c r="F25" s="163" t="n">
        <f aca="false">Drivers!$C$698</f>
        <v>0.86</v>
      </c>
      <c r="G25" s="41" t="n">
        <f aca="false">Drivers!$C$699</f>
        <v>0.1022</v>
      </c>
      <c r="H25" s="41" t="n">
        <f aca="false">Drivers!$C$699</f>
        <v>0.1022</v>
      </c>
      <c r="I25" s="41" t="n">
        <f aca="false">Drivers!$C$700</f>
        <v>0.0135</v>
      </c>
      <c r="J25" s="163" t="n">
        <f aca="false">Drivers!$C$701</f>
        <v>2.32</v>
      </c>
      <c r="K25" s="17" t="s">
        <v>104</v>
      </c>
      <c r="L25" s="17" t="s">
        <v>2774</v>
      </c>
    </row>
    <row r="26" customFormat="false" ht="15" hidden="false" customHeight="true" outlineLevel="0" collapsed="false">
      <c r="C26" s="17" t="s">
        <v>2775</v>
      </c>
      <c r="D26" s="17" t="s">
        <v>2776</v>
      </c>
      <c r="E26" s="14" t="n">
        <f aca="false">Drivers!$C$682</f>
        <v>235.57</v>
      </c>
      <c r="F26" s="163" t="n">
        <f aca="false">Drivers!$C$683</f>
        <v>3.14</v>
      </c>
      <c r="G26" s="41" t="n">
        <f aca="false">Drivers!$C$684</f>
        <v>0.167</v>
      </c>
      <c r="H26" s="41" t="n">
        <f aca="false">Drivers!$C$684</f>
        <v>0.167</v>
      </c>
      <c r="I26" s="41" t="n">
        <f aca="false">Drivers!$C$685</f>
        <v>0.0172</v>
      </c>
      <c r="J26" s="163" t="n">
        <f aca="false">Drivers!$C$686</f>
        <v>2.94</v>
      </c>
      <c r="K26" s="17" t="s">
        <v>104</v>
      </c>
      <c r="L26" s="17" t="s">
        <v>2777</v>
      </c>
    </row>
    <row r="27" customFormat="false" ht="15" hidden="false" customHeight="true" outlineLevel="0" collapsed="false">
      <c r="C27" s="17" t="s">
        <v>2778</v>
      </c>
      <c r="D27" s="17" t="s">
        <v>2779</v>
      </c>
      <c r="E27" s="14" t="n">
        <f aca="false">Drivers!$C$687</f>
        <v>113.23</v>
      </c>
      <c r="F27" s="163" t="n">
        <f aca="false">Drivers!$C$688</f>
        <v>2.22</v>
      </c>
      <c r="G27" s="41" t="n">
        <f aca="false">Drivers!$C$689</f>
        <v>0.1269</v>
      </c>
      <c r="H27" s="41" t="n">
        <f aca="false">Drivers!$C$689</f>
        <v>0.1269</v>
      </c>
      <c r="I27" s="41" t="n">
        <f aca="false">Drivers!$C$690</f>
        <v>0.0175</v>
      </c>
      <c r="J27" s="163" t="n">
        <f aca="false">Drivers!$C$691</f>
        <v>0.47</v>
      </c>
      <c r="K27" s="17" t="s">
        <v>104</v>
      </c>
      <c r="L27" s="17" t="s">
        <v>2780</v>
      </c>
    </row>
    <row r="28" customFormat="false" ht="15" hidden="false" customHeight="true" outlineLevel="0" collapsed="false">
      <c r="C28" s="17" t="s">
        <v>2781</v>
      </c>
      <c r="D28" s="17" t="s">
        <v>2782</v>
      </c>
      <c r="E28" s="14" t="n">
        <f aca="false">Drivers!$C$692</f>
        <v>27</v>
      </c>
      <c r="F28" s="163" t="n">
        <f aca="false">Drivers!$C$693</f>
        <v>0.82</v>
      </c>
      <c r="G28" s="41" t="n">
        <f aca="false">Drivers!$C$694</f>
        <v>0.2135</v>
      </c>
      <c r="H28" s="41" t="n">
        <f aca="false">Drivers!$C$694</f>
        <v>0.2135</v>
      </c>
      <c r="I28" s="41" t="n">
        <f aca="false">Drivers!$C$695</f>
        <v>0.0564</v>
      </c>
      <c r="J28" s="163" t="n">
        <f aca="false">Drivers!$C$696</f>
        <v>0.35</v>
      </c>
      <c r="K28" s="17" t="s">
        <v>104</v>
      </c>
      <c r="L28" s="17" t="s">
        <v>2783</v>
      </c>
    </row>
    <row r="29" customFormat="false" ht="15" hidden="false" customHeight="true" outlineLevel="0" collapsed="false">
      <c r="A29" s="1" t="s">
        <v>11</v>
      </c>
      <c r="C29" s="1" t="s">
        <v>2784</v>
      </c>
    </row>
    <row r="31" customFormat="false" ht="15" hidden="false" customHeight="true" outlineLevel="0" collapsed="false">
      <c r="C31" s="17" t="s">
        <v>2785</v>
      </c>
      <c r="D31" s="115" t="n">
        <f aca="false">SLOPE(F20:F28,G20:G28)</f>
        <v>1.35160234609517</v>
      </c>
    </row>
    <row r="32" customFormat="false" ht="15" hidden="false" customHeight="true" outlineLevel="0" collapsed="false">
      <c r="C32" s="17" t="s">
        <v>2786</v>
      </c>
      <c r="D32" s="115" t="n">
        <f aca="false">INTERCEPT(F20:F28,G20:G28)</f>
        <v>1.48612200971567</v>
      </c>
    </row>
    <row r="33" customFormat="false" ht="15" hidden="false" customHeight="true" outlineLevel="0" collapsed="false">
      <c r="C33" s="17" t="s">
        <v>2787</v>
      </c>
      <c r="D33" s="115" t="n">
        <f aca="false">RSQ(F20:F28,G20:G28)</f>
        <v>0.00581144898166513</v>
      </c>
    </row>
    <row r="35" customFormat="false" ht="15" hidden="false" customHeight="true" outlineLevel="0" collapsed="false">
      <c r="A35" s="1" t="s">
        <v>11</v>
      </c>
      <c r="C35" s="1" t="s">
        <v>2788</v>
      </c>
    </row>
    <row r="37" customFormat="false" ht="15" hidden="false" customHeight="true" outlineLevel="0" collapsed="false">
      <c r="C37" s="1" t="s">
        <v>2789</v>
      </c>
      <c r="D37" s="1" t="n">
        <f aca="false">Drivers!$C$654</f>
        <v>0.119459309672398</v>
      </c>
    </row>
    <row r="38" customFormat="false" ht="15" hidden="false" customHeight="true" outlineLevel="0" collapsed="false">
      <c r="C38" s="1" t="s">
        <v>2790</v>
      </c>
      <c r="D38" s="1" t="n">
        <f aca="false">D32+D31*D37</f>
        <v>1.6475834929318</v>
      </c>
    </row>
    <row r="39" customFormat="false" ht="15" hidden="false" customHeight="true" outlineLevel="0" collapsed="false">
      <c r="C39" s="1" t="s">
        <v>2791</v>
      </c>
      <c r="D39" s="1" t="n">
        <f aca="false">'3 Statement Forecast'!E58/Drivers!$C$77</f>
        <v>81.8140274885014</v>
      </c>
    </row>
    <row r="40" customFormat="false" ht="15" hidden="false" customHeight="true" outlineLevel="0" collapsed="false">
      <c r="C40" s="1" t="s">
        <v>2792</v>
      </c>
      <c r="D40" s="1" t="n">
        <f aca="false">'3 Statement Forecast'!F58/Drivers!$C$78</f>
        <v>87.222696515239</v>
      </c>
    </row>
    <row r="41" customFormat="false" ht="15" hidden="false" customHeight="true" outlineLevel="0" collapsed="false">
      <c r="C41" s="1" t="s">
        <v>2793</v>
      </c>
      <c r="D41" s="1" t="n">
        <f aca="false">D38*D40</f>
        <v>143.706674987508</v>
      </c>
    </row>
    <row r="42" customFormat="false" ht="15" hidden="false" customHeight="true" outlineLevel="0" collapsed="false">
      <c r="C42" s="1" t="s">
        <v>145</v>
      </c>
      <c r="D42" s="73" t="n">
        <f aca="false">Drivers!$C$179</f>
        <v>162.78</v>
      </c>
    </row>
    <row r="43" customFormat="false" ht="15" hidden="false" customHeight="true" outlineLevel="0" collapsed="false">
      <c r="C43" s="1" t="s">
        <v>2794</v>
      </c>
      <c r="D43" s="1" t="n">
        <f aca="false">D41-D42</f>
        <v>-19.0733250124924</v>
      </c>
    </row>
    <row r="44" customFormat="false" ht="15" hidden="false" customHeight="true" outlineLevel="0" collapsed="false">
      <c r="C44" s="1" t="s">
        <v>2795</v>
      </c>
      <c r="D44" s="1" t="n">
        <f aca="false">D41/D42-1</f>
        <v>-0.117172410692299</v>
      </c>
    </row>
    <row r="46" customFormat="false" ht="15" hidden="false" customHeight="true" outlineLevel="0" collapsed="false">
      <c r="A46" s="1" t="s">
        <v>11</v>
      </c>
      <c r="C46" s="1" t="s">
        <v>2796</v>
      </c>
    </row>
    <row r="47" customFormat="false" ht="15" hidden="false" customHeight="true" outlineLevel="0" collapsed="false">
      <c r="C47" s="1" t="s">
        <v>2797</v>
      </c>
    </row>
    <row r="48" customFormat="false" ht="15" hidden="false" customHeight="true" outlineLevel="0" collapsed="false">
      <c r="C48" s="1" t="s">
        <v>2798</v>
      </c>
    </row>
    <row r="49" customFormat="false" ht="15" hidden="false" customHeight="true" outlineLevel="0" collapsed="false">
      <c r="C49" s="1" t="s">
        <v>2799</v>
      </c>
    </row>
    <row r="50" customFormat="false" ht="15" hidden="false" customHeight="true" outlineLevel="0" collapsed="false">
      <c r="C50" s="1" t="s">
        <v>2800</v>
      </c>
    </row>
    <row r="51" customFormat="false" ht="15" hidden="false" customHeight="true" outlineLevel="0" collapsed="false">
      <c r="C51" s="1" t="s">
        <v>2801</v>
      </c>
    </row>
    <row r="52" customFormat="false" ht="15" hidden="false" customHeight="true" outlineLevel="0" collapsed="false">
      <c r="C52" s="1" t="s">
        <v>2802</v>
      </c>
    </row>
    <row r="54" customFormat="false" ht="15" hidden="false" customHeight="true" outlineLevel="0" collapsed="false">
      <c r="A54" s="1" t="s">
        <v>11</v>
      </c>
      <c r="C54" s="1" t="s">
        <v>2609</v>
      </c>
    </row>
    <row r="56" customFormat="false" ht="15" hidden="false" customHeight="true" outlineLevel="0" collapsed="false">
      <c r="C56" s="1" t="s">
        <v>2803</v>
      </c>
      <c r="D56" s="169" t="n">
        <f aca="false">D31</f>
        <v>1.35160234609517</v>
      </c>
    </row>
    <row r="57" customFormat="false" ht="15" hidden="false" customHeight="true" outlineLevel="0" collapsed="false">
      <c r="C57" s="1" t="s">
        <v>2804</v>
      </c>
      <c r="D57" s="169" t="n">
        <f aca="false">D32</f>
        <v>1.48612200971567</v>
      </c>
    </row>
    <row r="58" customFormat="false" ht="15" hidden="false" customHeight="true" outlineLevel="0" collapsed="false">
      <c r="C58" s="1" t="s">
        <v>2805</v>
      </c>
      <c r="D58" s="169" t="n">
        <f aca="false">D33</f>
        <v>0.00581144898166513</v>
      </c>
    </row>
    <row r="59" customFormat="false" ht="15" hidden="false" customHeight="true" outlineLevel="0" collapsed="false">
      <c r="C59" s="1" t="s">
        <v>2806</v>
      </c>
      <c r="D59" s="1" t="n">
        <f aca="false">D38</f>
        <v>1.6475834929318</v>
      </c>
    </row>
    <row r="60" customFormat="false" ht="15" hidden="false" customHeight="true" outlineLevel="0" collapsed="false">
      <c r="C60" s="1" t="s">
        <v>2807</v>
      </c>
      <c r="D60" s="1" t="n">
        <f aca="false">D41</f>
        <v>143.706674987508</v>
      </c>
    </row>
    <row r="61" customFormat="false" ht="15" hidden="false" customHeight="true" outlineLevel="0" collapsed="false">
      <c r="C61" s="1" t="s">
        <v>2808</v>
      </c>
      <c r="D61" s="1" t="n">
        <f aca="false">D44</f>
        <v>-0.117172410692299</v>
      </c>
    </row>
    <row r="63" customFormat="false" ht="15" hidden="false" customHeight="true" outlineLevel="0" collapsed="false">
      <c r="A63" s="27" t="s">
        <v>11</v>
      </c>
      <c r="C63" s="27" t="s">
        <v>2809</v>
      </c>
    </row>
    <row r="65" customFormat="false" ht="15" hidden="false" customHeight="true" outlineLevel="0" collapsed="false">
      <c r="C65" s="17" t="s">
        <v>2810</v>
      </c>
    </row>
    <row r="66" customFormat="false" ht="15" hidden="false" customHeight="true" outlineLevel="0" collapsed="false">
      <c r="C66" s="27" t="s">
        <v>2811</v>
      </c>
      <c r="D66" s="27" t="s">
        <v>2812</v>
      </c>
      <c r="E66" s="27" t="s">
        <v>2813</v>
      </c>
    </row>
    <row r="67" customFormat="false" ht="15" hidden="false" customHeight="true" outlineLevel="0" collapsed="false">
      <c r="C67" s="17" t="s">
        <v>5</v>
      </c>
      <c r="D67" s="163" t="n">
        <f aca="false">F20</f>
        <v>2.26</v>
      </c>
      <c r="E67" s="41" t="n">
        <f aca="false">G20</f>
        <v>0.1327</v>
      </c>
    </row>
    <row r="68" customFormat="false" ht="15" hidden="false" customHeight="true" outlineLevel="0" collapsed="false">
      <c r="C68" s="17" t="s">
        <v>2764</v>
      </c>
      <c r="D68" s="163" t="n">
        <f aca="false">F21</f>
        <v>1.21</v>
      </c>
      <c r="E68" s="41" t="n">
        <f aca="false">G21</f>
        <v>0.1866</v>
      </c>
    </row>
    <row r="69" customFormat="false" ht="15" hidden="false" customHeight="true" outlineLevel="0" collapsed="false">
      <c r="C69" s="17" t="s">
        <v>2770</v>
      </c>
      <c r="D69" s="163" t="n">
        <f aca="false">F24</f>
        <v>1.75</v>
      </c>
      <c r="E69" s="41" t="n">
        <f aca="false">G24</f>
        <v>0.1259</v>
      </c>
    </row>
    <row r="70" customFormat="false" ht="15" hidden="false" customHeight="true" outlineLevel="0" collapsed="false">
      <c r="C70" s="17" t="s">
        <v>2772</v>
      </c>
      <c r="D70" s="163" t="n">
        <f aca="false">F25</f>
        <v>0.86</v>
      </c>
      <c r="E70" s="41" t="n">
        <f aca="false">G25</f>
        <v>0.1022</v>
      </c>
    </row>
    <row r="71" customFormat="false" ht="15" hidden="false" customHeight="true" outlineLevel="0" collapsed="false">
      <c r="C71" s="17" t="s">
        <v>2775</v>
      </c>
      <c r="D71" s="163" t="n">
        <f aca="false">F26</f>
        <v>3.14</v>
      </c>
      <c r="E71" s="41" t="n">
        <f aca="false">G26</f>
        <v>0.167</v>
      </c>
    </row>
    <row r="72" customFormat="false" ht="15" hidden="false" customHeight="true" outlineLevel="0" collapsed="false">
      <c r="C72" s="17" t="s">
        <v>2778</v>
      </c>
      <c r="D72" s="163" t="n">
        <f aca="false">F27</f>
        <v>2.22</v>
      </c>
      <c r="E72" s="41" t="n">
        <f aca="false">G27</f>
        <v>0.1269</v>
      </c>
    </row>
    <row r="73" customFormat="false" ht="15" hidden="false" customHeight="true" outlineLevel="0" collapsed="false">
      <c r="C73" s="17" t="s">
        <v>2781</v>
      </c>
      <c r="D73" s="163" t="n">
        <f aca="false">F28</f>
        <v>0.82</v>
      </c>
      <c r="E73" s="41" t="n">
        <f aca="false">G28</f>
        <v>0.2135</v>
      </c>
    </row>
    <row r="75" customFormat="false" ht="15" hidden="false" customHeight="true" outlineLevel="0" collapsed="false">
      <c r="C75" s="17" t="s">
        <v>2814</v>
      </c>
      <c r="D75" s="115" t="n">
        <f aca="false">SLOPE(D67:D73,E67:E73)</f>
        <v>-3.45592348923113</v>
      </c>
    </row>
    <row r="76" customFormat="false" ht="15" hidden="false" customHeight="true" outlineLevel="0" collapsed="false">
      <c r="C76" s="17" t="s">
        <v>2815</v>
      </c>
      <c r="D76" s="115" t="n">
        <f aca="false">INTERCEPT(D67:D73,E67:E73)</f>
        <v>2.27218687092014</v>
      </c>
    </row>
    <row r="77" customFormat="false" ht="15" hidden="false" customHeight="true" outlineLevel="0" collapsed="false">
      <c r="C77" s="17" t="s">
        <v>2816</v>
      </c>
      <c r="D77" s="115" t="n">
        <f aca="false">RSQ(D67:D73,E67:E73)</f>
        <v>0.0256193003616591</v>
      </c>
    </row>
    <row r="79" customFormat="false" ht="15" hidden="false" customHeight="true" outlineLevel="0" collapsed="false">
      <c r="C79" s="27" t="s">
        <v>2817</v>
      </c>
      <c r="D79" s="170" t="n">
        <f aca="false">D76+D75*D37</f>
        <v>1.85934463661596</v>
      </c>
    </row>
    <row r="80" customFormat="false" ht="15" hidden="false" customHeight="true" outlineLevel="0" collapsed="false">
      <c r="C80" s="27" t="s">
        <v>2818</v>
      </c>
      <c r="D80" s="165" t="n">
        <f aca="false">D79*D40</f>
        <v>162.177052956792</v>
      </c>
    </row>
    <row r="81" customFormat="false" ht="15" hidden="false" customHeight="true" outlineLevel="0" collapsed="false">
      <c r="C81" s="17" t="s">
        <v>2808</v>
      </c>
      <c r="D81" s="34" t="n">
        <f aca="false">D80/D42-1</f>
        <v>-0.00370406096085785</v>
      </c>
    </row>
    <row r="83" customFormat="false" ht="15" hidden="false" customHeight="true" outlineLevel="0" collapsed="false">
      <c r="C83" s="17" t="s">
        <v>2819</v>
      </c>
      <c r="D83" s="64" t="n">
        <f aca="false">D41</f>
        <v>143.706674987508</v>
      </c>
    </row>
    <row r="85" customFormat="false" ht="15" hidden="false" customHeight="true" outlineLevel="0" collapsed="false">
      <c r="C85" s="17" t="s">
        <v>2820</v>
      </c>
    </row>
    <row r="86" customFormat="false" ht="15" hidden="false" customHeight="true" outlineLevel="0" collapsed="false">
      <c r="C86" s="17" t="s">
        <v>2821</v>
      </c>
    </row>
    <row r="88" customFormat="false" ht="15" hidden="false" customHeight="true" outlineLevel="0" collapsed="false">
      <c r="A88" s="27" t="s">
        <v>11</v>
      </c>
      <c r="C88" s="27" t="s">
        <v>2822</v>
      </c>
    </row>
    <row r="90" customFormat="false" ht="15" hidden="false" customHeight="true" outlineLevel="0" collapsed="false">
      <c r="C90" s="17" t="s">
        <v>2823</v>
      </c>
      <c r="D90" s="115" t="n">
        <f aca="false">D31</f>
        <v>1.35160234609517</v>
      </c>
    </row>
    <row r="91" customFormat="false" ht="15" hidden="false" customHeight="true" outlineLevel="0" collapsed="false">
      <c r="C91" s="17" t="s">
        <v>2824</v>
      </c>
      <c r="D91" s="115" t="n">
        <f aca="false">D32</f>
        <v>1.48612200971567</v>
      </c>
    </row>
    <row r="92" customFormat="false" ht="15" hidden="false" customHeight="true" outlineLevel="0" collapsed="false">
      <c r="C92" s="17" t="s">
        <v>2825</v>
      </c>
      <c r="D92" s="115" t="n">
        <f aca="false">D33</f>
        <v>0.00581144898166513</v>
      </c>
    </row>
    <row r="93" customFormat="false" ht="15" hidden="false" customHeight="true" outlineLevel="0" collapsed="false">
      <c r="C93" s="17" t="s">
        <v>2826</v>
      </c>
      <c r="D93" s="115" t="n">
        <f aca="false">D38</f>
        <v>1.6475834929318</v>
      </c>
    </row>
    <row r="94" customFormat="false" ht="15" hidden="false" customHeight="true" outlineLevel="0" collapsed="false">
      <c r="C94" s="17" t="s">
        <v>2827</v>
      </c>
      <c r="D94" s="64" t="n">
        <f aca="false">D41</f>
        <v>143.706674987508</v>
      </c>
    </row>
    <row r="95" customFormat="false" ht="15" hidden="false" customHeight="true" outlineLevel="0" collapsed="false">
      <c r="C95" s="17" t="s">
        <v>2814</v>
      </c>
      <c r="D95" s="115" t="n">
        <f aca="false">D75</f>
        <v>-3.45592348923113</v>
      </c>
    </row>
    <row r="96" customFormat="false" ht="15" hidden="false" customHeight="true" outlineLevel="0" collapsed="false">
      <c r="C96" s="17" t="s">
        <v>2815</v>
      </c>
      <c r="D96" s="115" t="n">
        <f aca="false">D76</f>
        <v>2.27218687092014</v>
      </c>
    </row>
    <row r="97" customFormat="false" ht="15" hidden="false" customHeight="true" outlineLevel="0" collapsed="false">
      <c r="C97" s="17" t="s">
        <v>2828</v>
      </c>
      <c r="D97" s="115" t="n">
        <f aca="false">D77</f>
        <v>0.0256193003616591</v>
      </c>
    </row>
    <row r="98" customFormat="false" ht="15" hidden="false" customHeight="true" outlineLevel="0" collapsed="false">
      <c r="C98" s="27" t="s">
        <v>2829</v>
      </c>
      <c r="D98" s="170" t="n">
        <f aca="false">D79</f>
        <v>1.85934463661596</v>
      </c>
    </row>
    <row r="99" customFormat="false" ht="15" hidden="false" customHeight="true" outlineLevel="0" collapsed="false">
      <c r="C99" s="27" t="s">
        <v>2830</v>
      </c>
      <c r="D99" s="165" t="n">
        <f aca="false">D80</f>
        <v>162.177052956792</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M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0" min="2" style="1" width="15"/>
    <col collapsed="false" customWidth="true" hidden="false" outlineLevel="0" max="11" min="11" style="1" width="12"/>
    <col collapsed="false" customWidth="true" hidden="false" outlineLevel="0" max="12" min="12" style="1" width="50"/>
    <col collapsed="false" customWidth="true" hidden="false" outlineLevel="0" max="13" min="13" style="1" width="65"/>
  </cols>
  <sheetData>
    <row r="1" customFormat="false" ht="15" hidden="false" customHeight="true" outlineLevel="0" collapsed="false">
      <c r="B1" s="171" t="s">
        <v>2831</v>
      </c>
    </row>
    <row r="2" customFormat="false" ht="15" hidden="false" customHeight="true" outlineLevel="0" collapsed="false">
      <c r="B2" s="1" t="s">
        <v>2832</v>
      </c>
    </row>
    <row r="3" customFormat="false" ht="15" hidden="false" customHeight="true" outlineLevel="0" collapsed="false">
      <c r="B3" s="1" t="s">
        <v>2833</v>
      </c>
    </row>
    <row r="5" customFormat="false" ht="15" hidden="false" customHeight="true" outlineLevel="0" collapsed="false">
      <c r="B5" s="128" t="s">
        <v>2834</v>
      </c>
      <c r="C5" s="172" t="n">
        <f aca="false">F13</f>
        <v>0.218</v>
      </c>
      <c r="D5" s="1" t="str">
        <f aca="false">L13</f>
        <v>supply-led (fleet net −8K/yr 2025; storage 21.8% but Trinity reports &lt;20% four months running; new-car orders very low; GATX mgmt "supply-led market")</v>
      </c>
      <c r="E5" s="1" t="str">
        <f aca="false">"(latest quarter: " &amp; B13 &amp; ")"</f>
        <v>(latest quarter: Q2 2026)</v>
      </c>
    </row>
    <row r="6" customFormat="false" ht="15" hidden="false" customHeight="true" outlineLevel="0" collapsed="false">
      <c r="B6" s="1" t="s">
        <v>2835</v>
      </c>
    </row>
    <row r="7" customFormat="false" ht="51.75" hidden="false" customHeight="true" outlineLevel="0" collapsed="false">
      <c r="B7" s="173" t="s">
        <v>2836</v>
      </c>
      <c r="C7" s="173" t="s">
        <v>2837</v>
      </c>
      <c r="D7" s="173" t="s">
        <v>2838</v>
      </c>
      <c r="E7" s="173" t="s">
        <v>2839</v>
      </c>
      <c r="F7" s="173" t="s">
        <v>2840</v>
      </c>
      <c r="G7" s="173" t="s">
        <v>2841</v>
      </c>
      <c r="H7" s="173" t="s">
        <v>2842</v>
      </c>
      <c r="I7" s="173" t="s">
        <v>2843</v>
      </c>
      <c r="J7" s="173" t="s">
        <v>2844</v>
      </c>
      <c r="K7" s="173" t="s">
        <v>2845</v>
      </c>
      <c r="L7" s="173" t="s">
        <v>2846</v>
      </c>
      <c r="M7" s="173" t="s">
        <v>2847</v>
      </c>
    </row>
    <row r="8" customFormat="false" ht="15" hidden="false" customHeight="true" outlineLevel="0" collapsed="false">
      <c r="B8" s="1" t="s">
        <v>2848</v>
      </c>
      <c r="G8" s="174"/>
      <c r="I8" s="172" t="n">
        <v>0.245</v>
      </c>
      <c r="M8" s="1" t="s">
        <v>2849</v>
      </c>
    </row>
    <row r="9" customFormat="false" ht="15" hidden="false" customHeight="true" outlineLevel="0" collapsed="false">
      <c r="B9" s="1" t="s">
        <v>2850</v>
      </c>
      <c r="G9" s="174"/>
      <c r="H9" s="172" t="n">
        <v>0.183</v>
      </c>
      <c r="J9" s="1" t="str">
        <f aca="false">IF(AND(ISNUMBER(G9),ISNUMBER(G8)),(G9-G8)*1000000,"")</f>
        <v/>
      </c>
      <c r="K9" s="1" t="str">
        <f aca="false">IF(AND(ISNUMBER(C9),ISNUMBER(D9),D9&lt;&gt;0),C9/D9,"")</f>
        <v/>
      </c>
      <c r="M9" s="1" t="s">
        <v>2851</v>
      </c>
    </row>
    <row r="10" customFormat="false" ht="15" hidden="false" customHeight="true" outlineLevel="0" collapsed="false">
      <c r="B10" s="1" t="s">
        <v>2852</v>
      </c>
      <c r="C10" s="1" t="n">
        <v>3071</v>
      </c>
      <c r="D10" s="1" t="n">
        <v>7500</v>
      </c>
      <c r="E10" s="1" t="n">
        <v>25637</v>
      </c>
      <c r="G10" s="174" t="n">
        <v>1.635</v>
      </c>
      <c r="J10" s="1" t="str">
        <f aca="false">IF(AND(ISNUMBER(G10),ISNUMBER(G9)),(G10-G9)*1000000,"")</f>
        <v/>
      </c>
      <c r="K10" s="1" t="n">
        <f aca="false">IF(AND(ISNUMBER(C10),ISNUMBER(D10),D10&lt;&gt;0),C10/D10,"")</f>
        <v>0.409466666666667</v>
      </c>
      <c r="L10" s="1" t="s">
        <v>2853</v>
      </c>
      <c r="M10" s="1" t="s">
        <v>2854</v>
      </c>
    </row>
    <row r="11" customFormat="false" ht="15" hidden="false" customHeight="true" outlineLevel="0" collapsed="false">
      <c r="B11" s="1" t="s">
        <v>2855</v>
      </c>
      <c r="G11" s="174"/>
      <c r="I11" s="172" t="n">
        <v>0.219</v>
      </c>
      <c r="J11" s="1" t="str">
        <f aca="false">IF(AND(ISNUMBER(G11),ISNUMBER(G10)),(G11-G10)*1000000,"")</f>
        <v/>
      </c>
      <c r="K11" s="1" t="str">
        <f aca="false">IF(AND(ISNUMBER(C11),ISNUMBER(D11),D11&lt;&gt;0),C11/D11,"")</f>
        <v/>
      </c>
      <c r="M11" s="1" t="s">
        <v>2856</v>
      </c>
    </row>
    <row r="12" customFormat="false" ht="15" hidden="false" customHeight="true" outlineLevel="0" collapsed="false">
      <c r="B12" s="1" t="s">
        <v>2857</v>
      </c>
      <c r="G12" s="174"/>
      <c r="I12" s="172" t="n">
        <v>0.223</v>
      </c>
      <c r="J12" s="1" t="str">
        <f aca="false">IF(AND(ISNUMBER(G12),ISNUMBER(G11)),(G12-G11)*1000000,"")</f>
        <v/>
      </c>
      <c r="K12" s="1" t="str">
        <f aca="false">IF(AND(ISNUMBER(C12),ISNUMBER(D12),D12&lt;&gt;0),C12/D12,"")</f>
        <v/>
      </c>
      <c r="M12" s="1" t="s">
        <v>2858</v>
      </c>
    </row>
    <row r="13" customFormat="false" ht="15" hidden="false" customHeight="true" outlineLevel="0" collapsed="false">
      <c r="B13" s="1" t="s">
        <v>1740</v>
      </c>
      <c r="F13" s="172" t="n">
        <v>0.218</v>
      </c>
      <c r="G13" s="174" t="n">
        <v>1.63</v>
      </c>
      <c r="H13" s="172" t="n">
        <v>0.035</v>
      </c>
      <c r="I13" s="172" t="n">
        <v>0.168</v>
      </c>
      <c r="J13" s="1" t="str">
        <f aca="false">IF(AND(ISNUMBER(G13),ISNUMBER(G12)),(G13-G12)*1000000,"")</f>
        <v/>
      </c>
      <c r="K13" s="1" t="str">
        <f aca="false">IF(AND(ISNUMBER(C13),ISNUMBER(D13),D13&lt;&gt;0),C13/D13,"")</f>
        <v/>
      </c>
      <c r="L13" s="1" t="s">
        <v>2859</v>
      </c>
      <c r="M13" s="1" t="s">
        <v>2860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P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3" topLeftCell="D14" activePane="bottomRight" state="frozen"/>
      <selection pane="topLeft" activeCell="A1" activeCellId="0" sqref="A1"/>
      <selection pane="topRight" activeCell="D1" activeCellId="0" sqref="D1"/>
      <selection pane="bottomLeft" activeCell="A14" activeCellId="0" sqref="A14"/>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1" width="1.7"/>
    <col collapsed="false" customWidth="true" hidden="false" outlineLevel="0" max="3" min="3" style="1" width="46"/>
    <col collapsed="false" customWidth="true" hidden="false" outlineLevel="0" max="16" min="4" style="1" width="12.3"/>
  </cols>
  <sheetData>
    <row r="2" customFormat="false" ht="21.75" hidden="false" customHeight="true" outlineLevel="0" collapsed="false">
      <c r="C2" s="46" t="str">
        <f aca="false">"Financial Statement Model - "&amp;Cover!$D$5</f>
        <v>Financial Statement Model - GATX Corporation</v>
      </c>
      <c r="D2" s="47"/>
      <c r="E2" s="47"/>
      <c r="F2" s="47"/>
      <c r="G2" s="47"/>
      <c r="H2" s="47"/>
      <c r="I2" s="47"/>
      <c r="J2" s="47"/>
      <c r="K2" s="47"/>
      <c r="L2" s="47"/>
      <c r="M2" s="47"/>
      <c r="N2" s="47"/>
      <c r="O2" s="47"/>
      <c r="P2" s="47"/>
    </row>
    <row r="3" customFormat="false" ht="15" hidden="false" customHeight="true" outlineLevel="0" collapsed="false">
      <c r="C3" s="48" t="s">
        <v>1</v>
      </c>
    </row>
    <row r="5" customFormat="false" ht="15" hidden="false" customHeight="true" outlineLevel="0" collapsed="false">
      <c r="C5" s="4" t="s">
        <v>2</v>
      </c>
      <c r="D5" s="49" t="str">
        <f aca="false">Cover!$D$5</f>
        <v>GATX Corporation</v>
      </c>
    </row>
    <row r="6" customFormat="false" ht="15" hidden="false" customHeight="true" outlineLevel="0" collapsed="false">
      <c r="C6" s="4" t="s">
        <v>4</v>
      </c>
      <c r="D6" s="49" t="str">
        <f aca="false">Cover!$D$6</f>
        <v>GATX</v>
      </c>
    </row>
    <row r="7" customFormat="false" ht="15" hidden="false" customHeight="true" outlineLevel="0" collapsed="false">
      <c r="C7" s="4" t="s">
        <v>1551</v>
      </c>
      <c r="D7" s="49" t="n">
        <f aca="false">Cover!$D$7</f>
        <v>1</v>
      </c>
    </row>
    <row r="8" customFormat="false" ht="15" hidden="false" customHeight="true" outlineLevel="0" collapsed="false">
      <c r="C8" s="4" t="s">
        <v>7</v>
      </c>
      <c r="D8" s="6" t="n">
        <f aca="false">Cover!$D$8</f>
        <v>162.78</v>
      </c>
    </row>
    <row r="9" customFormat="false" ht="15" hidden="false" customHeight="true" outlineLevel="0" collapsed="false">
      <c r="C9" s="4" t="s">
        <v>8</v>
      </c>
      <c r="D9" s="50" t="n">
        <f aca="false">Cover!$D$9</f>
        <v>46303</v>
      </c>
    </row>
    <row r="10" customFormat="false" ht="15" hidden="false" customHeight="true" outlineLevel="0" collapsed="false">
      <c r="C10" s="4" t="s">
        <v>9</v>
      </c>
      <c r="D10" s="50" t="n">
        <f aca="false">Cover!$D$10</f>
        <v>46022</v>
      </c>
    </row>
    <row r="11" customFormat="false" ht="15" hidden="false" customHeight="true" outlineLevel="0" collapsed="false">
      <c r="C11" s="4" t="s">
        <v>1552</v>
      </c>
      <c r="D11" s="8" t="n">
        <f aca="false">Cover!$D$11</f>
        <v>35.8</v>
      </c>
    </row>
    <row r="13" customFormat="false" ht="15" hidden="false" customHeight="true" outlineLevel="0" collapsed="false">
      <c r="C13" s="51" t="s">
        <v>2861</v>
      </c>
      <c r="D13" s="51"/>
      <c r="E13" s="51"/>
      <c r="F13" s="51"/>
      <c r="G13" s="51"/>
      <c r="H13" s="51"/>
      <c r="I13" s="51"/>
      <c r="J13" s="51"/>
      <c r="K13" s="51"/>
      <c r="L13" s="51"/>
      <c r="M13" s="51"/>
      <c r="N13" s="51"/>
      <c r="O13" s="51"/>
      <c r="P13" s="51"/>
    </row>
    <row r="14" customFormat="false" ht="14.25" hidden="false" customHeight="true" outlineLevel="0" collapsed="false">
      <c r="C14" s="11"/>
      <c r="D14" s="11"/>
      <c r="E14" s="11"/>
      <c r="F14" s="11"/>
      <c r="G14" s="11"/>
      <c r="H14" s="11"/>
      <c r="I14" s="11"/>
      <c r="J14" s="11"/>
      <c r="K14" s="11"/>
      <c r="L14" s="11"/>
      <c r="M14" s="11"/>
      <c r="N14" s="11"/>
      <c r="O14" s="11"/>
      <c r="P14" s="11"/>
    </row>
    <row r="15" customFormat="false" ht="14.25" hidden="false" customHeight="true" outlineLevel="0" collapsed="false">
      <c r="C15" s="11"/>
      <c r="D15" s="58" t="s">
        <v>1531</v>
      </c>
      <c r="E15" s="58" t="s">
        <v>1532</v>
      </c>
      <c r="F15" s="58" t="s">
        <v>1533</v>
      </c>
      <c r="G15" s="11"/>
      <c r="H15" s="11"/>
      <c r="I15" s="11"/>
      <c r="J15" s="11"/>
      <c r="K15" s="11"/>
      <c r="L15" s="11"/>
      <c r="M15" s="11"/>
      <c r="N15" s="11"/>
      <c r="O15" s="11"/>
      <c r="P15" s="11"/>
    </row>
    <row r="16" customFormat="false" ht="14.25" hidden="false" customHeight="true" outlineLevel="0" collapsed="false">
      <c r="C16" s="21" t="s">
        <v>2862</v>
      </c>
      <c r="D16" s="11"/>
      <c r="E16" s="11"/>
      <c r="F16" s="11"/>
      <c r="G16" s="11"/>
      <c r="H16" s="11"/>
      <c r="I16" s="11"/>
      <c r="J16" s="11"/>
      <c r="K16" s="11"/>
      <c r="L16" s="11"/>
      <c r="M16" s="11"/>
      <c r="N16" s="11"/>
      <c r="O16" s="11"/>
      <c r="P16" s="11"/>
    </row>
    <row r="17" customFormat="false" ht="14.25" hidden="false" customHeight="true" outlineLevel="0" collapsed="false">
      <c r="C17" s="17" t="s">
        <v>2863</v>
      </c>
      <c r="D17" s="42" t="n">
        <f aca="false">'3 Statement Forecast'!D17</f>
        <v>1740.4</v>
      </c>
      <c r="E17" s="42" t="n">
        <f aca="false">'3 Statement Forecast'!E17</f>
        <v>2385.45465384829</v>
      </c>
      <c r="F17" s="42" t="n">
        <f aca="false">'3 Statement Forecast'!F17</f>
        <v>2471.47905200311</v>
      </c>
      <c r="G17" s="11"/>
      <c r="H17" s="11"/>
      <c r="I17" s="11"/>
      <c r="J17" s="11"/>
      <c r="K17" s="11"/>
      <c r="L17" s="11"/>
      <c r="M17" s="11"/>
      <c r="N17" s="11"/>
      <c r="O17" s="11"/>
      <c r="P17" s="11"/>
    </row>
    <row r="18" customFormat="false" ht="14.25" hidden="false" customHeight="true" outlineLevel="0" collapsed="false">
      <c r="C18" s="17" t="s">
        <v>1580</v>
      </c>
      <c r="D18" s="42" t="n">
        <f aca="false">'3 Statement Forecast'!D31</f>
        <v>333.3</v>
      </c>
      <c r="E18" s="42" t="n">
        <f aca="false">'3 Statement Forecast'!E31</f>
        <v>368.354184088351</v>
      </c>
      <c r="F18" s="42" t="n">
        <f aca="false">'3 Statement Forecast'!F31</f>
        <v>358.467180034485</v>
      </c>
      <c r="G18" s="11"/>
      <c r="H18" s="11"/>
      <c r="I18" s="11"/>
      <c r="J18" s="11"/>
      <c r="K18" s="11"/>
      <c r="L18" s="11"/>
      <c r="M18" s="11"/>
      <c r="N18" s="11"/>
      <c r="O18" s="11"/>
      <c r="P18" s="11"/>
    </row>
    <row r="19" customFormat="false" ht="14.25" hidden="false" customHeight="true" outlineLevel="0" collapsed="false">
      <c r="C19" s="17" t="s">
        <v>1581</v>
      </c>
      <c r="D19" s="14" t="n">
        <f aca="false">'3 Statement Forecast'!D33</f>
        <v>9.28412256267411</v>
      </c>
      <c r="E19" s="14" t="n">
        <f aca="false">'3 Statement Forecast'!E33</f>
        <v>10.2892230192277</v>
      </c>
      <c r="F19" s="14" t="n">
        <f aca="false">'3 Statement Forecast'!F33</f>
        <v>10.1760599616912</v>
      </c>
      <c r="G19" s="11"/>
      <c r="H19" s="11"/>
      <c r="I19" s="11"/>
      <c r="J19" s="11"/>
      <c r="K19" s="11"/>
      <c r="L19" s="11"/>
      <c r="M19" s="11"/>
      <c r="N19" s="11"/>
      <c r="O19" s="11"/>
      <c r="P19" s="11"/>
    </row>
    <row r="20" customFormat="false" ht="14.25" hidden="false" customHeight="true" outlineLevel="0" collapsed="false">
      <c r="C20" s="17" t="s">
        <v>1568</v>
      </c>
      <c r="D20" s="42" t="n">
        <f aca="false">'3 Statement Forecast'!D19</f>
        <v>-431.8</v>
      </c>
      <c r="E20" s="42" t="n">
        <f aca="false">'3 Statement Forecast'!E19</f>
        <v>-671.4</v>
      </c>
      <c r="F20" s="42" t="n">
        <f aca="false">'3 Statement Forecast'!F19</f>
        <v>-720</v>
      </c>
      <c r="G20" s="11"/>
      <c r="H20" s="11"/>
      <c r="I20" s="11"/>
      <c r="J20" s="11"/>
      <c r="K20" s="11"/>
      <c r="L20" s="11"/>
      <c r="M20" s="11"/>
      <c r="N20" s="11"/>
      <c r="O20" s="11"/>
      <c r="P20" s="11"/>
    </row>
    <row r="21" customFormat="false" ht="14.25" hidden="false" customHeight="true" outlineLevel="0" collapsed="false">
      <c r="C21" s="17" t="s">
        <v>1855</v>
      </c>
      <c r="D21" s="42" t="n">
        <f aca="false">'3 Statement Forecast'!D24</f>
        <v>-391.5</v>
      </c>
      <c r="E21" s="42" t="n">
        <f aca="false">'3 Statement Forecast'!E24</f>
        <v>-588.82599</v>
      </c>
      <c r="F21" s="42" t="n">
        <f aca="false">'3 Statement Forecast'!F24</f>
        <v>-615.70826</v>
      </c>
      <c r="G21" s="11"/>
      <c r="H21" s="11"/>
      <c r="I21" s="11"/>
      <c r="J21" s="11"/>
      <c r="K21" s="11"/>
      <c r="L21" s="11"/>
      <c r="M21" s="11"/>
      <c r="N21" s="11"/>
      <c r="O21" s="11"/>
      <c r="P21" s="11"/>
    </row>
    <row r="22" customFormat="false" ht="14.25" hidden="false" customHeight="true" outlineLevel="0" collapsed="false">
      <c r="A22" s="22" t="s">
        <v>11</v>
      </c>
      <c r="C22" s="71" t="s">
        <v>2864</v>
      </c>
      <c r="D22" s="84" t="n">
        <f aca="false">'3 Statement Forecast'!D30</f>
        <v>0</v>
      </c>
      <c r="E22" s="84" t="n">
        <f aca="false">'3 Statement Forecast'!E30</f>
        <v>-17.0150399999999</v>
      </c>
      <c r="F22" s="84" t="n">
        <f aca="false">'3 Statement Forecast'!F30</f>
        <v>-25.309790625</v>
      </c>
      <c r="G22" s="54"/>
      <c r="H22" s="54"/>
      <c r="I22" s="54"/>
      <c r="J22" s="54"/>
      <c r="K22" s="54"/>
      <c r="L22" s="54"/>
      <c r="M22" s="54"/>
      <c r="N22" s="54"/>
      <c r="O22" s="54"/>
      <c r="P22" s="54"/>
    </row>
    <row r="23" customFormat="false" ht="14.25" hidden="false" customHeight="true" outlineLevel="0" collapsed="false">
      <c r="A23" s="22" t="s">
        <v>11</v>
      </c>
      <c r="C23" s="71" t="s">
        <v>2865</v>
      </c>
      <c r="D23" s="84" t="n">
        <f aca="false">'3 Statement Forecast'!D36</f>
        <v>743</v>
      </c>
      <c r="E23" s="84" t="n">
        <f aca="false">'3 Statement Forecast'!E36</f>
        <v>747.1</v>
      </c>
      <c r="F23" s="84" t="n">
        <f aca="false">'3 Statement Forecast'!F36</f>
        <v>747.1</v>
      </c>
      <c r="G23" s="54"/>
      <c r="H23" s="54"/>
      <c r="I23" s="54"/>
      <c r="J23" s="54"/>
      <c r="K23" s="54"/>
      <c r="L23" s="54"/>
      <c r="M23" s="54"/>
      <c r="N23" s="54"/>
      <c r="O23" s="54"/>
      <c r="P23" s="54"/>
    </row>
    <row r="24" customFormat="false" ht="14.25" hidden="false" customHeight="true" outlineLevel="0" collapsed="false">
      <c r="A24" s="22" t="s">
        <v>11</v>
      </c>
      <c r="C24" s="71" t="s">
        <v>2866</v>
      </c>
      <c r="D24" s="84" t="n">
        <f aca="false">'3 Statement Forecast'!D93</f>
        <v>4984.9</v>
      </c>
      <c r="E24" s="84" t="n">
        <f aca="false">'3 Statement Forecast'!E93</f>
        <v>747.2</v>
      </c>
      <c r="F24" s="84" t="n">
        <f aca="false">'3 Statement Forecast'!F93</f>
        <v>747.2</v>
      </c>
      <c r="G24" s="54"/>
      <c r="H24" s="54"/>
      <c r="I24" s="54"/>
      <c r="J24" s="54"/>
      <c r="K24" s="54"/>
      <c r="L24" s="54"/>
      <c r="M24" s="54"/>
      <c r="N24" s="54"/>
      <c r="O24" s="54"/>
      <c r="P24" s="54"/>
    </row>
    <row r="25" customFormat="false" ht="14.25" hidden="false" customHeight="true" outlineLevel="0" collapsed="false">
      <c r="C25" s="17" t="s">
        <v>1596</v>
      </c>
      <c r="D25" s="42" t="n">
        <f aca="false">'3 Statement Forecast'!D44</f>
        <v>17999.5</v>
      </c>
      <c r="E25" s="42" t="n">
        <f aca="false">'3 Statement Forecast'!E44</f>
        <v>18248.2957505616</v>
      </c>
      <c r="F25" s="42" t="n">
        <f aca="false">'3 Statement Forecast'!F44</f>
        <v>18801.0372210843</v>
      </c>
      <c r="G25" s="11"/>
      <c r="H25" s="11"/>
      <c r="I25" s="11"/>
      <c r="J25" s="11"/>
      <c r="K25" s="11"/>
      <c r="L25" s="11"/>
      <c r="M25" s="11"/>
      <c r="N25" s="11"/>
      <c r="O25" s="11"/>
      <c r="P25" s="11"/>
    </row>
    <row r="26" customFormat="false" ht="14.25" hidden="false" customHeight="true" outlineLevel="0" collapsed="false">
      <c r="C26" s="17" t="s">
        <v>2867</v>
      </c>
      <c r="D26" s="42" t="n">
        <f aca="false">'3 Statement Forecast'!D51</f>
        <v>14364.4</v>
      </c>
      <c r="E26" s="42" t="n">
        <f aca="false">'3 Statement Forecast'!E51</f>
        <v>14527.0035264732</v>
      </c>
      <c r="F26" s="42" t="n">
        <f aca="false">'3 Statement Forecast'!F51</f>
        <v>15055.0428001208</v>
      </c>
      <c r="G26" s="11"/>
      <c r="H26" s="11"/>
      <c r="I26" s="11"/>
      <c r="J26" s="11"/>
      <c r="K26" s="11"/>
      <c r="L26" s="11"/>
      <c r="M26" s="11"/>
      <c r="N26" s="11"/>
      <c r="O26" s="11"/>
      <c r="P26" s="11"/>
    </row>
    <row r="27" customFormat="false" ht="14.25" hidden="false" customHeight="true" outlineLevel="0" collapsed="false">
      <c r="C27" s="17" t="s">
        <v>1613</v>
      </c>
      <c r="D27" s="42" t="n">
        <f aca="false">'3 Statement Forecast'!D60</f>
        <v>3635.1</v>
      </c>
      <c r="E27" s="42" t="n">
        <f aca="false">'3 Statement Forecast'!E60</f>
        <v>3721.29222408835</v>
      </c>
      <c r="F27" s="42" t="n">
        <f aca="false">'3 Statement Forecast'!F60</f>
        <v>3745.9944209635</v>
      </c>
      <c r="G27" s="11"/>
      <c r="H27" s="11"/>
      <c r="I27" s="11"/>
      <c r="J27" s="11"/>
      <c r="K27" s="11"/>
      <c r="L27" s="11"/>
      <c r="M27" s="11"/>
      <c r="N27" s="11"/>
      <c r="O27" s="11"/>
      <c r="P27" s="11"/>
    </row>
    <row r="28" customFormat="false" ht="14.25" hidden="false" customHeight="true" outlineLevel="0" collapsed="false">
      <c r="A28" s="22" t="s">
        <v>11</v>
      </c>
      <c r="C28" s="71" t="s">
        <v>2868</v>
      </c>
      <c r="D28" s="81" t="n">
        <f aca="false">'3 Statement Forecast'!D62</f>
        <v>0</v>
      </c>
      <c r="E28" s="81" t="n">
        <f aca="false">'3 Statement Forecast'!E62</f>
        <v>0</v>
      </c>
      <c r="F28" s="81" t="n">
        <f aca="false">'3 Statement Forecast'!F62</f>
        <v>0</v>
      </c>
      <c r="G28" s="54"/>
      <c r="H28" s="54"/>
      <c r="I28" s="54"/>
      <c r="J28" s="54"/>
      <c r="K28" s="54"/>
      <c r="L28" s="54"/>
      <c r="M28" s="54"/>
      <c r="N28" s="54"/>
      <c r="O28" s="54"/>
      <c r="P28" s="54"/>
    </row>
    <row r="29" customFormat="false" ht="14.25" hidden="false" customHeight="true" outlineLevel="0" collapsed="false">
      <c r="C29" s="17" t="s">
        <v>2869</v>
      </c>
      <c r="D29" s="42" t="n">
        <f aca="false">'Legacy Cohort Model'!D43</f>
        <v>954.2</v>
      </c>
      <c r="E29" s="42" t="n">
        <f aca="false">'Legacy Cohort Model'!E43</f>
        <v>980.165653848287</v>
      </c>
      <c r="F29" s="42" t="n">
        <f aca="false">'Legacy Cohort Model'!F43</f>
        <v>1004.00252200311</v>
      </c>
      <c r="G29" s="11"/>
      <c r="H29" s="11"/>
      <c r="I29" s="11"/>
      <c r="J29" s="11"/>
      <c r="K29" s="11"/>
      <c r="L29" s="11"/>
      <c r="M29" s="11"/>
      <c r="N29" s="11"/>
      <c r="O29" s="11"/>
      <c r="P29" s="11"/>
    </row>
    <row r="30" customFormat="false" ht="14.25" hidden="false" customHeight="true" outlineLevel="0" collapsed="false">
      <c r="C30" s="17" t="s">
        <v>2870</v>
      </c>
      <c r="D30" s="42" t="n">
        <f aca="false">Drivers!$C$23</f>
        <v>1.2387</v>
      </c>
      <c r="E30" s="11"/>
      <c r="F30" s="11"/>
      <c r="G30" s="11"/>
      <c r="H30" s="11"/>
      <c r="I30" s="11"/>
      <c r="J30" s="11"/>
      <c r="K30" s="11"/>
      <c r="L30" s="11"/>
      <c r="M30" s="11"/>
      <c r="N30" s="11"/>
      <c r="O30" s="11"/>
      <c r="P30" s="11"/>
    </row>
    <row r="31" customFormat="false" ht="14.25" hidden="false" customHeight="true" outlineLevel="0" collapsed="false">
      <c r="C31" s="17" t="s">
        <v>2871</v>
      </c>
      <c r="D31" s="42" t="n">
        <f aca="false">'Acquired Pool'!D23</f>
        <v>0</v>
      </c>
      <c r="E31" s="42" t="n">
        <f aca="false">'Acquired Pool'!E23</f>
        <v>543</v>
      </c>
      <c r="F31" s="42" t="n">
        <f aca="false">'Acquired Pool'!F23</f>
        <v>563.3625</v>
      </c>
      <c r="G31" s="11"/>
      <c r="H31" s="11"/>
      <c r="I31" s="11"/>
      <c r="J31" s="11"/>
      <c r="K31" s="11"/>
      <c r="L31" s="11"/>
      <c r="M31" s="11"/>
      <c r="N31" s="11"/>
      <c r="O31" s="11"/>
      <c r="P31" s="11"/>
    </row>
    <row r="32" customFormat="false" ht="14.25" hidden="false" customHeight="true" outlineLevel="0" collapsed="false">
      <c r="A32" s="22" t="s">
        <v>11</v>
      </c>
      <c r="C32" s="71" t="s">
        <v>2872</v>
      </c>
      <c r="D32" s="84" t="n">
        <f aca="false">'GABX Mini P&amp;L'!D27</f>
        <v>7.56</v>
      </c>
      <c r="E32" s="54"/>
      <c r="F32" s="54"/>
      <c r="G32" s="54"/>
      <c r="H32" s="54"/>
      <c r="I32" s="54"/>
      <c r="J32" s="54"/>
      <c r="K32" s="54"/>
      <c r="L32" s="54"/>
      <c r="M32" s="54"/>
      <c r="N32" s="54"/>
      <c r="O32" s="54"/>
      <c r="P32" s="54"/>
    </row>
    <row r="33" customFormat="false" ht="14.25" hidden="false" customHeight="true" outlineLevel="0" collapsed="false">
      <c r="C33" s="17" t="s">
        <v>2873</v>
      </c>
      <c r="D33" s="42" t="n">
        <f aca="false">'3 Statement Forecast'!D76</f>
        <v>0</v>
      </c>
      <c r="E33" s="42" t="n">
        <f aca="false">'3 Statement Forecast'!E76</f>
        <v>-4200</v>
      </c>
      <c r="F33" s="42" t="n">
        <f aca="false">'3 Statement Forecast'!F76</f>
        <v>0</v>
      </c>
      <c r="G33" s="11"/>
      <c r="H33" s="11"/>
      <c r="I33" s="11"/>
      <c r="J33" s="11"/>
      <c r="K33" s="11"/>
      <c r="L33" s="11"/>
      <c r="M33" s="11"/>
      <c r="N33" s="11"/>
      <c r="O33" s="11"/>
      <c r="P33" s="11"/>
    </row>
    <row r="34" customFormat="false" ht="14.25" hidden="false" customHeight="true" outlineLevel="0" collapsed="false">
      <c r="C34" s="11"/>
      <c r="D34" s="11"/>
      <c r="E34" s="11"/>
      <c r="F34" s="11"/>
      <c r="G34" s="11"/>
      <c r="H34" s="11"/>
      <c r="I34" s="11"/>
      <c r="J34" s="11"/>
      <c r="K34" s="11"/>
      <c r="L34" s="11"/>
      <c r="M34" s="11"/>
      <c r="N34" s="11"/>
      <c r="O34" s="11"/>
      <c r="P34" s="11"/>
    </row>
    <row r="35" customFormat="false" ht="14.25" hidden="false" customHeight="true" outlineLevel="0" collapsed="false">
      <c r="C35" s="21" t="s">
        <v>2874</v>
      </c>
      <c r="D35" s="11"/>
      <c r="E35" s="11"/>
      <c r="F35" s="11"/>
      <c r="G35" s="11"/>
      <c r="H35" s="11"/>
      <c r="I35" s="11"/>
      <c r="J35" s="11"/>
      <c r="K35" s="11"/>
      <c r="L35" s="11"/>
      <c r="M35" s="11"/>
      <c r="N35" s="11"/>
      <c r="O35" s="11"/>
      <c r="P35" s="11"/>
    </row>
    <row r="36" customFormat="false" ht="14.25" hidden="false" customHeight="true" outlineLevel="0" collapsed="false">
      <c r="C36" s="17" t="s">
        <v>2875</v>
      </c>
      <c r="D36" s="76" t="n">
        <f aca="false">'3 Statement Forecast'!D36-743</f>
        <v>0</v>
      </c>
      <c r="E36" s="39" t="s">
        <v>2876</v>
      </c>
      <c r="F36" s="11"/>
      <c r="G36" s="11"/>
      <c r="H36" s="11"/>
      <c r="I36" s="11"/>
      <c r="J36" s="11"/>
      <c r="K36" s="11"/>
      <c r="L36" s="11"/>
      <c r="M36" s="11"/>
      <c r="N36" s="11"/>
      <c r="O36" s="11"/>
      <c r="P36" s="11"/>
    </row>
    <row r="37" customFormat="false" ht="14.25" hidden="false" customHeight="true" outlineLevel="0" collapsed="false">
      <c r="C37" s="17" t="s">
        <v>2877</v>
      </c>
      <c r="D37" s="76" t="n">
        <f aca="false">'3 Statement Forecast'!D44-17999.5</f>
        <v>0</v>
      </c>
      <c r="E37" s="39" t="s">
        <v>2878</v>
      </c>
      <c r="F37" s="11"/>
      <c r="G37" s="11"/>
      <c r="H37" s="11"/>
      <c r="I37" s="11"/>
      <c r="J37" s="11"/>
      <c r="K37" s="11"/>
      <c r="L37" s="11"/>
      <c r="M37" s="11"/>
      <c r="N37" s="11"/>
      <c r="O37" s="11"/>
      <c r="P37" s="11"/>
    </row>
    <row r="38" customFormat="false" ht="14.25" hidden="false" customHeight="true" outlineLevel="0" collapsed="false">
      <c r="C38" s="17" t="s">
        <v>2879</v>
      </c>
      <c r="D38" s="76" t="n">
        <f aca="false">'3 Statement Forecast'!D51-14364.4</f>
        <v>0</v>
      </c>
      <c r="E38" s="39" t="s">
        <v>2880</v>
      </c>
      <c r="F38" s="11"/>
      <c r="G38" s="11"/>
      <c r="H38" s="11"/>
      <c r="I38" s="11"/>
      <c r="J38" s="11"/>
      <c r="K38" s="11"/>
      <c r="L38" s="11"/>
      <c r="M38" s="11"/>
      <c r="N38" s="11"/>
      <c r="O38" s="11"/>
      <c r="P38" s="11"/>
    </row>
    <row r="39" customFormat="false" ht="14.25" hidden="false" customHeight="true" outlineLevel="0" collapsed="false">
      <c r="C39" s="17" t="s">
        <v>2881</v>
      </c>
      <c r="D39" s="76" t="n">
        <f aca="false">'3 Statement Forecast'!D60-3635.1</f>
        <v>0</v>
      </c>
      <c r="E39" s="39" t="s">
        <v>2882</v>
      </c>
      <c r="F39" s="11"/>
      <c r="G39" s="11"/>
      <c r="H39" s="11"/>
      <c r="I39" s="11"/>
      <c r="J39" s="11"/>
      <c r="K39" s="11"/>
      <c r="L39" s="11"/>
      <c r="M39" s="11"/>
      <c r="N39" s="11"/>
      <c r="O39" s="11"/>
      <c r="P39" s="11"/>
    </row>
    <row r="40" customFormat="false" ht="14.25" hidden="false" customHeight="true" outlineLevel="0" collapsed="false">
      <c r="C40" s="17" t="s">
        <v>2883</v>
      </c>
      <c r="D40" s="11"/>
      <c r="E40" s="42" t="n">
        <f aca="false">'3 Statement Forecast'!E36-747.1</f>
        <v>0</v>
      </c>
      <c r="F40" s="11"/>
      <c r="G40" s="11"/>
      <c r="H40" s="11"/>
      <c r="I40" s="11"/>
      <c r="J40" s="11"/>
      <c r="K40" s="11"/>
      <c r="L40" s="11"/>
      <c r="M40" s="11"/>
      <c r="N40" s="11"/>
      <c r="O40" s="11"/>
      <c r="P40" s="11"/>
    </row>
    <row r="41" customFormat="false" ht="14.25" hidden="false" customHeight="true" outlineLevel="0" collapsed="false">
      <c r="C41" s="17" t="s">
        <v>2884</v>
      </c>
      <c r="D41" s="11"/>
      <c r="E41" s="41" t="n">
        <f aca="false">('3 Statement Forecast'!E24+588)/588</f>
        <v>-0.00140474489795926</v>
      </c>
      <c r="F41" s="11"/>
      <c r="G41" s="11"/>
      <c r="H41" s="11"/>
      <c r="I41" s="11"/>
      <c r="J41" s="11"/>
      <c r="K41" s="11"/>
      <c r="L41" s="11"/>
      <c r="M41" s="11"/>
      <c r="N41" s="11"/>
      <c r="O41" s="11"/>
      <c r="P41" s="11"/>
    </row>
    <row r="42" customFormat="false" ht="14.25" hidden="false" customHeight="true" outlineLevel="0" collapsed="false">
      <c r="C42" s="17" t="s">
        <v>2885</v>
      </c>
      <c r="D42" s="11"/>
      <c r="E42" s="14" t="n">
        <f aca="false">'3 Statement Forecast'!E33-Drivers!$C$55</f>
        <v>0.189223019227674</v>
      </c>
      <c r="F42" s="11"/>
      <c r="G42" s="11"/>
      <c r="H42" s="11"/>
      <c r="I42" s="11"/>
      <c r="J42" s="11"/>
      <c r="K42" s="11"/>
      <c r="L42" s="11"/>
      <c r="M42" s="11"/>
      <c r="N42" s="11"/>
      <c r="O42" s="11"/>
      <c r="P42" s="11"/>
    </row>
  </sheetData>
  <mergeCells count="1">
    <mergeCell ref="C13:P1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J1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3" topLeftCell="D14" activePane="bottomRight" state="frozen"/>
      <selection pane="topLeft" activeCell="A1" activeCellId="0" sqref="A1"/>
      <selection pane="topRight" activeCell="D1" activeCellId="0" sqref="D1"/>
      <selection pane="bottomLeft" activeCell="A14" activeCellId="0" sqref="A14"/>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1" width="1.7"/>
    <col collapsed="false" customWidth="true" hidden="false" outlineLevel="0" max="3" min="3" style="1" width="46"/>
    <col collapsed="false" customWidth="true" hidden="false" outlineLevel="0" max="9" min="4" style="1" width="12.3"/>
    <col collapsed="false" customWidth="true" hidden="false" outlineLevel="0" max="10" min="10" style="1" width="26"/>
  </cols>
  <sheetData>
    <row r="2" customFormat="false" ht="21.75" hidden="false" customHeight="true" outlineLevel="0" collapsed="false">
      <c r="C2" s="46" t="str">
        <f aca="false">"Financial Statement Model - "&amp;Cover!$D$5</f>
        <v>Financial Statement Model - GATX Corporation</v>
      </c>
      <c r="D2" s="47"/>
      <c r="E2" s="47"/>
      <c r="F2" s="47"/>
      <c r="G2" s="47"/>
      <c r="H2" s="47"/>
      <c r="I2" s="47"/>
      <c r="J2" s="47"/>
    </row>
    <row r="3" customFormat="false" ht="15" hidden="false" customHeight="true" outlineLevel="0" collapsed="false">
      <c r="C3" s="48" t="s">
        <v>1</v>
      </c>
    </row>
    <row r="5" customFormat="false" ht="15" hidden="false" customHeight="true" outlineLevel="0" collapsed="false">
      <c r="C5" s="4" t="s">
        <v>2</v>
      </c>
      <c r="D5" s="49" t="str">
        <f aca="false">Cover!$D$5</f>
        <v>GATX Corporation</v>
      </c>
    </row>
    <row r="6" customFormat="false" ht="15" hidden="false" customHeight="true" outlineLevel="0" collapsed="false">
      <c r="C6" s="4" t="s">
        <v>4</v>
      </c>
      <c r="D6" s="49" t="str">
        <f aca="false">Cover!$D$6</f>
        <v>GATX</v>
      </c>
    </row>
    <row r="7" customFormat="false" ht="15" hidden="false" customHeight="true" outlineLevel="0" collapsed="false">
      <c r="C7" s="4" t="s">
        <v>1551</v>
      </c>
      <c r="D7" s="49" t="n">
        <f aca="false">Cover!$D$7</f>
        <v>1</v>
      </c>
    </row>
    <row r="8" customFormat="false" ht="15" hidden="false" customHeight="true" outlineLevel="0" collapsed="false">
      <c r="C8" s="4" t="s">
        <v>7</v>
      </c>
      <c r="D8" s="6" t="n">
        <f aca="false">Cover!$D$8</f>
        <v>162.78</v>
      </c>
    </row>
    <row r="9" customFormat="false" ht="15" hidden="false" customHeight="true" outlineLevel="0" collapsed="false">
      <c r="C9" s="4" t="s">
        <v>8</v>
      </c>
      <c r="D9" s="50" t="n">
        <f aca="false">Cover!$D$9</f>
        <v>46303</v>
      </c>
    </row>
    <row r="10" customFormat="false" ht="15" hidden="false" customHeight="true" outlineLevel="0" collapsed="false">
      <c r="C10" s="4" t="s">
        <v>9</v>
      </c>
      <c r="D10" s="50" t="n">
        <f aca="false">Cover!$D$10</f>
        <v>46022</v>
      </c>
    </row>
    <row r="11" customFormat="false" ht="15" hidden="false" customHeight="true" outlineLevel="0" collapsed="false">
      <c r="C11" s="4" t="s">
        <v>1552</v>
      </c>
      <c r="D11" s="8" t="n">
        <f aca="false">Cover!$D$11</f>
        <v>35.8</v>
      </c>
    </row>
    <row r="13" customFormat="false" ht="15" hidden="false" customHeight="true" outlineLevel="0" collapsed="false">
      <c r="C13" s="10" t="s">
        <v>2886</v>
      </c>
      <c r="D13" s="11"/>
      <c r="E13" s="11"/>
      <c r="F13" s="11"/>
      <c r="G13" s="11"/>
      <c r="H13" s="11"/>
      <c r="I13" s="11"/>
      <c r="J13" s="11"/>
    </row>
    <row r="14" customFormat="false" ht="14.25" hidden="false" customHeight="true" outlineLevel="0" collapsed="false">
      <c r="C14" s="175" t="s">
        <v>2887</v>
      </c>
      <c r="D14" s="11"/>
      <c r="E14" s="11"/>
      <c r="F14" s="11"/>
      <c r="G14" s="11"/>
      <c r="H14" s="11"/>
      <c r="I14" s="11"/>
      <c r="J14" s="11"/>
    </row>
    <row r="15" customFormat="false" ht="14.25" hidden="false" customHeight="true" outlineLevel="0" collapsed="false">
      <c r="C15" s="11"/>
      <c r="D15" s="11"/>
      <c r="E15" s="11"/>
      <c r="F15" s="11"/>
      <c r="G15" s="11"/>
      <c r="H15" s="11"/>
      <c r="I15" s="11"/>
      <c r="J15" s="11"/>
    </row>
    <row r="16" customFormat="false" ht="14.25" hidden="false" customHeight="true" outlineLevel="0" collapsed="false">
      <c r="A16" s="22" t="s">
        <v>11</v>
      </c>
      <c r="C16" s="176" t="s">
        <v>2888</v>
      </c>
      <c r="D16" s="177"/>
      <c r="E16" s="177"/>
      <c r="F16" s="177"/>
      <c r="G16" s="177"/>
      <c r="H16" s="177"/>
      <c r="I16" s="177"/>
      <c r="J16" s="177"/>
    </row>
    <row r="17" customFormat="false" ht="14.25" hidden="false" customHeight="true" outlineLevel="0" collapsed="false">
      <c r="C17" s="10" t="s">
        <v>44</v>
      </c>
      <c r="D17" s="178" t="str">
        <f aca="false">Rating!D29</f>
        <v>HOLD</v>
      </c>
      <c r="E17" s="11"/>
      <c r="F17" s="11"/>
      <c r="G17" s="11"/>
      <c r="H17" s="11"/>
      <c r="I17" s="11"/>
      <c r="J17" s="175" t="s">
        <v>2889</v>
      </c>
    </row>
    <row r="18" customFormat="false" ht="14.25" hidden="false" customHeight="true" outlineLevel="0" collapsed="false">
      <c r="C18" s="10" t="s">
        <v>2890</v>
      </c>
      <c r="D18" s="179" t="n">
        <f aca="false">Rating!D18</f>
        <v>162.565666188363</v>
      </c>
      <c r="E18" s="11"/>
      <c r="F18" s="11"/>
      <c r="G18" s="11"/>
      <c r="H18" s="11"/>
      <c r="I18" s="11"/>
      <c r="J18" s="175" t="s">
        <v>2891</v>
      </c>
    </row>
    <row r="19" customFormat="false" ht="14.25" hidden="false" customHeight="true" outlineLevel="0" collapsed="false">
      <c r="C19" s="4" t="s">
        <v>145</v>
      </c>
      <c r="D19" s="180" t="n">
        <f aca="false">Rating!D19</f>
        <v>162.78</v>
      </c>
      <c r="E19" s="11"/>
      <c r="F19" s="11"/>
      <c r="G19" s="11"/>
      <c r="H19" s="11"/>
      <c r="I19" s="11"/>
      <c r="J19" s="175" t="s">
        <v>2892</v>
      </c>
    </row>
    <row r="20" customFormat="false" ht="14.25" hidden="false" customHeight="true" outlineLevel="0" collapsed="false">
      <c r="C20" s="4" t="s">
        <v>2893</v>
      </c>
      <c r="D20" s="180" t="n">
        <f aca="false">Rating!D21</f>
        <v>2.64</v>
      </c>
      <c r="E20" s="11"/>
      <c r="F20" s="11"/>
      <c r="G20" s="11"/>
      <c r="H20" s="11"/>
      <c r="I20" s="11"/>
      <c r="J20" s="175" t="s">
        <v>2894</v>
      </c>
    </row>
    <row r="21" customFormat="false" ht="14.25" hidden="false" customHeight="true" outlineLevel="0" collapsed="false">
      <c r="C21" s="10" t="s">
        <v>146</v>
      </c>
      <c r="D21" s="181" t="n">
        <f aca="false">Rating!D24</f>
        <v>0.0149015001128095</v>
      </c>
      <c r="E21" s="11"/>
      <c r="F21" s="11"/>
      <c r="G21" s="11"/>
      <c r="H21" s="11"/>
      <c r="I21" s="11"/>
      <c r="J21" s="175" t="s">
        <v>2895</v>
      </c>
    </row>
    <row r="22" customFormat="false" ht="14.25" hidden="false" customHeight="true" outlineLevel="0" collapsed="false">
      <c r="C22" s="4" t="s">
        <v>2896</v>
      </c>
      <c r="D22" s="182" t="n">
        <f aca="false">Rating!D27</f>
        <v>0.15</v>
      </c>
      <c r="E22" s="182" t="n">
        <f aca="false">Rating!D28</f>
        <v>-0.05</v>
      </c>
      <c r="F22" s="11"/>
      <c r="G22" s="11"/>
      <c r="H22" s="11"/>
      <c r="I22" s="11"/>
      <c r="J22" s="175" t="s">
        <v>2897</v>
      </c>
    </row>
    <row r="23" customFormat="false" ht="14.25" hidden="false" customHeight="true" outlineLevel="0" collapsed="false">
      <c r="C23" s="4" t="s">
        <v>2898</v>
      </c>
      <c r="D23" s="183" t="n">
        <f aca="false">(D18-D19)/D19</f>
        <v>-0.00131670851232868</v>
      </c>
      <c r="E23" s="11"/>
      <c r="F23" s="11"/>
      <c r="G23" s="11"/>
      <c r="H23" s="11"/>
      <c r="I23" s="11"/>
      <c r="J23" s="175" t="s">
        <v>2899</v>
      </c>
    </row>
    <row r="24" customFormat="false" ht="14.25" hidden="false" customHeight="true" outlineLevel="0" collapsed="false">
      <c r="C24" s="11"/>
      <c r="D24" s="11"/>
      <c r="E24" s="11"/>
      <c r="F24" s="11"/>
      <c r="G24" s="11"/>
      <c r="H24" s="11"/>
      <c r="I24" s="11"/>
      <c r="J24" s="11"/>
    </row>
    <row r="25" customFormat="false" ht="14.25" hidden="false" customHeight="true" outlineLevel="0" collapsed="false">
      <c r="A25" s="22" t="s">
        <v>11</v>
      </c>
      <c r="C25" s="176" t="s">
        <v>2900</v>
      </c>
      <c r="D25" s="177"/>
      <c r="E25" s="177"/>
      <c r="F25" s="177"/>
      <c r="G25" s="177"/>
      <c r="H25" s="177"/>
      <c r="I25" s="177"/>
      <c r="J25" s="177"/>
    </row>
    <row r="26" customFormat="false" ht="14.25" hidden="false" customHeight="true" outlineLevel="0" collapsed="false">
      <c r="C26" s="175" t="s">
        <v>2901</v>
      </c>
      <c r="D26" s="184" t="s">
        <v>1531</v>
      </c>
      <c r="E26" s="184" t="s">
        <v>1532</v>
      </c>
      <c r="F26" s="184" t="s">
        <v>1533</v>
      </c>
      <c r="G26" s="184" t="s">
        <v>1534</v>
      </c>
      <c r="H26" s="184" t="s">
        <v>1535</v>
      </c>
      <c r="I26" s="184" t="s">
        <v>1536</v>
      </c>
      <c r="J26" s="11"/>
    </row>
    <row r="27" customFormat="false" ht="14.25" hidden="false" customHeight="true" outlineLevel="0" collapsed="false">
      <c r="C27" s="10" t="s">
        <v>2902</v>
      </c>
      <c r="D27" s="179" t="n">
        <f aca="false">'3 Statement Forecast'!D33</f>
        <v>9.28412256267411</v>
      </c>
      <c r="E27" s="179" t="n">
        <f aca="false">'3 Statement Forecast'!E33</f>
        <v>10.2892230192277</v>
      </c>
      <c r="F27" s="179" t="n">
        <f aca="false">'3 Statement Forecast'!F33</f>
        <v>10.1760599616912</v>
      </c>
      <c r="G27" s="179" t="n">
        <f aca="false">'3 Statement Forecast'!G33</f>
        <v>10.6857265710515</v>
      </c>
      <c r="H27" s="179" t="n">
        <f aca="false">'3 Statement Forecast'!H33</f>
        <v>11.1795213584477</v>
      </c>
      <c r="I27" s="179" t="n">
        <f aca="false">'3 Statement Forecast'!I33</f>
        <v>11.1398182838866</v>
      </c>
      <c r="J27" s="175" t="s">
        <v>2903</v>
      </c>
    </row>
    <row r="28" customFormat="false" ht="14.25" hidden="false" customHeight="true" outlineLevel="0" collapsed="false">
      <c r="C28" s="4" t="s">
        <v>2904</v>
      </c>
      <c r="D28" s="185"/>
      <c r="E28" s="186" t="n">
        <f aca="false">Drivers!C53</f>
        <v>9.9</v>
      </c>
      <c r="F28" s="186" t="n">
        <f aca="false">Drivers!C54</f>
        <v>10.3</v>
      </c>
      <c r="G28" s="185"/>
      <c r="H28" s="185"/>
      <c r="I28" s="185"/>
      <c r="J28" s="175" t="s">
        <v>2905</v>
      </c>
    </row>
    <row r="29" customFormat="false" ht="14.25" hidden="false" customHeight="true" outlineLevel="0" collapsed="false">
      <c r="C29" s="4" t="s">
        <v>412</v>
      </c>
      <c r="D29" s="185"/>
      <c r="E29" s="186" t="n">
        <f aca="false">Drivers!C147</f>
        <v>10.228</v>
      </c>
      <c r="F29" s="186" t="n">
        <f aca="false">Drivers!C148</f>
        <v>11.271</v>
      </c>
      <c r="G29" s="11"/>
      <c r="H29" s="11"/>
      <c r="I29" s="11"/>
      <c r="J29" s="175" t="s">
        <v>2906</v>
      </c>
    </row>
    <row r="30" customFormat="false" ht="14.25" hidden="false" customHeight="true" outlineLevel="0" collapsed="false">
      <c r="C30" s="4" t="s">
        <v>2907</v>
      </c>
      <c r="D30" s="185"/>
      <c r="E30" s="187" t="n">
        <f aca="false">E27-E29</f>
        <v>0.0612230192276737</v>
      </c>
      <c r="F30" s="187" t="n">
        <f aca="false">F27-F29</f>
        <v>-1.09494003830884</v>
      </c>
      <c r="G30" s="11"/>
      <c r="H30" s="11"/>
      <c r="I30" s="11"/>
      <c r="J30" s="175" t="s">
        <v>2899</v>
      </c>
    </row>
    <row r="31" customFormat="false" ht="14.25" hidden="false" customHeight="true" outlineLevel="0" collapsed="false">
      <c r="C31" s="4" t="s">
        <v>2908</v>
      </c>
      <c r="D31" s="180" t="n">
        <f aca="false">'Quarterly 2026'!D30</f>
        <v>2.54961150961384</v>
      </c>
      <c r="E31" s="180" t="n">
        <f aca="false">'Quarterly 2026'!D33</f>
        <v>2.458</v>
      </c>
      <c r="F31" s="11"/>
      <c r="G31" s="11"/>
      <c r="H31" s="11"/>
      <c r="I31" s="11"/>
      <c r="J31" s="175" t="s">
        <v>2909</v>
      </c>
    </row>
    <row r="32" customFormat="false" ht="14.25" hidden="false" customHeight="true" outlineLevel="0" collapsed="false">
      <c r="C32" s="4" t="s">
        <v>2910</v>
      </c>
      <c r="D32" s="186" t="n">
        <f aca="false">'3 Statement Forecast'!D17</f>
        <v>1740.4</v>
      </c>
      <c r="E32" s="186" t="n">
        <f aca="false">'3 Statement Forecast'!E17</f>
        <v>2385.45465384829</v>
      </c>
      <c r="F32" s="186" t="n">
        <f aca="false">'3 Statement Forecast'!F17</f>
        <v>2471.47905200311</v>
      </c>
      <c r="G32" s="186" t="n">
        <f aca="false">'3 Statement Forecast'!G17</f>
        <v>2553.71160919839</v>
      </c>
      <c r="H32" s="186" t="n">
        <f aca="false">'3 Statement Forecast'!H17</f>
        <v>2622.88062791535</v>
      </c>
      <c r="I32" s="186" t="n">
        <f aca="false">'3 Statement Forecast'!I17</f>
        <v>2673.49375612723</v>
      </c>
      <c r="J32" s="175" t="s">
        <v>2911</v>
      </c>
    </row>
    <row r="33" customFormat="false" ht="14.25" hidden="false" customHeight="true" outlineLevel="0" collapsed="false">
      <c r="C33" s="4" t="s">
        <v>2912</v>
      </c>
      <c r="D33" s="186" t="n">
        <f aca="false">'3 Statement Forecast'!D24</f>
        <v>-391.5</v>
      </c>
      <c r="E33" s="186" t="n">
        <f aca="false">'3 Statement Forecast'!E24</f>
        <v>-588.82599</v>
      </c>
      <c r="F33" s="186" t="n">
        <f aca="false">'3 Statement Forecast'!F24</f>
        <v>-615.70826</v>
      </c>
      <c r="G33" s="186" t="n">
        <f aca="false">'3 Statement Forecast'!G24</f>
        <v>-642.39824</v>
      </c>
      <c r="H33" s="186" t="n">
        <f aca="false">'3 Statement Forecast'!H24</f>
        <v>-669.29324</v>
      </c>
      <c r="I33" s="186" t="n">
        <f aca="false">'3 Statement Forecast'!I24</f>
        <v>-715.76368</v>
      </c>
      <c r="J33" s="175" t="s">
        <v>2913</v>
      </c>
    </row>
    <row r="34" customFormat="false" ht="14.25" hidden="false" customHeight="true" outlineLevel="0" collapsed="false">
      <c r="C34" s="4" t="s">
        <v>2914</v>
      </c>
      <c r="D34" s="186" t="n">
        <f aca="false">'3 Statement Forecast'!D29+'3 Statement Forecast'!D30</f>
        <v>333.3</v>
      </c>
      <c r="E34" s="186" t="n">
        <f aca="false">'3 Statement Forecast'!E29+'3 Statement Forecast'!E30</f>
        <v>368.354184088351</v>
      </c>
      <c r="F34" s="186" t="n">
        <f aca="false">'3 Statement Forecast'!F29+'3 Statement Forecast'!F30</f>
        <v>358.467180034485</v>
      </c>
      <c r="G34" s="186" t="n">
        <f aca="false">'3 Statement Forecast'!G29+'3 Statement Forecast'!G30</f>
        <v>370.500139618881</v>
      </c>
      <c r="H34" s="186" t="n">
        <f aca="false">'3 Statement Forecast'!H29+'3 Statement Forecast'!H30</f>
        <v>381.636253038615</v>
      </c>
      <c r="I34" s="186" t="n">
        <f aca="false">'3 Statement Forecast'!I29+'3 Statement Forecast'!I30</f>
        <v>374.518878546467</v>
      </c>
      <c r="J34" s="175" t="s">
        <v>2915</v>
      </c>
    </row>
    <row r="35" customFormat="false" ht="14.25" hidden="false" customHeight="true" outlineLevel="0" collapsed="false">
      <c r="C35" s="4" t="s">
        <v>2916</v>
      </c>
      <c r="D35" s="186" t="n">
        <f aca="false">'3 Statement Forecast'!D47</f>
        <v>12533.9</v>
      </c>
      <c r="E35" s="186" t="n">
        <f aca="false">'3 Statement Forecast'!E47</f>
        <v>12516.9559948862</v>
      </c>
      <c r="F35" s="186" t="n">
        <f aca="false">'3 Statement Forecast'!F47</f>
        <v>13017.9685702222</v>
      </c>
      <c r="G35" s="186" t="n">
        <f aca="false">'3 Statement Forecast'!G47</f>
        <v>13493.695223489</v>
      </c>
      <c r="H35" s="186" t="n">
        <f aca="false">'3 Statement Forecast'!H47</f>
        <v>13952.4318435715</v>
      </c>
      <c r="I35" s="186" t="n">
        <f aca="false">'3 Statement Forecast'!I47</f>
        <v>14418.2542053421</v>
      </c>
      <c r="J35" s="175" t="s">
        <v>2917</v>
      </c>
    </row>
    <row r="36" customFormat="false" ht="14.25" hidden="false" customHeight="true" outlineLevel="0" collapsed="false">
      <c r="C36" s="4" t="s">
        <v>2918</v>
      </c>
      <c r="D36" s="186" t="n">
        <f aca="false">'3 Statement Forecast'!D58</f>
        <v>2750.5</v>
      </c>
      <c r="E36" s="186" t="n">
        <f aca="false">'3 Statement Forecast'!E58</f>
        <v>2928.94218408835</v>
      </c>
      <c r="F36" s="186" t="n">
        <f aca="false">'3 Statement Forecast'!F58</f>
        <v>3072.55206558602</v>
      </c>
      <c r="G36" s="186" t="n">
        <f aca="false">'3 Statement Forecast'!G58</f>
        <v>3229.713104858</v>
      </c>
      <c r="H36" s="186" t="n">
        <f aca="false">'3 Statement Forecast'!H58</f>
        <v>3399.4771157042</v>
      </c>
      <c r="I36" s="186" t="n">
        <f aca="false">'3 Statement Forecast'!I58</f>
        <v>3563.54100631382</v>
      </c>
      <c r="J36" s="175" t="s">
        <v>2919</v>
      </c>
    </row>
    <row r="37" customFormat="false" ht="14.25" hidden="false" customHeight="true" outlineLevel="0" collapsed="false">
      <c r="C37" s="4" t="s">
        <v>2920</v>
      </c>
      <c r="D37" s="188"/>
      <c r="E37" s="182" t="n">
        <f aca="false">E34/AVERAGE('3 Statement Forecast'!D58,'3 Statement Forecast'!E58)</f>
        <v>0.129714916412157</v>
      </c>
      <c r="F37" s="182" t="n">
        <f aca="false">F34/AVERAGE('3 Statement Forecast'!E58,'3 Statement Forecast'!F58)</f>
        <v>0.119459309672398</v>
      </c>
      <c r="G37" s="182" t="n">
        <f aca="false">G34/AVERAGE('3 Statement Forecast'!F58,'3 Statement Forecast'!G58)</f>
        <v>0.117576817096313</v>
      </c>
      <c r="H37" s="182" t="n">
        <f aca="false">H34/AVERAGE('3 Statement Forecast'!G58,'3 Statement Forecast'!H58)</f>
        <v>0.115138121049798</v>
      </c>
      <c r="I37" s="182" t="n">
        <f aca="false">I34/AVERAGE('3 Statement Forecast'!H58,'3 Statement Forecast'!I58)</f>
        <v>0.107573719322139</v>
      </c>
      <c r="J37" s="175" t="s">
        <v>2899</v>
      </c>
    </row>
    <row r="38" customFormat="false" ht="14.25" hidden="false" customHeight="true" outlineLevel="0" collapsed="false">
      <c r="C38" s="11"/>
      <c r="D38" s="11"/>
      <c r="E38" s="11"/>
      <c r="F38" s="11"/>
      <c r="G38" s="11"/>
      <c r="H38" s="11"/>
      <c r="I38" s="11"/>
      <c r="J38" s="11"/>
    </row>
    <row r="39" customFormat="false" ht="14.25" hidden="false" customHeight="true" outlineLevel="0" collapsed="false">
      <c r="A39" s="22" t="s">
        <v>11</v>
      </c>
      <c r="C39" s="176" t="s">
        <v>2921</v>
      </c>
      <c r="D39" s="177"/>
      <c r="E39" s="177"/>
      <c r="F39" s="177"/>
      <c r="G39" s="177"/>
      <c r="H39" s="177"/>
      <c r="I39" s="177"/>
      <c r="J39" s="177"/>
    </row>
    <row r="40" customFormat="false" ht="14.25" hidden="false" customHeight="true" outlineLevel="0" collapsed="false">
      <c r="C40" s="10" t="s">
        <v>2922</v>
      </c>
      <c r="D40" s="184" t="s">
        <v>2923</v>
      </c>
      <c r="E40" s="184" t="s">
        <v>2924</v>
      </c>
      <c r="F40" s="184" t="s">
        <v>2151</v>
      </c>
      <c r="G40" s="184" t="s">
        <v>2925</v>
      </c>
      <c r="H40" s="11"/>
      <c r="I40" s="11"/>
      <c r="J40" s="11"/>
    </row>
    <row r="41" customFormat="false" ht="14.25" hidden="false" customHeight="true" outlineLevel="0" collapsed="false">
      <c r="C41" s="4" t="s">
        <v>2926</v>
      </c>
      <c r="D41" s="180" t="n">
        <f aca="false">Valuation!G65</f>
        <v>149.56213472346</v>
      </c>
      <c r="E41" s="180" t="n">
        <f aca="false">Valuation!F65</f>
        <v>14.78</v>
      </c>
      <c r="F41" s="180" t="n">
        <f aca="false">Valuation!H65</f>
        <v>0.25</v>
      </c>
      <c r="G41" s="183" t="n">
        <f aca="false">D41/$D$19-1</f>
        <v>-0.0812007941795057</v>
      </c>
      <c r="H41" s="11"/>
      <c r="I41" s="11"/>
      <c r="J41" s="175" t="s">
        <v>2927</v>
      </c>
    </row>
    <row r="42" customFormat="false" ht="14.25" hidden="false" customHeight="true" outlineLevel="0" collapsed="false">
      <c r="C42" s="10" t="s">
        <v>2928</v>
      </c>
      <c r="D42" s="179" t="n">
        <f aca="false">Valuation!G66</f>
        <v>166.276819774034</v>
      </c>
      <c r="E42" s="179" t="n">
        <f aca="false">Valuation!F66</f>
        <v>16.34</v>
      </c>
      <c r="F42" s="179" t="n">
        <f aca="false">Valuation!H66</f>
        <v>0.5</v>
      </c>
      <c r="G42" s="183" t="n">
        <f aca="false">D42/$D$19-1</f>
        <v>0.0214818759923427</v>
      </c>
      <c r="H42" s="11"/>
      <c r="I42" s="11"/>
      <c r="J42" s="175" t="s">
        <v>2929</v>
      </c>
    </row>
    <row r="43" customFormat="false" ht="14.25" hidden="false" customHeight="true" outlineLevel="0" collapsed="false">
      <c r="C43" s="4" t="s">
        <v>2930</v>
      </c>
      <c r="D43" s="180" t="n">
        <f aca="false">Valuation!G67</f>
        <v>188.529898606358</v>
      </c>
      <c r="E43" s="180" t="n">
        <f aca="false">Valuation!F67</f>
        <v>17.6875</v>
      </c>
      <c r="F43" s="180" t="n">
        <f aca="false">Valuation!H67</f>
        <v>0.25</v>
      </c>
      <c r="G43" s="183" t="n">
        <f aca="false">D43/$D$19-1</f>
        <v>0.158188343815936</v>
      </c>
      <c r="H43" s="11"/>
      <c r="I43" s="11"/>
      <c r="J43" s="175" t="s">
        <v>2931</v>
      </c>
    </row>
    <row r="44" customFormat="false" ht="14.25" hidden="false" customHeight="true" outlineLevel="0" collapsed="false">
      <c r="C44" s="4" t="s">
        <v>2932</v>
      </c>
      <c r="D44" s="180" t="n">
        <f aca="false">Valuation!D31*Valuation!D27</f>
        <v>142.36069856274</v>
      </c>
      <c r="E44" s="180" t="n">
        <f aca="false">Valuation!D27</f>
        <v>1.632152</v>
      </c>
      <c r="F44" s="189"/>
      <c r="G44" s="183" t="n">
        <f aca="false">D44/$D$19-1</f>
        <v>-0.125441094957978</v>
      </c>
      <c r="H44" s="11"/>
      <c r="I44" s="11"/>
      <c r="J44" s="175" t="s">
        <v>2933</v>
      </c>
    </row>
    <row r="45" customFormat="false" ht="14.25" hidden="false" customHeight="true" outlineLevel="0" collapsed="false">
      <c r="C45" s="4" t="s">
        <v>2934</v>
      </c>
      <c r="D45" s="186" t="n">
        <f aca="false">DCF!D118</f>
        <v>458.930130203241</v>
      </c>
      <c r="E45" s="190"/>
      <c r="F45" s="186" t="n">
        <f aca="false">Drivers!C408</f>
        <v>0</v>
      </c>
      <c r="G45" s="191" t="n">
        <f aca="false">D45/$D$19-1</f>
        <v>1.8193274984841</v>
      </c>
      <c r="H45" s="11"/>
      <c r="I45" s="11"/>
      <c r="J45" s="175" t="s">
        <v>2935</v>
      </c>
    </row>
    <row r="46" customFormat="false" ht="14.25" hidden="false" customHeight="true" outlineLevel="0" collapsed="false">
      <c r="C46" s="4" t="s">
        <v>2936</v>
      </c>
      <c r="D46" s="192" t="n">
        <f aca="false">DCF!D120</f>
        <v>82.5181341593946</v>
      </c>
      <c r="E46" s="190"/>
      <c r="F46" s="189"/>
      <c r="G46" s="193" t="n">
        <f aca="false">D46/$D$19-1</f>
        <v>-0.493069577593104</v>
      </c>
      <c r="H46" s="11"/>
      <c r="I46" s="11"/>
      <c r="J46" s="175" t="s">
        <v>2937</v>
      </c>
    </row>
    <row r="47" customFormat="false" ht="14.25" hidden="false" customHeight="true" outlineLevel="0" collapsed="false">
      <c r="C47" s="4" t="s">
        <v>2938</v>
      </c>
      <c r="D47" s="186" t="n">
        <f aca="false">FCFE!D74</f>
        <v>73.610214991098</v>
      </c>
      <c r="E47" s="190"/>
      <c r="F47" s="186" t="n">
        <f aca="false">Drivers!C441</f>
        <v>0</v>
      </c>
      <c r="G47" s="187" t="n">
        <f aca="false">D47/$D$19-1</f>
        <v>-0.547793248611021</v>
      </c>
      <c r="H47" s="11"/>
      <c r="I47" s="11"/>
      <c r="J47" s="175" t="s">
        <v>2939</v>
      </c>
    </row>
    <row r="48" customFormat="false" ht="14.25" hidden="false" customHeight="true" outlineLevel="0" collapsed="false">
      <c r="C48" s="4" t="s">
        <v>2940</v>
      </c>
      <c r="D48" s="192" t="n">
        <f aca="false">FCFE!D75</f>
        <v>114.614683236849</v>
      </c>
      <c r="E48" s="190"/>
      <c r="F48" s="189"/>
      <c r="G48" s="193" t="n">
        <f aca="false">D48/$D$19-1</f>
        <v>-0.29589210445479</v>
      </c>
      <c r="H48" s="11"/>
      <c r="I48" s="11"/>
      <c r="J48" s="175" t="s">
        <v>2941</v>
      </c>
    </row>
    <row r="49" customFormat="false" ht="14.25" hidden="false" customHeight="true" outlineLevel="0" collapsed="false">
      <c r="C49" s="4" t="s">
        <v>2942</v>
      </c>
      <c r="D49" s="180" t="n">
        <f aca="false">D19/'3 Statement Forecast'!F33</f>
        <v>15.9963680061637</v>
      </c>
      <c r="E49" s="11"/>
      <c r="F49" s="11"/>
      <c r="G49" s="11"/>
      <c r="H49" s="11"/>
      <c r="I49" s="11"/>
      <c r="J49" s="175" t="s">
        <v>2899</v>
      </c>
    </row>
    <row r="50" customFormat="false" ht="14.25" hidden="false" customHeight="true" outlineLevel="0" collapsed="false">
      <c r="C50" s="4" t="s">
        <v>2943</v>
      </c>
      <c r="D50" s="192" t="n">
        <f aca="false">Valuation!D19</f>
        <v>14.78</v>
      </c>
      <c r="E50" s="192" t="n">
        <f aca="false">Valuation!D20</f>
        <v>16.34</v>
      </c>
      <c r="F50" s="192" t="n">
        <f aca="false">Valuation!D21</f>
        <v>17.6875</v>
      </c>
      <c r="G50" s="192" t="n">
        <f aca="false">Valuation!D22</f>
        <v>16.45</v>
      </c>
      <c r="H50" s="11"/>
      <c r="I50" s="11"/>
      <c r="J50" s="175" t="s">
        <v>2944</v>
      </c>
    </row>
    <row r="51" customFormat="false" ht="14.25" hidden="false" customHeight="true" outlineLevel="0" collapsed="false">
      <c r="C51" s="4" t="s">
        <v>2945</v>
      </c>
      <c r="D51" s="180" t="n">
        <f aca="false">Valuation!D26</f>
        <v>1.202086</v>
      </c>
      <c r="E51" s="180" t="n">
        <f aca="false">Valuation!D27</f>
        <v>1.632152</v>
      </c>
      <c r="F51" s="180" t="n">
        <f aca="false">Valuation!D28</f>
        <v>2.260367</v>
      </c>
      <c r="G51" s="180" t="n">
        <f aca="false">D19/Valuation!D30</f>
        <v>1.98963435729745</v>
      </c>
      <c r="H51" s="11"/>
      <c r="I51" s="11"/>
      <c r="J51" s="175" t="s">
        <v>2946</v>
      </c>
    </row>
    <row r="52" customFormat="false" ht="14.25" hidden="false" customHeight="true" outlineLevel="0" collapsed="false">
      <c r="C52" s="4" t="s">
        <v>2947</v>
      </c>
      <c r="D52" s="192" t="n">
        <f aca="false">Valuation!D24</f>
        <v>10.679857</v>
      </c>
      <c r="E52" s="192" t="n">
        <f aca="false">Valuation!D25</f>
        <v>1.478895</v>
      </c>
      <c r="F52" s="11"/>
      <c r="G52" s="11"/>
      <c r="H52" s="11"/>
      <c r="I52" s="11"/>
      <c r="J52" s="175" t="s">
        <v>2948</v>
      </c>
    </row>
    <row r="53" customFormat="false" ht="14.25" hidden="false" customHeight="true" outlineLevel="0" collapsed="false">
      <c r="C53" s="4" t="s">
        <v>2949</v>
      </c>
      <c r="D53" s="182" t="n">
        <f aca="false">(F37-Drivers!C571)/(DCF!D57-Drivers!C571)</f>
        <v>1.4167992830826</v>
      </c>
      <c r="E53" s="11"/>
      <c r="F53" s="11"/>
      <c r="G53" s="11"/>
      <c r="H53" s="11"/>
      <c r="I53" s="11"/>
      <c r="J53" s="175" t="s">
        <v>2950</v>
      </c>
    </row>
    <row r="54" customFormat="false" ht="14.25" hidden="false" customHeight="true" outlineLevel="0" collapsed="false">
      <c r="C54" s="4" t="s">
        <v>2951</v>
      </c>
      <c r="D54" s="182" t="n">
        <f aca="false">DCF!D65</f>
        <v>0.0596533775559964</v>
      </c>
      <c r="E54" s="182" t="n">
        <f aca="false">DCF!D57</f>
        <v>0.0902</v>
      </c>
      <c r="F54" s="182" t="n">
        <f aca="false">DCF!D58</f>
        <v>0.0595</v>
      </c>
      <c r="G54" s="11"/>
      <c r="H54" s="11"/>
      <c r="I54" s="11"/>
      <c r="J54" s="175" t="s">
        <v>2952</v>
      </c>
    </row>
    <row r="55" customFormat="false" ht="14.25" hidden="false" customHeight="true" outlineLevel="0" collapsed="false">
      <c r="C55" s="4" t="s">
        <v>2953</v>
      </c>
      <c r="D55" s="182" t="n">
        <f aca="false">DCF!D100</f>
        <v>0.888532569463031</v>
      </c>
      <c r="E55" s="182" t="n">
        <f aca="false">DCF!D101</f>
        <v>0.780746032549585</v>
      </c>
      <c r="F55" s="11"/>
      <c r="G55" s="11"/>
      <c r="H55" s="11"/>
      <c r="I55" s="11"/>
      <c r="J55" s="175" t="s">
        <v>2954</v>
      </c>
    </row>
    <row r="56" customFormat="false" ht="14.25" hidden="false" customHeight="true" outlineLevel="0" collapsed="false">
      <c r="C56" s="4" t="s">
        <v>2955</v>
      </c>
      <c r="D56" s="192" t="n">
        <f aca="false">Drivers!C404</f>
        <v>732.3</v>
      </c>
      <c r="E56" s="192" t="n">
        <f aca="false">DCF!D111</f>
        <v>1994.30199430199</v>
      </c>
      <c r="F56" s="192" t="n">
        <f aca="false">DCF!D112</f>
        <v>2451</v>
      </c>
      <c r="G56" s="11"/>
      <c r="H56" s="11"/>
      <c r="I56" s="11"/>
      <c r="J56" s="175" t="s">
        <v>2956</v>
      </c>
    </row>
    <row r="57" customFormat="false" ht="14.25" hidden="false" customHeight="true" outlineLevel="0" collapsed="false">
      <c r="C57" s="4" t="s">
        <v>2957</v>
      </c>
      <c r="D57" s="180" t="n">
        <f aca="false">(E56-D56)/DCF!D116</f>
        <v>35.2514523548043</v>
      </c>
      <c r="E57" s="11"/>
      <c r="F57" s="11"/>
      <c r="G57" s="11"/>
      <c r="H57" s="11"/>
      <c r="I57" s="11"/>
      <c r="J57" s="175" t="s">
        <v>2958</v>
      </c>
    </row>
    <row r="58" customFormat="false" ht="14.25" hidden="false" customHeight="true" outlineLevel="0" collapsed="false">
      <c r="C58" s="4" t="s">
        <v>2959</v>
      </c>
      <c r="D58" s="186" t="n">
        <f aca="false">FCFE!D30</f>
        <v>128.812</v>
      </c>
      <c r="E58" s="186" t="n">
        <f aca="false">FCFE!E30</f>
        <v>168.520664873446</v>
      </c>
      <c r="F58" s="11"/>
      <c r="G58" s="11"/>
      <c r="H58" s="11"/>
      <c r="I58" s="11"/>
      <c r="J58" s="175" t="s">
        <v>2960</v>
      </c>
    </row>
    <row r="59" customFormat="false" ht="14.25" hidden="false" customHeight="true" outlineLevel="0" collapsed="false">
      <c r="C59" s="11"/>
      <c r="D59" s="11"/>
      <c r="E59" s="11"/>
      <c r="F59" s="11"/>
      <c r="G59" s="11"/>
      <c r="H59" s="11"/>
      <c r="I59" s="11"/>
      <c r="J59" s="11"/>
    </row>
    <row r="60" customFormat="false" ht="14.25" hidden="false" customHeight="true" outlineLevel="0" collapsed="false">
      <c r="A60" s="22" t="s">
        <v>11</v>
      </c>
      <c r="C60" s="176" t="s">
        <v>2961</v>
      </c>
      <c r="D60" s="177"/>
      <c r="E60" s="177"/>
      <c r="F60" s="177"/>
      <c r="G60" s="177"/>
      <c r="H60" s="177"/>
      <c r="I60" s="177"/>
      <c r="J60" s="177"/>
    </row>
    <row r="61" customFormat="false" ht="14.25" hidden="false" customHeight="true" outlineLevel="0" collapsed="false">
      <c r="C61" s="11"/>
      <c r="D61" s="184" t="s">
        <v>1532</v>
      </c>
      <c r="E61" s="184" t="s">
        <v>1533</v>
      </c>
      <c r="F61" s="184" t="s">
        <v>1534</v>
      </c>
      <c r="G61" s="184" t="s">
        <v>1535</v>
      </c>
      <c r="H61" s="184" t="s">
        <v>1536</v>
      </c>
      <c r="I61" s="11"/>
      <c r="J61" s="11"/>
    </row>
    <row r="62" customFormat="false" ht="14.25" hidden="false" customHeight="true" outlineLevel="0" collapsed="false">
      <c r="C62" s="4" t="s">
        <v>2962</v>
      </c>
      <c r="D62" s="186" t="n">
        <f aca="false">'Thesis Test'!D18</f>
        <v>25.9656538482865</v>
      </c>
      <c r="E62" s="186" t="n">
        <f aca="false">'Thesis Test'!E18</f>
        <v>44.1993681548261</v>
      </c>
      <c r="F62" s="186" t="n">
        <f aca="false">'Thesis Test'!F18</f>
        <v>37.6880282952773</v>
      </c>
      <c r="G62" s="186" t="n">
        <f aca="false">'Thesis Test'!G18</f>
        <v>21.6977105499587</v>
      </c>
      <c r="H62" s="186" t="n">
        <f aca="false">'Thesis Test'!H18</f>
        <v>-0.00998857012646326</v>
      </c>
      <c r="I62" s="11"/>
      <c r="J62" s="175" t="s">
        <v>2963</v>
      </c>
    </row>
    <row r="63" customFormat="false" ht="14.25" hidden="false" customHeight="true" outlineLevel="0" collapsed="false">
      <c r="C63" s="4" t="s">
        <v>2964</v>
      </c>
      <c r="D63" s="186" t="n">
        <f aca="false">'Thesis Test'!D20</f>
        <v>163.9745</v>
      </c>
      <c r="E63" s="186" t="n">
        <f aca="false">'Thesis Test'!E20</f>
        <v>163.9745</v>
      </c>
      <c r="F63" s="186" t="n">
        <f aca="false">'Thesis Test'!F20</f>
        <v>163.9742531824</v>
      </c>
      <c r="G63" s="186" t="n">
        <f aca="false">'Thesis Test'!G20</f>
        <v>163.9742531824</v>
      </c>
      <c r="H63" s="186" t="n">
        <f aca="false">'Thesis Test'!H20</f>
        <v>163.9742531824</v>
      </c>
      <c r="I63" s="11"/>
      <c r="J63" s="175" t="s">
        <v>2965</v>
      </c>
    </row>
    <row r="64" customFormat="false" ht="14.25" hidden="false" customHeight="true" outlineLevel="0" collapsed="false">
      <c r="C64" s="4" t="s">
        <v>1930</v>
      </c>
      <c r="D64" s="186" t="n">
        <f aca="false">'Thesis Test'!D21</f>
        <v>140</v>
      </c>
      <c r="E64" s="186" t="n">
        <f aca="false">'Thesis Test'!E21</f>
        <v>130</v>
      </c>
      <c r="F64" s="186" t="n">
        <f aca="false">'Thesis Test'!F21</f>
        <v>130</v>
      </c>
      <c r="G64" s="186" t="n">
        <f aca="false">'Thesis Test'!G21</f>
        <v>130</v>
      </c>
      <c r="H64" s="186" t="n">
        <f aca="false">'Thesis Test'!H21</f>
        <v>130</v>
      </c>
      <c r="I64" s="11"/>
      <c r="J64" s="175" t="s">
        <v>2966</v>
      </c>
    </row>
    <row r="65" customFormat="false" ht="14.25" hidden="false" customHeight="true" outlineLevel="0" collapsed="false">
      <c r="C65" s="4" t="s">
        <v>2967</v>
      </c>
      <c r="D65" s="186" t="n">
        <f aca="false">'Thesis Test'!D22</f>
        <v>197.32599</v>
      </c>
      <c r="E65" s="186" t="n">
        <f aca="false">'Thesis Test'!E22</f>
        <v>224.20826</v>
      </c>
      <c r="F65" s="186" t="n">
        <f aca="false">'Thesis Test'!F22</f>
        <v>250.89824</v>
      </c>
      <c r="G65" s="186" t="n">
        <f aca="false">'Thesis Test'!G22</f>
        <v>277.79324</v>
      </c>
      <c r="H65" s="186" t="n">
        <f aca="false">'Thesis Test'!H22</f>
        <v>324.26368</v>
      </c>
      <c r="I65" s="11"/>
      <c r="J65" s="175" t="s">
        <v>2968</v>
      </c>
    </row>
    <row r="66" customFormat="false" ht="14.25" hidden="false" customHeight="true" outlineLevel="0" collapsed="false">
      <c r="C66" s="4" t="s">
        <v>2969</v>
      </c>
      <c r="D66" s="186" t="n">
        <f aca="false">'Thesis Test'!D23</f>
        <v>4.24646</v>
      </c>
      <c r="E66" s="186" t="n">
        <f aca="false">'Thesis Test'!E23</f>
        <v>5.68227</v>
      </c>
      <c r="F66" s="186" t="n">
        <f aca="false">'Thesis Test'!F23</f>
        <v>5.48998</v>
      </c>
      <c r="G66" s="186" t="n">
        <f aca="false">'Thesis Test'!G23</f>
        <v>5.695</v>
      </c>
      <c r="H66" s="186" t="n">
        <f aca="false">'Thesis Test'!H23</f>
        <v>17.26188</v>
      </c>
      <c r="I66" s="11"/>
      <c r="J66" s="175" t="s">
        <v>2970</v>
      </c>
    </row>
    <row r="67" customFormat="false" ht="14.25" hidden="false" customHeight="true" outlineLevel="0" collapsed="false">
      <c r="C67" s="10" t="s">
        <v>2971</v>
      </c>
      <c r="D67" s="178" t="n">
        <f aca="false">'Thesis Test'!D24</f>
        <v>671.367703848287</v>
      </c>
      <c r="E67" s="178" t="n">
        <f aca="false">'Thesis Test'!E24</f>
        <v>108.283338154826</v>
      </c>
      <c r="F67" s="178" t="n">
        <f aca="false">'Thesis Test'!F24</f>
        <v>75.2740614776773</v>
      </c>
      <c r="G67" s="178" t="n">
        <f aca="false">'Thesis Test'!G24</f>
        <v>32.1837237323588</v>
      </c>
      <c r="H67" s="178" t="n">
        <f aca="false">'Thesis Test'!H24</f>
        <v>-47.5612953877265</v>
      </c>
      <c r="I67" s="11"/>
      <c r="J67" s="175" t="s">
        <v>2972</v>
      </c>
    </row>
    <row r="68" customFormat="false" ht="14.25" hidden="false" customHeight="true" outlineLevel="0" collapsed="false">
      <c r="C68" s="4" t="s">
        <v>2973</v>
      </c>
      <c r="D68" s="182" t="n">
        <f aca="false">Drivers!C32</f>
        <v>0.185</v>
      </c>
      <c r="E68" s="182" t="n">
        <f aca="false">Drivers!C33</f>
        <v>0.15</v>
      </c>
      <c r="F68" s="182" t="n">
        <f aca="false">Drivers!C34</f>
        <v>0.1</v>
      </c>
      <c r="G68" s="182" t="n">
        <f aca="false">Drivers!C35</f>
        <v>0.05</v>
      </c>
      <c r="H68" s="182" t="n">
        <f aca="false">Drivers!C36</f>
        <v>-0.02</v>
      </c>
      <c r="I68" s="11"/>
      <c r="J68" s="175" t="s">
        <v>2974</v>
      </c>
    </row>
    <row r="69" customFormat="false" ht="14.25" hidden="false" customHeight="true" outlineLevel="0" collapsed="false">
      <c r="C69" s="4" t="s">
        <v>2975</v>
      </c>
      <c r="D69" s="182" t="n">
        <f aca="false">Drivers!C37</f>
        <v>0.808</v>
      </c>
      <c r="E69" s="182" t="n">
        <f aca="false">Drivers!C38</f>
        <v>0.85</v>
      </c>
      <c r="F69" s="11"/>
      <c r="G69" s="11"/>
      <c r="H69" s="11"/>
      <c r="I69" s="11"/>
      <c r="J69" s="175" t="s">
        <v>2976</v>
      </c>
    </row>
    <row r="70" customFormat="false" ht="14.25" hidden="false" customHeight="true" outlineLevel="0" collapsed="false">
      <c r="C70" s="10" t="s">
        <v>2977</v>
      </c>
      <c r="D70" s="181" t="n">
        <f aca="false">'Thesis Test'!D45</f>
        <v>-0.233307789635284</v>
      </c>
      <c r="E70" s="11"/>
      <c r="F70" s="11"/>
      <c r="G70" s="11"/>
      <c r="H70" s="11"/>
      <c r="I70" s="11"/>
      <c r="J70" s="175" t="s">
        <v>2978</v>
      </c>
    </row>
    <row r="71" customFormat="false" ht="14.25" hidden="false" customHeight="true" outlineLevel="0" collapsed="false">
      <c r="C71" s="4" t="s">
        <v>2979</v>
      </c>
      <c r="D71" s="180" t="n">
        <f aca="false">'Thesis Test'!D46</f>
        <v>9.98756867742728</v>
      </c>
      <c r="E71" s="180" t="n">
        <f aca="false">'3 Statement Forecast'!F33</f>
        <v>10.1760599616912</v>
      </c>
      <c r="F71" s="11"/>
      <c r="G71" s="11"/>
      <c r="H71" s="11"/>
      <c r="I71" s="11"/>
      <c r="J71" s="175" t="s">
        <v>2980</v>
      </c>
    </row>
    <row r="72" customFormat="false" ht="14.25" hidden="false" customHeight="true" outlineLevel="0" collapsed="false">
      <c r="C72" s="11"/>
      <c r="D72" s="11"/>
      <c r="E72" s="11"/>
      <c r="F72" s="11"/>
      <c r="G72" s="11"/>
      <c r="H72" s="11"/>
      <c r="I72" s="11"/>
      <c r="J72" s="11"/>
    </row>
    <row r="73" customFormat="false" ht="14.25" hidden="false" customHeight="true" outlineLevel="0" collapsed="false">
      <c r="A73" s="22" t="s">
        <v>11</v>
      </c>
      <c r="C73" s="176" t="s">
        <v>2981</v>
      </c>
      <c r="D73" s="177"/>
      <c r="E73" s="177"/>
      <c r="F73" s="177"/>
      <c r="G73" s="177"/>
      <c r="H73" s="177"/>
      <c r="I73" s="177"/>
      <c r="J73" s="177"/>
    </row>
    <row r="74" customFormat="false" ht="14.25" hidden="false" customHeight="true" outlineLevel="0" collapsed="false">
      <c r="C74" s="11"/>
      <c r="D74" s="184" t="s">
        <v>2355</v>
      </c>
      <c r="E74" s="184" t="s">
        <v>1968</v>
      </c>
      <c r="F74" s="184" t="s">
        <v>2356</v>
      </c>
      <c r="G74" s="11"/>
      <c r="H74" s="11"/>
      <c r="I74" s="11"/>
      <c r="J74" s="11"/>
    </row>
    <row r="75" customFormat="false" ht="14.25" hidden="false" customHeight="true" outlineLevel="0" collapsed="false">
      <c r="C75" s="4" t="s">
        <v>2982</v>
      </c>
      <c r="D75" s="182" t="n">
        <f aca="false">Rating!D53</f>
        <v>0.06</v>
      </c>
      <c r="E75" s="182" t="n">
        <f aca="false">Rating!E53</f>
        <v>0.053</v>
      </c>
      <c r="F75" s="182" t="str">
        <f aca="false">Rating!F53</f>
        <v>OK</v>
      </c>
      <c r="G75" s="11"/>
      <c r="H75" s="11"/>
      <c r="I75" s="11"/>
      <c r="J75" s="175" t="s">
        <v>2983</v>
      </c>
    </row>
    <row r="76" customFormat="false" ht="14.25" hidden="false" customHeight="true" outlineLevel="0" collapsed="false">
      <c r="C76" s="4" t="s">
        <v>2984</v>
      </c>
      <c r="D76" s="180" t="n">
        <f aca="false">Rating!D54</f>
        <v>9.9</v>
      </c>
      <c r="E76" s="180" t="n">
        <f aca="false">Rating!E54</f>
        <v>9.98756867742728</v>
      </c>
      <c r="F76" s="180" t="str">
        <f aca="false">Rating!F54</f>
        <v>OK</v>
      </c>
      <c r="G76" s="11"/>
      <c r="H76" s="11"/>
      <c r="I76" s="11"/>
      <c r="J76" s="175" t="s">
        <v>2985</v>
      </c>
    </row>
    <row r="77" customFormat="false" ht="14.25" hidden="false" customHeight="true" outlineLevel="0" collapsed="false">
      <c r="C77" s="4" t="s">
        <v>2986</v>
      </c>
      <c r="D77" s="182" t="n">
        <f aca="false">Rating!D55</f>
        <v>-0.233307789635284</v>
      </c>
      <c r="E77" s="182" t="n">
        <f aca="false">Rating!E55</f>
        <v>0.15</v>
      </c>
      <c r="F77" s="182" t="str">
        <f aca="false">Rating!F55</f>
        <v>OK</v>
      </c>
      <c r="G77" s="11"/>
      <c r="H77" s="11"/>
      <c r="I77" s="11"/>
      <c r="J77" s="175" t="s">
        <v>2987</v>
      </c>
    </row>
    <row r="78" customFormat="false" ht="14.25" hidden="false" customHeight="true" outlineLevel="0" collapsed="false">
      <c r="C78" s="4" t="s">
        <v>2988</v>
      </c>
      <c r="D78" s="186" t="n">
        <f aca="false">'Disposition Engine'!D44</f>
        <v>140.5</v>
      </c>
      <c r="E78" s="186" t="n">
        <f aca="false">Drivers!C56</f>
        <v>130</v>
      </c>
      <c r="F78" s="186" t="n">
        <f aca="false">Rating!D49</f>
        <v>100.004650263395</v>
      </c>
      <c r="G78" s="11"/>
      <c r="H78" s="11"/>
      <c r="I78" s="11"/>
      <c r="J78" s="175" t="s">
        <v>2989</v>
      </c>
    </row>
    <row r="79" customFormat="false" ht="14.25" hidden="false" customHeight="true" outlineLevel="0" collapsed="false">
      <c r="C79" s="4" t="s">
        <v>2990</v>
      </c>
      <c r="D79" s="182" t="n">
        <f aca="false">Rating!D41</f>
        <v>0.523251977050738</v>
      </c>
      <c r="E79" s="11"/>
      <c r="F79" s="11"/>
      <c r="G79" s="11"/>
      <c r="H79" s="11"/>
      <c r="I79" s="11"/>
      <c r="J79" s="175" t="s">
        <v>2991</v>
      </c>
    </row>
    <row r="80" customFormat="false" ht="14.25" hidden="false" customHeight="true" outlineLevel="0" collapsed="false">
      <c r="C80" s="4" t="s">
        <v>2992</v>
      </c>
      <c r="D80" s="180" t="n">
        <f aca="false">'Consensus Bridge'!D42</f>
        <v>1.42030372606636</v>
      </c>
      <c r="E80" s="180" t="n">
        <f aca="false">'Consensus Bridge'!D43</f>
        <v>-0.325763687757522</v>
      </c>
      <c r="F80" s="180" t="str">
        <f aca="false">'Consensus Bridge'!D44</f>
        <v>FAIL</v>
      </c>
      <c r="G80" s="11"/>
      <c r="H80" s="11"/>
      <c r="I80" s="11"/>
      <c r="J80" s="175" t="s">
        <v>2993</v>
      </c>
    </row>
    <row r="81" customFormat="false" ht="14.25" hidden="false" customHeight="true" outlineLevel="0" collapsed="false">
      <c r="C81" s="11"/>
      <c r="D81" s="11"/>
      <c r="E81" s="11"/>
      <c r="F81" s="11"/>
      <c r="G81" s="11"/>
      <c r="H81" s="11"/>
      <c r="I81" s="11"/>
      <c r="J81" s="11"/>
    </row>
    <row r="82" customFormat="false" ht="14.25" hidden="false" customHeight="true" outlineLevel="0" collapsed="false">
      <c r="A82" s="22" t="s">
        <v>11</v>
      </c>
      <c r="C82" s="176" t="s">
        <v>2994</v>
      </c>
      <c r="D82" s="177"/>
      <c r="E82" s="177"/>
      <c r="F82" s="177"/>
      <c r="G82" s="177"/>
      <c r="H82" s="177"/>
      <c r="I82" s="177"/>
      <c r="J82" s="177"/>
    </row>
    <row r="83" customFormat="false" ht="14.25" hidden="false" customHeight="true" outlineLevel="0" collapsed="false">
      <c r="C83" s="4" t="s">
        <v>2995</v>
      </c>
      <c r="D83" s="194" t="n">
        <f aca="false">SUMPRODUCT(ABS('3 Statement Forecast'!D62:N62))</f>
        <v>0</v>
      </c>
      <c r="E83" s="11"/>
      <c r="F83" s="11"/>
      <c r="G83" s="11"/>
      <c r="H83" s="11"/>
      <c r="I83" s="11"/>
      <c r="J83" s="195" t="s">
        <v>2996</v>
      </c>
    </row>
    <row r="84" customFormat="false" ht="14.25" hidden="false" customHeight="true" outlineLevel="0" collapsed="false">
      <c r="C84" s="4" t="s">
        <v>2997</v>
      </c>
      <c r="D84" s="186" t="n">
        <f aca="false">MAX(ABS('3 Statement Forecast'!E93-'3 Statement Forecast'!E94),ABS('3 Statement Forecast'!F93-'3 Statement Forecast'!F94),ABS('3 Statement Forecast'!G93-'3 Statement Forecast'!G94),ABS('3 Statement Forecast'!H93-'3 Statement Forecast'!H94),ABS('3 Statement Forecast'!I93-'3 Statement Forecast'!I94))</f>
        <v>0</v>
      </c>
      <c r="E84" s="11"/>
      <c r="F84" s="11"/>
      <c r="G84" s="11"/>
      <c r="H84" s="11"/>
      <c r="I84" s="11"/>
      <c r="J84" s="175" t="s">
        <v>2998</v>
      </c>
    </row>
    <row r="85" customFormat="false" ht="14.25" hidden="false" customHeight="true" outlineLevel="0" collapsed="false">
      <c r="C85" s="4" t="s">
        <v>2999</v>
      </c>
      <c r="D85" s="194" t="n">
        <f aca="false">FCFE!E38</f>
        <v>0</v>
      </c>
      <c r="E85" s="11"/>
      <c r="F85" s="11"/>
      <c r="G85" s="11"/>
      <c r="H85" s="11"/>
      <c r="I85" s="11"/>
      <c r="J85" s="195" t="s">
        <v>3000</v>
      </c>
    </row>
    <row r="86" customFormat="false" ht="14.25" hidden="false" customHeight="true" outlineLevel="0" collapsed="false">
      <c r="C86" s="4" t="s">
        <v>3001</v>
      </c>
      <c r="D86" s="196" t="s">
        <v>3002</v>
      </c>
      <c r="E86" s="11"/>
      <c r="F86" s="11"/>
      <c r="G86" s="11"/>
      <c r="H86" s="11"/>
      <c r="I86" s="11"/>
      <c r="J86" s="175" t="s">
        <v>3003</v>
      </c>
    </row>
    <row r="87" customFormat="false" ht="14.25" hidden="false" customHeight="true" outlineLevel="0" collapsed="false">
      <c r="C87" s="11"/>
      <c r="D87" s="11"/>
      <c r="E87" s="11"/>
      <c r="F87" s="11"/>
      <c r="G87" s="11"/>
      <c r="H87" s="11"/>
      <c r="I87" s="11"/>
      <c r="J87" s="11"/>
    </row>
    <row r="88" customFormat="false" ht="14.25" hidden="false" customHeight="true" outlineLevel="0" collapsed="false">
      <c r="C88" s="197" t="s">
        <v>3004</v>
      </c>
      <c r="D88" s="198"/>
      <c r="E88" s="198"/>
      <c r="F88" s="198"/>
      <c r="G88" s="198"/>
      <c r="H88" s="198"/>
      <c r="I88" s="198"/>
      <c r="J88" s="198"/>
    </row>
    <row r="89" customFormat="false" ht="14.25" hidden="false" customHeight="true" outlineLevel="0" collapsed="false">
      <c r="C89" s="10" t="s">
        <v>3005</v>
      </c>
      <c r="D89" s="10"/>
      <c r="E89" s="11"/>
      <c r="F89" s="11"/>
      <c r="G89" s="11"/>
      <c r="H89" s="11"/>
      <c r="I89" s="11"/>
      <c r="J89" s="10" t="s">
        <v>3006</v>
      </c>
    </row>
    <row r="90" customFormat="false" ht="14.25" hidden="false" customHeight="true" outlineLevel="0" collapsed="false">
      <c r="C90" s="199" t="s">
        <v>3007</v>
      </c>
      <c r="D90" s="199"/>
      <c r="E90" s="11"/>
      <c r="F90" s="11"/>
      <c r="G90" s="11"/>
      <c r="H90" s="11"/>
      <c r="I90" s="11"/>
      <c r="J90" s="200" t="s">
        <v>3008</v>
      </c>
    </row>
    <row r="91" customFormat="false" ht="14.25" hidden="false" customHeight="true" outlineLevel="0" collapsed="false">
      <c r="C91" s="199" t="s">
        <v>3009</v>
      </c>
      <c r="D91" s="199"/>
      <c r="E91" s="11"/>
      <c r="F91" s="11"/>
      <c r="G91" s="11"/>
      <c r="H91" s="11"/>
      <c r="I91" s="11"/>
      <c r="J91" s="200" t="s">
        <v>3010</v>
      </c>
    </row>
    <row r="92" customFormat="false" ht="14.25" hidden="false" customHeight="true" outlineLevel="0" collapsed="false">
      <c r="C92" s="199" t="s">
        <v>3011</v>
      </c>
      <c r="D92" s="199"/>
      <c r="E92" s="11"/>
      <c r="F92" s="11"/>
      <c r="G92" s="11"/>
      <c r="H92" s="11"/>
      <c r="I92" s="11"/>
      <c r="J92" s="200" t="s">
        <v>2972</v>
      </c>
    </row>
    <row r="93" customFormat="false" ht="14.25" hidden="false" customHeight="true" outlineLevel="0" collapsed="false">
      <c r="C93" s="199" t="s">
        <v>3012</v>
      </c>
      <c r="D93" s="199"/>
      <c r="E93" s="11"/>
      <c r="F93" s="11"/>
      <c r="G93" s="11"/>
      <c r="H93" s="11"/>
      <c r="I93" s="11"/>
      <c r="J93" s="200" t="s">
        <v>3013</v>
      </c>
    </row>
    <row r="94" customFormat="false" ht="14.25" hidden="false" customHeight="true" outlineLevel="0" collapsed="false">
      <c r="C94" s="199" t="s">
        <v>3014</v>
      </c>
      <c r="D94" s="199"/>
      <c r="E94" s="11"/>
      <c r="F94" s="11"/>
      <c r="G94" s="11"/>
      <c r="H94" s="11"/>
      <c r="I94" s="11"/>
      <c r="J94" s="200" t="s">
        <v>3015</v>
      </c>
    </row>
    <row r="95" customFormat="false" ht="14.25" hidden="false" customHeight="true" outlineLevel="0" collapsed="false">
      <c r="C95" s="199" t="s">
        <v>3016</v>
      </c>
      <c r="D95" s="199"/>
      <c r="E95" s="11"/>
      <c r="F95" s="11"/>
      <c r="G95" s="11"/>
      <c r="H95" s="11"/>
      <c r="I95" s="11"/>
      <c r="J95" s="200" t="s">
        <v>3017</v>
      </c>
    </row>
    <row r="96" customFormat="false" ht="14.25" hidden="false" customHeight="true" outlineLevel="0" collapsed="false">
      <c r="C96" s="199" t="s">
        <v>3018</v>
      </c>
      <c r="D96" s="199"/>
      <c r="E96" s="11"/>
      <c r="F96" s="11"/>
      <c r="G96" s="11"/>
      <c r="H96" s="11"/>
      <c r="I96" s="11"/>
      <c r="J96" s="200" t="s">
        <v>3019</v>
      </c>
    </row>
    <row r="97" customFormat="false" ht="14.25" hidden="false" customHeight="true" outlineLevel="0" collapsed="false">
      <c r="C97" s="199" t="s">
        <v>3020</v>
      </c>
      <c r="D97" s="199"/>
      <c r="E97" s="11"/>
      <c r="F97" s="11"/>
      <c r="G97" s="11"/>
      <c r="H97" s="11"/>
      <c r="I97" s="11"/>
      <c r="J97" s="200" t="s">
        <v>3021</v>
      </c>
    </row>
    <row r="98" customFormat="false" ht="14.25" hidden="false" customHeight="true" outlineLevel="0" collapsed="false">
      <c r="C98" s="199" t="s">
        <v>3022</v>
      </c>
      <c r="D98" s="199"/>
      <c r="E98" s="11"/>
      <c r="F98" s="11"/>
      <c r="G98" s="11"/>
      <c r="H98" s="11"/>
      <c r="I98" s="11"/>
      <c r="J98" s="200" t="s">
        <v>3023</v>
      </c>
    </row>
    <row r="99" customFormat="false" ht="14.25" hidden="false" customHeight="true" outlineLevel="0" collapsed="false">
      <c r="C99" s="199" t="s">
        <v>3024</v>
      </c>
      <c r="D99" s="199"/>
      <c r="E99" s="11"/>
      <c r="F99" s="11"/>
      <c r="G99" s="11"/>
      <c r="H99" s="11"/>
      <c r="I99" s="11"/>
      <c r="J99" s="201" t="s">
        <v>3025</v>
      </c>
    </row>
    <row r="100" customFormat="false" ht="15" hidden="false" customHeight="true" outlineLevel="0" collapsed="false">
      <c r="C100" s="1" t="s">
        <v>3026</v>
      </c>
    </row>
    <row r="101" customFormat="false" ht="15" hidden="false" customHeight="true" outlineLevel="0" collapsed="false">
      <c r="C101" s="17" t="s">
        <v>3027</v>
      </c>
      <c r="D101" s="14" t="n">
        <f aca="false">NAV!D168</f>
        <v>169.738951211227</v>
      </c>
      <c r="F101" s="1" t="n">
        <f aca="false">Drivers!$C$660</f>
        <v>0</v>
      </c>
      <c r="G101" s="202" t="n">
        <f aca="false">D101/$D$19-1</f>
        <v>0.0427506524832693</v>
      </c>
      <c r="J101" s="1" t="s">
        <v>3028</v>
      </c>
    </row>
    <row r="102" customFormat="false" ht="15" hidden="false" customHeight="true" outlineLevel="0" collapsed="false">
      <c r="C102" s="17" t="s">
        <v>3029</v>
      </c>
      <c r="D102" s="1" t="n">
        <f aca="false">'Residual Income'!D45</f>
        <v>93.4605263806057</v>
      </c>
      <c r="F102" s="1" t="n">
        <f aca="false">Drivers!$C$661</f>
        <v>0</v>
      </c>
      <c r="G102" s="1" t="n">
        <f aca="false">D102/$D$19-1</f>
        <v>-0.425847607933372</v>
      </c>
      <c r="J102" s="1" t="s">
        <v>2063</v>
      </c>
    </row>
    <row r="103" customFormat="false" ht="15" hidden="false" customHeight="true" outlineLevel="0" collapsed="false">
      <c r="C103" s="17" t="s">
        <v>3030</v>
      </c>
      <c r="D103" s="14" t="n">
        <f aca="false">'Peer P-B vs ROE'!D80</f>
        <v>162.177052956792</v>
      </c>
      <c r="F103" s="1" t="n">
        <f aca="false">Drivers!$C$662</f>
        <v>0</v>
      </c>
      <c r="G103" s="202" t="n">
        <f aca="false">D103/$D$19-1</f>
        <v>-0.00370406096085785</v>
      </c>
      <c r="J103" s="1" t="s">
        <v>2065</v>
      </c>
    </row>
    <row r="104" customFormat="false" ht="15" hidden="false" customHeight="true" outlineLevel="0" collapsed="false">
      <c r="C104" s="17" t="s">
        <v>3031</v>
      </c>
      <c r="D104" s="163" t="n">
        <f aca="false">NAV!D182</f>
        <v>1.01414184245213</v>
      </c>
    </row>
    <row r="105" customFormat="false" ht="15" hidden="false" customHeight="true" outlineLevel="0" collapsed="false">
      <c r="C105" s="1" t="s">
        <v>3032</v>
      </c>
      <c r="D105" s="74" t="n">
        <f aca="false">Rating!D18</f>
        <v>162.565666188363</v>
      </c>
    </row>
    <row r="106" customFormat="false" ht="15" hidden="false" customHeight="true" outlineLevel="0" collapsed="false">
      <c r="C106" s="1" t="s">
        <v>3033</v>
      </c>
      <c r="D106" s="1" t="str">
        <f aca="false">Rating!D29</f>
        <v>HOLD</v>
      </c>
    </row>
    <row r="107" customFormat="false" ht="15" hidden="false" customHeight="true" outlineLevel="0" collapsed="false">
      <c r="C107" s="17" t="s">
        <v>3034</v>
      </c>
      <c r="D107" s="163" t="n">
        <f aca="false">NAV!F152/'3 Statement Forecast'!E39</f>
        <v>1.03931475468744</v>
      </c>
    </row>
    <row r="109" customFormat="false" ht="15" hidden="false" customHeight="true" outlineLevel="0" collapsed="false">
      <c r="A109" s="1" t="s">
        <v>11</v>
      </c>
      <c r="C109" s="27" t="s">
        <v>3035</v>
      </c>
    </row>
    <row r="110" customFormat="false" ht="15" hidden="false" customHeight="true" outlineLevel="0" collapsed="false">
      <c r="C110" s="17" t="s">
        <v>3036</v>
      </c>
      <c r="D110" s="18" t="n">
        <f aca="false">Drivers!C736</f>
        <v>2</v>
      </c>
      <c r="E110" s="18" t="str">
        <f aca="false">CHOOSE(Drivers!C736,"Bear","Base","Bull")</f>
        <v>Base</v>
      </c>
      <c r="J110" s="3" t="s">
        <v>3037</v>
      </c>
    </row>
    <row r="112" customFormat="false" ht="15" hidden="false" customHeight="true" outlineLevel="0" collapsed="false">
      <c r="C112" s="27" t="s">
        <v>3038</v>
      </c>
      <c r="D112" s="27" t="s">
        <v>1383</v>
      </c>
      <c r="E112" s="27" t="s">
        <v>1384</v>
      </c>
      <c r="F112" s="27" t="s">
        <v>1385</v>
      </c>
    </row>
    <row r="113" customFormat="false" ht="15" hidden="false" customHeight="true" outlineLevel="0" collapsed="false">
      <c r="C113" s="17" t="s">
        <v>3039</v>
      </c>
      <c r="D113" s="14" t="n">
        <f aca="false">Valuation!D152</f>
        <v>10.1192242708701</v>
      </c>
      <c r="E113" s="14" t="n">
        <f aca="false">Valuation!E152</f>
        <v>10.4326618449478</v>
      </c>
      <c r="F113" s="14" t="n">
        <f aca="false">Valuation!F152</f>
        <v>10.6589341968259</v>
      </c>
    </row>
    <row r="114" customFormat="false" ht="15" hidden="false" customHeight="true" outlineLevel="0" collapsed="false">
      <c r="C114" s="17" t="s">
        <v>3040</v>
      </c>
      <c r="D114" s="14" t="n">
        <f aca="false">Valuation!D159</f>
        <v>149.56213472346</v>
      </c>
      <c r="E114" s="14" t="n">
        <f aca="false">Valuation!E159</f>
        <v>170.469694546447</v>
      </c>
      <c r="F114" s="14" t="n">
        <f aca="false">Valuation!F159</f>
        <v>188.529898606358</v>
      </c>
    </row>
    <row r="115" customFormat="false" ht="15" hidden="false" customHeight="true" outlineLevel="0" collapsed="false">
      <c r="C115" s="17" t="s">
        <v>2089</v>
      </c>
      <c r="D115" s="41" t="n">
        <f aca="false">Valuation!D160</f>
        <v>-0.185967807524846</v>
      </c>
      <c r="E115" s="41" t="n">
        <f aca="false">Valuation!E160</f>
        <v>-0.0721727831794097</v>
      </c>
      <c r="F115" s="41" t="n">
        <f aca="false">Valuation!F160</f>
        <v>0.0261247406866495</v>
      </c>
    </row>
    <row r="116" customFormat="false" ht="15" hidden="false" customHeight="true" outlineLevel="0" collapsed="false">
      <c r="C116" s="17" t="s">
        <v>44</v>
      </c>
      <c r="D116" s="18" t="str">
        <f aca="false">Valuation!D161</f>
        <v>SELL</v>
      </c>
      <c r="E116" s="18" t="str">
        <f aca="false">Valuation!E161</f>
        <v>SELL</v>
      </c>
      <c r="F116" s="18" t="str">
        <f aca="false">Valuation!F161</f>
        <v>HOLD</v>
      </c>
    </row>
    <row r="118" customFormat="false" ht="15" hidden="false" customHeight="true" outlineLevel="0" collapsed="false">
      <c r="C118" s="3" t="s">
        <v>1991</v>
      </c>
      <c r="J118" s="3" t="s">
        <v>3041</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G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1" style="1" width="1.7"/>
    <col collapsed="false" customWidth="true" hidden="false" outlineLevel="0" max="3" min="3" style="1" width="5"/>
    <col collapsed="false" customWidth="true" hidden="false" outlineLevel="0" max="4" min="4" style="1" width="70"/>
    <col collapsed="false" customWidth="true" hidden="false" outlineLevel="0" max="5" min="5" style="1" width="15"/>
    <col collapsed="false" customWidth="true" hidden="false" outlineLevel="0" max="6" min="6" style="1" width="25"/>
    <col collapsed="false" customWidth="true" hidden="false" outlineLevel="0" max="7" min="7" style="1" width="55"/>
  </cols>
  <sheetData>
    <row r="2" customFormat="false" ht="15" hidden="false" customHeight="true" outlineLevel="0" collapsed="false">
      <c r="C2" s="27" t="str">
        <f aca="false">"Financial Statement Model - "&amp;Cover!$D$5</f>
        <v>Financial Statement Model - GATX Corporation</v>
      </c>
    </row>
    <row r="3" customFormat="false" ht="15" hidden="false" customHeight="true" outlineLevel="0" collapsed="false">
      <c r="C3" s="203" t="s">
        <v>1</v>
      </c>
    </row>
    <row r="5" customFormat="false" ht="15" hidden="false" customHeight="true" outlineLevel="0" collapsed="false">
      <c r="C5" s="17" t="s">
        <v>2</v>
      </c>
      <c r="D5" s="18" t="str">
        <f aca="false">Cover!$D$5</f>
        <v>GATX Corporation</v>
      </c>
    </row>
    <row r="6" customFormat="false" ht="15" hidden="false" customHeight="true" outlineLevel="0" collapsed="false">
      <c r="C6" s="17" t="s">
        <v>4</v>
      </c>
      <c r="D6" s="18" t="str">
        <f aca="false">Cover!$D$6</f>
        <v>GATX</v>
      </c>
    </row>
    <row r="7" customFormat="false" ht="15" hidden="false" customHeight="true" outlineLevel="0" collapsed="false">
      <c r="C7" s="17" t="s">
        <v>1551</v>
      </c>
      <c r="D7" s="18" t="n">
        <f aca="false">Cover!$D$7</f>
        <v>1</v>
      </c>
    </row>
    <row r="8" customFormat="false" ht="15" hidden="false" customHeight="true" outlineLevel="0" collapsed="false">
      <c r="C8" s="17" t="s">
        <v>7</v>
      </c>
      <c r="D8" s="204" t="n">
        <f aca="false">Cover!$D$8</f>
        <v>162.78</v>
      </c>
    </row>
    <row r="9" customFormat="false" ht="15" hidden="false" customHeight="true" outlineLevel="0" collapsed="false">
      <c r="C9" s="17" t="s">
        <v>8</v>
      </c>
      <c r="D9" s="205" t="n">
        <f aca="false">Cover!$D$9</f>
        <v>46303</v>
      </c>
    </row>
    <row r="10" customFormat="false" ht="15" hidden="false" customHeight="true" outlineLevel="0" collapsed="false">
      <c r="C10" s="17" t="s">
        <v>9</v>
      </c>
      <c r="D10" s="205" t="n">
        <f aca="false">Cover!$D$10</f>
        <v>46022</v>
      </c>
    </row>
    <row r="11" customFormat="false" ht="15" hidden="false" customHeight="true" outlineLevel="0" collapsed="false">
      <c r="C11" s="17" t="s">
        <v>1552</v>
      </c>
      <c r="D11" s="42" t="n">
        <f aca="false">Cover!$D$11</f>
        <v>35.8</v>
      </c>
    </row>
    <row r="12" customFormat="false" ht="15" hidden="false" customHeight="true" outlineLevel="0" collapsed="false">
      <c r="A12" s="22" t="s">
        <v>11</v>
      </c>
      <c r="C12" s="119" t="s">
        <v>3042</v>
      </c>
    </row>
    <row r="13" customFormat="false" ht="15" hidden="false" customHeight="true" outlineLevel="0" collapsed="false">
      <c r="C13" s="119" t="s">
        <v>14</v>
      </c>
      <c r="D13" s="119" t="s">
        <v>3043</v>
      </c>
      <c r="E13" s="119" t="s">
        <v>3044</v>
      </c>
      <c r="F13" s="119" t="s">
        <v>3045</v>
      </c>
      <c r="G13" s="119" t="s">
        <v>3046</v>
      </c>
    </row>
    <row r="14" customFormat="false" ht="31.5" hidden="false" customHeight="true" outlineLevel="0" collapsed="false">
      <c r="C14" s="17" t="s">
        <v>3047</v>
      </c>
      <c r="D14" s="206" t="s">
        <v>3048</v>
      </c>
      <c r="E14" s="160" t="n">
        <f aca="false">Drivers!C5+Drivers!C6+Drivers!C25+Drivers!C771+Drivers!C772</f>
        <v>255729</v>
      </c>
      <c r="F14" s="17" t="s">
        <v>3049</v>
      </c>
      <c r="G14" s="206" t="s">
        <v>3050</v>
      </c>
    </row>
    <row r="15" customFormat="false" ht="31.5" hidden="false" customHeight="true" outlineLevel="0" collapsed="false">
      <c r="C15" s="17" t="s">
        <v>3051</v>
      </c>
      <c r="D15" s="206" t="s">
        <v>3052</v>
      </c>
      <c r="E15" s="41" t="n">
        <f aca="false">Drivers!C7</f>
        <v>0.99</v>
      </c>
      <c r="F15" s="17" t="s">
        <v>3053</v>
      </c>
      <c r="G15" s="206" t="s">
        <v>3054</v>
      </c>
    </row>
    <row r="16" customFormat="false" ht="31.5" hidden="false" customHeight="true" outlineLevel="0" collapsed="false">
      <c r="C16" s="17" t="s">
        <v>3055</v>
      </c>
      <c r="D16" s="206" t="s">
        <v>3056</v>
      </c>
      <c r="E16" s="41" t="n">
        <f aca="false">Drivers!C33</f>
        <v>0.15</v>
      </c>
      <c r="F16" s="17" t="s">
        <v>3057</v>
      </c>
      <c r="G16" s="206" t="s">
        <v>3058</v>
      </c>
    </row>
    <row r="17" customFormat="false" ht="31.5" hidden="false" customHeight="true" outlineLevel="0" collapsed="false">
      <c r="C17" s="17" t="s">
        <v>3059</v>
      </c>
      <c r="D17" s="206" t="s">
        <v>3060</v>
      </c>
      <c r="E17" s="41" t="n">
        <f aca="false">Drivers!C38</f>
        <v>0.85</v>
      </c>
      <c r="F17" s="17" t="s">
        <v>3061</v>
      </c>
      <c r="G17" s="206" t="s">
        <v>3062</v>
      </c>
    </row>
    <row r="18" customFormat="false" ht="31.5" hidden="false" customHeight="true" outlineLevel="0" collapsed="false">
      <c r="C18" s="17" t="s">
        <v>3063</v>
      </c>
      <c r="D18" s="206" t="s">
        <v>3064</v>
      </c>
      <c r="E18" s="42" t="n">
        <f aca="false">'Segment P&amp;L'!F19</f>
        <v>1662.26502200311</v>
      </c>
      <c r="F18" s="17" t="s">
        <v>3065</v>
      </c>
      <c r="G18" s="206" t="s">
        <v>3066</v>
      </c>
    </row>
    <row r="19" customFormat="false" ht="31.5" hidden="false" customHeight="true" outlineLevel="0" collapsed="false">
      <c r="C19" s="17" t="s">
        <v>3067</v>
      </c>
      <c r="D19" s="206" t="s">
        <v>3068</v>
      </c>
      <c r="E19" s="42" t="n">
        <f aca="false">'3 Statement Forecast'!F18</f>
        <v>-621.161387447079</v>
      </c>
      <c r="F19" s="17" t="s">
        <v>3069</v>
      </c>
      <c r="G19" s="206" t="s">
        <v>3070</v>
      </c>
    </row>
    <row r="20" customFormat="false" ht="31.5" hidden="false" customHeight="true" outlineLevel="0" collapsed="false">
      <c r="C20" s="17" t="s">
        <v>3071</v>
      </c>
      <c r="D20" s="206" t="s">
        <v>3072</v>
      </c>
      <c r="E20" s="42" t="n">
        <f aca="false">'3 Statement Forecast'!F19</f>
        <v>-720</v>
      </c>
      <c r="F20" s="17" t="s">
        <v>3073</v>
      </c>
      <c r="G20" s="206" t="s">
        <v>3074</v>
      </c>
    </row>
    <row r="21" customFormat="false" ht="31.5" hidden="false" customHeight="true" outlineLevel="0" collapsed="false">
      <c r="C21" s="17" t="s">
        <v>3075</v>
      </c>
      <c r="D21" s="206" t="s">
        <v>3076</v>
      </c>
      <c r="E21" s="42" t="n">
        <f aca="false">'3 Statement Forecast'!F24</f>
        <v>-615.70826</v>
      </c>
      <c r="F21" s="17" t="s">
        <v>3077</v>
      </c>
      <c r="G21" s="206" t="s">
        <v>3078</v>
      </c>
    </row>
    <row r="22" customFormat="false" ht="31.5" hidden="false" customHeight="true" outlineLevel="0" collapsed="false">
      <c r="C22" s="17" t="s">
        <v>3079</v>
      </c>
      <c r="D22" s="206" t="s">
        <v>3080</v>
      </c>
      <c r="E22" s="41" t="n">
        <f aca="false">Drivers!C102</f>
        <v>0.053</v>
      </c>
      <c r="F22" s="17" t="s">
        <v>3081</v>
      </c>
      <c r="G22" s="206" t="s">
        <v>3082</v>
      </c>
    </row>
    <row r="23" customFormat="false" ht="31.5" hidden="false" customHeight="true" outlineLevel="0" collapsed="false">
      <c r="C23" s="17" t="s">
        <v>3083</v>
      </c>
      <c r="D23" s="206" t="s">
        <v>3084</v>
      </c>
      <c r="E23" s="42" t="n">
        <f aca="false">'3 Statement Forecast'!F23</f>
        <v>210.5</v>
      </c>
      <c r="F23" s="17" t="s">
        <v>3085</v>
      </c>
      <c r="G23" s="206" t="s">
        <v>3086</v>
      </c>
    </row>
    <row r="24" customFormat="false" ht="31.5" hidden="false" customHeight="true" outlineLevel="0" collapsed="false">
      <c r="C24" s="17" t="s">
        <v>3087</v>
      </c>
      <c r="D24" s="206" t="s">
        <v>3088</v>
      </c>
      <c r="E24" s="42" t="n">
        <f aca="false">'3 Statement Forecast'!F28</f>
        <v>150</v>
      </c>
      <c r="F24" s="17" t="s">
        <v>3089</v>
      </c>
      <c r="G24" s="206" t="s">
        <v>3090</v>
      </c>
    </row>
    <row r="25" customFormat="false" ht="31.5" hidden="false" customHeight="true" outlineLevel="0" collapsed="false">
      <c r="C25" s="17" t="s">
        <v>3091</v>
      </c>
      <c r="D25" s="206" t="s">
        <v>3092</v>
      </c>
      <c r="E25" s="42" t="n">
        <f aca="false">'3 Statement Forecast'!F30</f>
        <v>-25.309790625</v>
      </c>
      <c r="F25" s="17" t="s">
        <v>3093</v>
      </c>
      <c r="G25" s="206" t="s">
        <v>3094</v>
      </c>
    </row>
    <row r="26" customFormat="false" ht="31.5" hidden="false" customHeight="true" outlineLevel="0" collapsed="false">
      <c r="C26" s="17" t="s">
        <v>3095</v>
      </c>
      <c r="D26" s="206" t="s">
        <v>3096</v>
      </c>
      <c r="E26" s="42" t="n">
        <f aca="false">'3 Statement Forecast'!F31</f>
        <v>358.467180034485</v>
      </c>
      <c r="F26" s="17" t="s">
        <v>3097</v>
      </c>
      <c r="G26" s="206" t="s">
        <v>3098</v>
      </c>
    </row>
    <row r="27" customFormat="false" ht="31.5" hidden="false" customHeight="true" outlineLevel="0" collapsed="false">
      <c r="C27" s="17" t="s">
        <v>3099</v>
      </c>
      <c r="D27" s="206" t="s">
        <v>3100</v>
      </c>
      <c r="E27" s="160" t="n">
        <f aca="false">'3 Statement Forecast'!F32</f>
        <v>35.2265200268053</v>
      </c>
      <c r="F27" s="17" t="s">
        <v>3101</v>
      </c>
      <c r="G27" s="206" t="s">
        <v>3102</v>
      </c>
    </row>
    <row r="28" customFormat="false" ht="31.5" hidden="false" customHeight="true" outlineLevel="0" collapsed="false">
      <c r="C28" s="17" t="s">
        <v>3103</v>
      </c>
      <c r="D28" s="206" t="s">
        <v>3104</v>
      </c>
      <c r="E28" s="14" t="n">
        <f aca="false">'3 Statement Forecast'!F33</f>
        <v>10.1760599616912</v>
      </c>
      <c r="F28" s="17" t="s">
        <v>3105</v>
      </c>
      <c r="G28" s="206" t="s">
        <v>3106</v>
      </c>
    </row>
    <row r="29" customFormat="false" ht="31.5" hidden="false" customHeight="true" outlineLevel="0" collapsed="false">
      <c r="C29" s="17" t="s">
        <v>3107</v>
      </c>
      <c r="D29" s="206" t="s">
        <v>3108</v>
      </c>
      <c r="E29" s="14" t="n">
        <f aca="false">'Consensus Bridge'!D19</f>
        <v>1.09454003830884</v>
      </c>
      <c r="F29" s="17" t="s">
        <v>3109</v>
      </c>
      <c r="G29" s="206" t="s">
        <v>3110</v>
      </c>
    </row>
    <row r="30" customFormat="false" ht="31.5" hidden="false" customHeight="true" outlineLevel="0" collapsed="false">
      <c r="C30" s="17" t="s">
        <v>3111</v>
      </c>
      <c r="D30" s="206" t="s">
        <v>3112</v>
      </c>
      <c r="E30" s="45" t="n">
        <f aca="false">Valuation!D20</f>
        <v>16.34</v>
      </c>
      <c r="F30" s="17" t="s">
        <v>3113</v>
      </c>
      <c r="G30" s="206" t="s">
        <v>3114</v>
      </c>
    </row>
    <row r="31" customFormat="false" ht="31.5" hidden="false" customHeight="true" outlineLevel="0" collapsed="false">
      <c r="C31" s="17" t="s">
        <v>3115</v>
      </c>
      <c r="D31" s="206" t="s">
        <v>3116</v>
      </c>
      <c r="E31" s="14" t="n">
        <f aca="false">Valuation!E159</f>
        <v>170.469694546447</v>
      </c>
      <c r="F31" s="17" t="s">
        <v>3117</v>
      </c>
      <c r="G31" s="206" t="s">
        <v>3118</v>
      </c>
    </row>
    <row r="32" customFormat="false" ht="31.5" hidden="false" customHeight="true" outlineLevel="0" collapsed="false">
      <c r="C32" s="17" t="s">
        <v>3119</v>
      </c>
      <c r="D32" s="206" t="s">
        <v>3120</v>
      </c>
      <c r="E32" s="14" t="n">
        <f aca="false">Rating!D18</f>
        <v>162.565666188363</v>
      </c>
      <c r="F32" s="17" t="s">
        <v>3121</v>
      </c>
      <c r="G32" s="206" t="s">
        <v>3122</v>
      </c>
    </row>
    <row r="33" customFormat="false" ht="31.5" hidden="false" customHeight="true" outlineLevel="0" collapsed="false">
      <c r="C33" s="17" t="s">
        <v>3123</v>
      </c>
      <c r="D33" s="206" t="s">
        <v>3124</v>
      </c>
      <c r="E33" s="41" t="n">
        <f aca="false">Rating!D24</f>
        <v>0.0149015001128095</v>
      </c>
      <c r="F33" s="17" t="s">
        <v>2895</v>
      </c>
      <c r="G33" s="206" t="s">
        <v>3125</v>
      </c>
    </row>
    <row r="34" customFormat="false" ht="31.5" hidden="false" customHeight="true" outlineLevel="0" collapsed="false">
      <c r="C34" s="17" t="s">
        <v>3126</v>
      </c>
      <c r="D34" s="206" t="s">
        <v>3127</v>
      </c>
      <c r="E34" s="18" t="str">
        <f aca="false">Rating!D29</f>
        <v>HOLD</v>
      </c>
      <c r="F34" s="17" t="s">
        <v>3128</v>
      </c>
      <c r="G34" s="206" t="s">
        <v>3129</v>
      </c>
    </row>
    <row r="35" customFormat="false" ht="31.5" hidden="false" customHeight="true" outlineLevel="0" collapsed="false">
      <c r="C35" s="17" t="s">
        <v>3130</v>
      </c>
      <c r="D35" s="206" t="s">
        <v>3131</v>
      </c>
      <c r="E35" s="18" t="n">
        <f aca="false">Drivers!C736</f>
        <v>2</v>
      </c>
      <c r="F35" s="17" t="s">
        <v>3132</v>
      </c>
      <c r="G35" s="206" t="s">
        <v>3133</v>
      </c>
    </row>
    <row r="36" customFormat="false" ht="31.5" hidden="false" customHeight="true" outlineLevel="0" collapsed="false">
      <c r="C36" s="17" t="s">
        <v>3134</v>
      </c>
      <c r="D36" s="206" t="s">
        <v>3135</v>
      </c>
      <c r="E36" s="41" t="n">
        <f aca="false">Rating!D41</f>
        <v>0.523251977050738</v>
      </c>
      <c r="F36" s="17" t="s">
        <v>3136</v>
      </c>
      <c r="G36" s="206" t="s">
        <v>3137</v>
      </c>
    </row>
    <row r="37" customFormat="false" ht="31.5" hidden="false" customHeight="true" outlineLevel="0" collapsed="false">
      <c r="C37" s="17" t="s">
        <v>3138</v>
      </c>
      <c r="D37" s="206" t="s">
        <v>3139</v>
      </c>
      <c r="E37" s="42" t="n">
        <f aca="false">Rating!D49</f>
        <v>100.004650263395</v>
      </c>
      <c r="F37" s="17" t="s">
        <v>3140</v>
      </c>
      <c r="G37" s="206" t="s">
        <v>3141</v>
      </c>
    </row>
    <row r="38" customFormat="false" ht="31.5" hidden="false" customHeight="true" outlineLevel="0" collapsed="false">
      <c r="C38" s="17" t="s">
        <v>3142</v>
      </c>
      <c r="D38" s="206" t="s">
        <v>3143</v>
      </c>
      <c r="E38" s="14" t="n">
        <f aca="false">Rating!D60</f>
        <v>173.900701250909</v>
      </c>
      <c r="F38" s="17" t="s">
        <v>3144</v>
      </c>
      <c r="G38" s="206" t="s">
        <v>3145</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S3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2" customFormat="false" ht="15" hidden="false" customHeight="true" outlineLevel="0" collapsed="false">
      <c r="C2" s="1" t="str">
        <f aca="false">"Financial Statement Model - "&amp;Cover!$D$5</f>
        <v>Financial Statement Model - GATX Corporation</v>
      </c>
    </row>
    <row r="3" customFormat="false" ht="15" hidden="false" customHeight="true" outlineLevel="0" collapsed="false">
      <c r="C3" s="1" t="s">
        <v>1</v>
      </c>
    </row>
    <row r="5" customFormat="false" ht="15" hidden="false" customHeight="true" outlineLevel="0" collapsed="false">
      <c r="C5" s="1" t="s">
        <v>2</v>
      </c>
      <c r="D5" s="1" t="str">
        <f aca="false">Cover!$D$5</f>
        <v>GATX Corporation</v>
      </c>
    </row>
    <row r="6" customFormat="false" ht="15" hidden="false" customHeight="true" outlineLevel="0" collapsed="false">
      <c r="C6" s="1" t="s">
        <v>4</v>
      </c>
      <c r="D6" s="1" t="str">
        <f aca="false">Cover!$D$6</f>
        <v>GATX</v>
      </c>
    </row>
    <row r="7" customFormat="false" ht="15" hidden="false" customHeight="true" outlineLevel="0" collapsed="false">
      <c r="C7" s="1" t="s">
        <v>1551</v>
      </c>
      <c r="D7" s="1" t="n">
        <f aca="false">Cover!$D$7</f>
        <v>1</v>
      </c>
    </row>
    <row r="8" customFormat="false" ht="15" hidden="false" customHeight="true" outlineLevel="0" collapsed="false">
      <c r="C8" s="1" t="s">
        <v>7</v>
      </c>
      <c r="D8" s="157" t="n">
        <f aca="false">Cover!$D$8</f>
        <v>162.78</v>
      </c>
    </row>
    <row r="9" customFormat="false" ht="15" hidden="false" customHeight="true" outlineLevel="0" collapsed="false">
      <c r="C9" s="1" t="s">
        <v>8</v>
      </c>
      <c r="D9" s="158" t="n">
        <f aca="false">Cover!$D$9</f>
        <v>46303</v>
      </c>
    </row>
    <row r="10" customFormat="false" ht="15" hidden="false" customHeight="true" outlineLevel="0" collapsed="false">
      <c r="C10" s="1" t="s">
        <v>9</v>
      </c>
      <c r="D10" s="158" t="n">
        <f aca="false">Cover!$D$10</f>
        <v>46022</v>
      </c>
    </row>
    <row r="11" customFormat="false" ht="15" hidden="false" customHeight="true" outlineLevel="0" collapsed="false">
      <c r="C11" s="1" t="s">
        <v>1552</v>
      </c>
      <c r="D11" s="73" t="n">
        <f aca="false">Cover!$D$11</f>
        <v>35.8</v>
      </c>
    </row>
    <row r="13" customFormat="false" ht="15" hidden="false" customHeight="true" outlineLevel="0" collapsed="false">
      <c r="A13" s="1" t="s">
        <v>11</v>
      </c>
    </row>
    <row r="14" customFormat="false" ht="15" hidden="false" customHeight="true" outlineLevel="0" collapsed="false">
      <c r="C14" s="1" t="s">
        <v>3146</v>
      </c>
    </row>
    <row r="15" customFormat="false" ht="15" hidden="false" customHeight="true" outlineLevel="0" collapsed="false">
      <c r="C15" s="1" t="s">
        <v>2368</v>
      </c>
      <c r="D15" s="1" t="s">
        <v>1555</v>
      </c>
      <c r="E15" s="1" t="s">
        <v>1556</v>
      </c>
      <c r="F15" s="1" t="s">
        <v>1557</v>
      </c>
      <c r="G15" s="1" t="s">
        <v>1558</v>
      </c>
      <c r="H15" s="1" t="s">
        <v>1559</v>
      </c>
      <c r="I15" s="1" t="s">
        <v>1531</v>
      </c>
      <c r="J15" s="1" t="s">
        <v>1532</v>
      </c>
      <c r="K15" s="1" t="s">
        <v>1533</v>
      </c>
      <c r="L15" s="1" t="s">
        <v>1534</v>
      </c>
      <c r="M15" s="1" t="s">
        <v>1535</v>
      </c>
      <c r="N15" s="1" t="s">
        <v>1536</v>
      </c>
      <c r="O15" s="1" t="s">
        <v>1537</v>
      </c>
      <c r="P15" s="1" t="s">
        <v>1538</v>
      </c>
      <c r="Q15" s="1" t="s">
        <v>1539</v>
      </c>
      <c r="R15" s="1" t="s">
        <v>1540</v>
      </c>
      <c r="S15" s="1" t="s">
        <v>1541</v>
      </c>
    </row>
    <row r="16" customFormat="false" ht="15" hidden="false" customHeight="true" outlineLevel="0" collapsed="false">
      <c r="C16" s="1" t="s">
        <v>2910</v>
      </c>
      <c r="D16" s="73" t="n">
        <f aca="false">Historicals!D20</f>
        <v>1209.2</v>
      </c>
      <c r="E16" s="73" t="n">
        <f aca="false">Historicals!E20</f>
        <v>1257.4</v>
      </c>
      <c r="F16" s="73" t="n">
        <f aca="false">Historicals!F20</f>
        <v>1273</v>
      </c>
      <c r="G16" s="73" t="n">
        <f aca="false">Historicals!G20</f>
        <v>1410.9</v>
      </c>
      <c r="H16" s="73" t="n">
        <f aca="false">Historicals!H20</f>
        <v>1585.5</v>
      </c>
      <c r="I16" s="73" t="n">
        <f aca="false">Historicals!I20</f>
        <v>1740.4</v>
      </c>
      <c r="J16" s="73" t="n">
        <f aca="false">'3 Statement Forecast'!E17</f>
        <v>2385.45465384829</v>
      </c>
      <c r="K16" s="73" t="n">
        <f aca="false">'3 Statement Forecast'!F17</f>
        <v>2471.47905200311</v>
      </c>
      <c r="L16" s="73" t="n">
        <f aca="false">'3 Statement Forecast'!G17</f>
        <v>2553.71160919839</v>
      </c>
      <c r="M16" s="73" t="n">
        <f aca="false">'3 Statement Forecast'!H17</f>
        <v>2622.88062791535</v>
      </c>
      <c r="N16" s="73" t="n">
        <f aca="false">'3 Statement Forecast'!I17</f>
        <v>2673.49375612723</v>
      </c>
      <c r="O16" s="73" t="n">
        <f aca="false">'3 Statement Forecast'!J17</f>
        <v>2715.56937599861</v>
      </c>
      <c r="P16" s="73" t="n">
        <f aca="false">'3 Statement Forecast'!K17</f>
        <v>2762.92488591932</v>
      </c>
      <c r="Q16" s="73" t="n">
        <f aca="false">'3 Statement Forecast'!L17</f>
        <v>2811.62859432273</v>
      </c>
      <c r="R16" s="73" t="n">
        <f aca="false">'3 Statement Forecast'!M17</f>
        <v>2861.73236546795</v>
      </c>
      <c r="S16" s="73" t="n">
        <f aca="false">'3 Statement Forecast'!N17</f>
        <v>2913.28200360693</v>
      </c>
    </row>
    <row r="17" customFormat="false" ht="15" hidden="false" customHeight="true" outlineLevel="0" collapsed="false">
      <c r="C17" s="1" t="s">
        <v>3147</v>
      </c>
      <c r="E17" s="1" t="n">
        <f aca="false">IF(D16=0,0,E16/D16-1)</f>
        <v>0.0398610651670526</v>
      </c>
      <c r="F17" s="1" t="n">
        <f aca="false">IF(E16=0,0,F16/E16-1)</f>
        <v>0.0124065532050262</v>
      </c>
      <c r="G17" s="1" t="n">
        <f aca="false">IF(F16=0,0,G16/F16-1)</f>
        <v>0.108326787117046</v>
      </c>
      <c r="H17" s="1" t="n">
        <f aca="false">IF(G16=0,0,H16/G16-1)</f>
        <v>0.123750797363385</v>
      </c>
      <c r="I17" s="1" t="n">
        <f aca="false">IF(H16=0,0,I16/H16-1)</f>
        <v>0.0976978871018606</v>
      </c>
      <c r="J17" s="1" t="n">
        <f aca="false">IF(I16=0,0,J16/I16-1)</f>
        <v>0.370635861783663</v>
      </c>
      <c r="K17" s="1" t="n">
        <f aca="false">IF(J16=0,0,K16/J16-1)</f>
        <v>0.0360620555146787</v>
      </c>
      <c r="L17" s="1" t="n">
        <f aca="false">IF(K16=0,0,L16/K16-1)</f>
        <v>0.0332726094233446</v>
      </c>
      <c r="M17" s="1" t="n">
        <f aca="false">IF(L16=0,0,M16/L16-1)</f>
        <v>0.0270856812757609</v>
      </c>
      <c r="N17" s="1" t="n">
        <f aca="false">IF(M16=0,0,N16/M16-1)</f>
        <v>0.0192967715241053</v>
      </c>
      <c r="O17" s="1" t="n">
        <f aca="false">IF(N16=0,0,O16/N16-1)</f>
        <v>0.0157380655088284</v>
      </c>
      <c r="P17" s="1" t="n">
        <f aca="false">IF(O16=0,0,P16/O16-1)</f>
        <v>0.0174385196486841</v>
      </c>
      <c r="Q17" s="1" t="n">
        <f aca="false">IF(P16=0,0,Q16/P16-1)</f>
        <v>0.017627590475445</v>
      </c>
      <c r="R17" s="1" t="n">
        <f aca="false">IF(Q16=0,0,R16/Q16-1)</f>
        <v>0.0178201954719037</v>
      </c>
      <c r="S17" s="1" t="n">
        <f aca="false">IF(R16=0,0,S16/R16-1)</f>
        <v>0.018013437860585</v>
      </c>
    </row>
    <row r="18" customFormat="false" ht="15" hidden="false" customHeight="true" outlineLevel="0" collapsed="false">
      <c r="C18" s="1" t="s">
        <v>3148</v>
      </c>
      <c r="I18" s="74" t="n">
        <f aca="false">'3 Statement Forecast'!D33</f>
        <v>9.28412256267411</v>
      </c>
      <c r="J18" s="74" t="n">
        <f aca="false">'3 Statement Forecast'!E33</f>
        <v>10.2892230192277</v>
      </c>
      <c r="K18" s="74" t="n">
        <f aca="false">'3 Statement Forecast'!F33</f>
        <v>10.1760599616912</v>
      </c>
      <c r="L18" s="74" t="n">
        <f aca="false">'3 Statement Forecast'!G33</f>
        <v>10.6857265710515</v>
      </c>
      <c r="M18" s="74" t="n">
        <f aca="false">'3 Statement Forecast'!H33</f>
        <v>11.1795213584477</v>
      </c>
      <c r="N18" s="74" t="n">
        <f aca="false">'3 Statement Forecast'!I33</f>
        <v>11.1398182838866</v>
      </c>
      <c r="O18" s="74" t="n">
        <f aca="false">'3 Statement Forecast'!J33</f>
        <v>11.804738698933</v>
      </c>
      <c r="P18" s="74" t="n">
        <f aca="false">'3 Statement Forecast'!K33</f>
        <v>12.1823716250541</v>
      </c>
      <c r="Q18" s="74" t="n">
        <f aca="false">'3 Statement Forecast'!L33</f>
        <v>12.7445069277566</v>
      </c>
      <c r="R18" s="74" t="n">
        <f aca="false">'3 Statement Forecast'!M33</f>
        <v>13.4029310676698</v>
      </c>
      <c r="S18" s="74" t="n">
        <f aca="false">'3 Statement Forecast'!N33</f>
        <v>14.1651719104777</v>
      </c>
    </row>
    <row r="19" customFormat="false" ht="15" hidden="false" customHeight="true" outlineLevel="0" collapsed="false">
      <c r="C19" s="1" t="s">
        <v>3149</v>
      </c>
      <c r="J19" s="207" t="n">
        <f aca="false">Drivers!C53</f>
        <v>9.9</v>
      </c>
    </row>
    <row r="20" customFormat="false" ht="15" hidden="false" customHeight="true" outlineLevel="0" collapsed="false">
      <c r="C20" s="1" t="s">
        <v>3150</v>
      </c>
      <c r="J20" s="207" t="n">
        <f aca="false">Drivers!C54</f>
        <v>10.3</v>
      </c>
    </row>
    <row r="21" customFormat="false" ht="15" hidden="false" customHeight="true" outlineLevel="0" collapsed="false">
      <c r="C21" s="1" t="s">
        <v>3151</v>
      </c>
      <c r="J21" s="207" t="n">
        <f aca="false">Drivers!C147</f>
        <v>10.228</v>
      </c>
      <c r="K21" s="207" t="n">
        <f aca="false">Drivers!C148</f>
        <v>11.271</v>
      </c>
    </row>
    <row r="22" customFormat="false" ht="15" hidden="false" customHeight="true" outlineLevel="0" collapsed="false">
      <c r="C22" s="1" t="s">
        <v>2912</v>
      </c>
      <c r="I22" s="73" t="n">
        <f aca="false">'3 Statement Forecast'!D24</f>
        <v>-391.5</v>
      </c>
      <c r="J22" s="73" t="n">
        <f aca="false">'3 Statement Forecast'!E24</f>
        <v>-588.82599</v>
      </c>
      <c r="K22" s="73" t="n">
        <f aca="false">'3 Statement Forecast'!F24</f>
        <v>-615.70826</v>
      </c>
      <c r="L22" s="73" t="n">
        <f aca="false">'3 Statement Forecast'!G24</f>
        <v>-642.39824</v>
      </c>
      <c r="M22" s="73" t="n">
        <f aca="false">'3 Statement Forecast'!H24</f>
        <v>-669.29324</v>
      </c>
      <c r="N22" s="73" t="n">
        <f aca="false">'3 Statement Forecast'!I24</f>
        <v>-715.76368</v>
      </c>
      <c r="O22" s="73" t="n">
        <f aca="false">'3 Statement Forecast'!J24</f>
        <v>-727.515906481672</v>
      </c>
      <c r="P22" s="73" t="n">
        <f aca="false">'3 Statement Forecast'!K24</f>
        <v>-739.771592478908</v>
      </c>
      <c r="Q22" s="73" t="n">
        <f aca="false">'3 Statement Forecast'!L24</f>
        <v>-749.387564824669</v>
      </c>
      <c r="R22" s="73" t="n">
        <f aca="false">'3 Statement Forecast'!M24</f>
        <v>-758.674606345337</v>
      </c>
      <c r="S22" s="73" t="n">
        <f aca="false">'3 Statement Forecast'!N24</f>
        <v>-767.654064565949</v>
      </c>
    </row>
    <row r="23" customFormat="false" ht="15" hidden="false" customHeight="true" outlineLevel="0" collapsed="false">
      <c r="C23" s="1" t="s">
        <v>2116</v>
      </c>
      <c r="I23" s="73" t="n">
        <f aca="false">'3 Statement Forecast'!D47</f>
        <v>12533.9</v>
      </c>
      <c r="J23" s="73" t="n">
        <f aca="false">'3 Statement Forecast'!E47</f>
        <v>12516.9559948862</v>
      </c>
      <c r="K23" s="73" t="n">
        <f aca="false">'3 Statement Forecast'!F47</f>
        <v>13017.9685702222</v>
      </c>
      <c r="L23" s="73" t="n">
        <f aca="false">'3 Statement Forecast'!G47</f>
        <v>13493.695223489</v>
      </c>
      <c r="M23" s="73" t="n">
        <f aca="false">'3 Statement Forecast'!H47</f>
        <v>13952.4318435715</v>
      </c>
      <c r="N23" s="73" t="n">
        <f aca="false">'3 Statement Forecast'!I47</f>
        <v>14418.2542053421</v>
      </c>
      <c r="O23" s="73" t="n">
        <f aca="false">'3 Statement Forecast'!J47</f>
        <v>14661.1431849434</v>
      </c>
      <c r="P23" s="73" t="n">
        <f aca="false">'3 Statement Forecast'!K47</f>
        <v>14851.7170713388</v>
      </c>
      <c r="Q23" s="73" t="n">
        <f aca="false">'3 Statement Forecast'!L47</f>
        <v>15035.7720511236</v>
      </c>
      <c r="R23" s="73" t="n">
        <f aca="false">'3 Statement Forecast'!M47</f>
        <v>15213.7311996419</v>
      </c>
      <c r="S23" s="73" t="n">
        <f aca="false">'3 Statement Forecast'!N47</f>
        <v>15386.0403928883</v>
      </c>
    </row>
    <row r="24" customFormat="false" ht="15" hidden="false" customHeight="true" outlineLevel="0" collapsed="false">
      <c r="C24" s="1" t="s">
        <v>3152</v>
      </c>
      <c r="J24" s="43" t="n">
        <f aca="false">Drivers!C32</f>
        <v>0.185</v>
      </c>
      <c r="K24" s="43" t="n">
        <f aca="false">Drivers!C33</f>
        <v>0.15</v>
      </c>
      <c r="L24" s="43" t="n">
        <f aca="false">Drivers!C34</f>
        <v>0.1</v>
      </c>
      <c r="M24" s="43" t="n">
        <f aca="false">Drivers!C35</f>
        <v>0.05</v>
      </c>
      <c r="N24" s="43" t="n">
        <f aca="false">Drivers!C36</f>
        <v>-0.02</v>
      </c>
      <c r="O24" s="43" t="n">
        <f aca="false">Drivers!C704</f>
        <v>0.02</v>
      </c>
      <c r="P24" s="43" t="n">
        <f aca="false">Drivers!C704</f>
        <v>0.02</v>
      </c>
      <c r="Q24" s="43" t="n">
        <f aca="false">Drivers!C704</f>
        <v>0.02</v>
      </c>
      <c r="R24" s="43" t="n">
        <f aca="false">Drivers!C704</f>
        <v>0.02</v>
      </c>
      <c r="S24" s="43" t="n">
        <f aca="false">Drivers!C704</f>
        <v>0.02</v>
      </c>
    </row>
    <row r="25" customFormat="false" ht="15" hidden="false" customHeight="true" outlineLevel="0" collapsed="false">
      <c r="C25" s="1" t="s">
        <v>3153</v>
      </c>
      <c r="I25" s="73" t="n">
        <f aca="false">'3 Statement Forecast'!D73</f>
        <v>644.7</v>
      </c>
      <c r="J25" s="73" t="n">
        <f aca="false">'3 Statement Forecast'!E73</f>
        <v>986.921005113826</v>
      </c>
      <c r="K25" s="73" t="n">
        <f aca="false">'3 Statement Forecast'!F73</f>
        <v>925.562198448334</v>
      </c>
      <c r="L25" s="73" t="n">
        <f aca="false">'3 Statement Forecast'!G73</f>
        <v>942.330658327632</v>
      </c>
      <c r="M25" s="73" t="n">
        <f aca="false">'3 Statement Forecast'!H73</f>
        <v>950.85383335742</v>
      </c>
      <c r="N25" s="73" t="n">
        <f aca="false">'3 Statement Forecast'!I73</f>
        <v>935.35083741372</v>
      </c>
      <c r="O25" s="73" t="n">
        <f aca="false">'3 Statement Forecast'!J73</f>
        <v>942.226848565745</v>
      </c>
      <c r="P25" s="73" t="n">
        <f aca="false">'3 Statement Forecast'!K73</f>
        <v>957.489497588075</v>
      </c>
      <c r="Q25" s="73" t="n">
        <f aca="false">'3 Statement Forecast'!L73</f>
        <v>974.303644033455</v>
      </c>
      <c r="R25" s="73" t="n">
        <f aca="false">'3 Statement Forecast'!M73</f>
        <v>992.00706383639</v>
      </c>
      <c r="S25" s="73" t="n">
        <f aca="false">'3 Statement Forecast'!N73</f>
        <v>1010.60254591626</v>
      </c>
    </row>
    <row r="26" customFormat="false" ht="15" hidden="false" customHeight="true" outlineLevel="0" collapsed="false">
      <c r="C26" s="1" t="s">
        <v>3154</v>
      </c>
      <c r="I26" s="73" t="n">
        <f aca="false">'3 Statement Forecast'!D75</f>
        <v>-1316.7</v>
      </c>
      <c r="J26" s="73" t="n">
        <f aca="false">'3 Statement Forecast'!E75</f>
        <v>-1041</v>
      </c>
      <c r="K26" s="73" t="n">
        <f aca="false">'3 Statement Forecast'!F75</f>
        <v>-1400</v>
      </c>
      <c r="L26" s="73" t="n">
        <f aca="false">'3 Statement Forecast'!G75</f>
        <v>-1400</v>
      </c>
      <c r="M26" s="73" t="n">
        <f aca="false">'3 Statement Forecast'!H75</f>
        <v>-1400</v>
      </c>
      <c r="N26" s="73" t="n">
        <f aca="false">'3 Statement Forecast'!I75</f>
        <v>-1400</v>
      </c>
      <c r="O26" s="73" t="n">
        <f aca="false">'3 Statement Forecast'!J75</f>
        <v>-1190</v>
      </c>
      <c r="P26" s="73" t="n">
        <f aca="false">'3 Statement Forecast'!K75</f>
        <v>-1159.27004706693</v>
      </c>
      <c r="Q26" s="73" t="n">
        <f aca="false">'3 Statement Forecast'!L75</f>
        <v>-1173.12227624154</v>
      </c>
      <c r="R26" s="73" t="n">
        <f aca="false">'3 Statement Forecast'!M75</f>
        <v>-1187.11302770789</v>
      </c>
      <c r="S26" s="73" t="n">
        <f aca="false">'3 Statement Forecast'!N75</f>
        <v>-1201.24368668891</v>
      </c>
    </row>
    <row r="27" customFormat="false" ht="15" hidden="false" customHeight="true" outlineLevel="0" collapsed="false">
      <c r="C27" s="1" t="s">
        <v>3155</v>
      </c>
      <c r="I27" s="73" t="n">
        <f aca="false">'3 Statement Forecast'!D85</f>
        <v>-65</v>
      </c>
      <c r="J27" s="73" t="n">
        <f aca="false">'3 Statement Forecast'!E85</f>
        <v>-100</v>
      </c>
      <c r="K27" s="73" t="n">
        <f aca="false">'3 Statement Forecast'!F85</f>
        <v>-100</v>
      </c>
      <c r="L27" s="73" t="n">
        <f aca="false">'3 Statement Forecast'!G85</f>
        <v>-100</v>
      </c>
      <c r="M27" s="73" t="n">
        <f aca="false">'3 Statement Forecast'!H85</f>
        <v>-100</v>
      </c>
      <c r="N27" s="73" t="n">
        <f aca="false">'3 Statement Forecast'!I85</f>
        <v>-100</v>
      </c>
      <c r="O27" s="73" t="n">
        <f aca="false">'3 Statement Forecast'!J85</f>
        <v>-104.32551239262</v>
      </c>
      <c r="P27" s="73" t="n">
        <f aca="false">'3 Statement Forecast'!K85</f>
        <v>-105.998039778235</v>
      </c>
      <c r="Q27" s="73" t="n">
        <f aca="false">'3 Statement Forecast'!L85</f>
        <v>-109.15624105382</v>
      </c>
      <c r="R27" s="73" t="n">
        <f aca="false">'3 Statement Forecast'!M85</f>
        <v>-112.973246113599</v>
      </c>
      <c r="S27" s="73" t="n">
        <f aca="false">'3 Statement Forecast'!N85</f>
        <v>-117.463327059187</v>
      </c>
    </row>
    <row r="28" customFormat="false" ht="15" hidden="false" customHeight="true" outlineLevel="0" collapsed="false">
      <c r="C28" s="1" t="s">
        <v>3156</v>
      </c>
      <c r="I28" s="73" t="n">
        <f aca="false">'3 Statement Forecast'!D86</f>
        <v>-89.8</v>
      </c>
      <c r="J28" s="73" t="n">
        <f aca="false">'3 Statement Forecast'!E86</f>
        <v>-94.512</v>
      </c>
      <c r="K28" s="73" t="n">
        <f aca="false">'3 Statement Forecast'!F86</f>
        <v>-96.5206648734464</v>
      </c>
      <c r="L28" s="73" t="n">
        <f aca="false">'3 Statement Forecast'!G86</f>
        <v>-95.0024666835396</v>
      </c>
      <c r="M28" s="73" t="n">
        <f aca="false">'3 Statement Forecast'!H86</f>
        <v>-93.5356085290402</v>
      </c>
      <c r="N28" s="73" t="n">
        <f aca="false">'3 Statement Forecast'!I86</f>
        <v>-92.1183542734852</v>
      </c>
      <c r="O28" s="73" t="n">
        <f aca="false">'3 Statement Forecast'!J86</f>
        <v>-96.102945103462</v>
      </c>
      <c r="P28" s="73" t="n">
        <f aca="false">'3 Statement Forecast'!K86</f>
        <v>-97.6436498058642</v>
      </c>
      <c r="Q28" s="73" t="n">
        <f aca="false">'3 Statement Forecast'!L86</f>
        <v>-100.552932845577</v>
      </c>
      <c r="R28" s="73" t="n">
        <f aca="false">'3 Statement Forecast'!M86</f>
        <v>-104.069095089182</v>
      </c>
      <c r="S28" s="73" t="n">
        <f aca="false">'3 Statement Forecast'!N86</f>
        <v>-108.205283761805</v>
      </c>
    </row>
    <row r="29" customFormat="false" ht="15" hidden="false" customHeight="true" outlineLevel="0" collapsed="false">
      <c r="C29" s="1" t="s">
        <v>3157</v>
      </c>
      <c r="I29" s="73" t="n">
        <f aca="false">'3 Statement Forecast'!D82</f>
        <v>0</v>
      </c>
      <c r="J29" s="73" t="n">
        <f aca="false">'3 Statement Forecast'!E82</f>
        <v>-16.9440051138254</v>
      </c>
      <c r="K29" s="73" t="n">
        <f aca="false">'3 Statement Forecast'!F82</f>
        <v>501.012575336003</v>
      </c>
      <c r="L29" s="73" t="n">
        <f aca="false">'3 Statement Forecast'!G82</f>
        <v>475.726653266799</v>
      </c>
      <c r="M29" s="73" t="n">
        <f aca="false">'3 Statement Forecast'!H82</f>
        <v>458.736620082511</v>
      </c>
      <c r="N29" s="73" t="n">
        <f aca="false">'3 Statement Forecast'!I82</f>
        <v>465.822361770656</v>
      </c>
      <c r="O29" s="73" t="n">
        <f aca="false">'3 Statement Forecast'!J82</f>
        <v>242.888979601227</v>
      </c>
      <c r="P29" s="73" t="n">
        <f aca="false">'3 Statement Forecast'!K82</f>
        <v>190.57388639545</v>
      </c>
      <c r="Q29" s="73" t="n">
        <f aca="false">'3 Statement Forecast'!L82</f>
        <v>184.054979784729</v>
      </c>
      <c r="R29" s="73" t="n">
        <f aca="false">'3 Statement Forecast'!M82</f>
        <v>177.959148518352</v>
      </c>
      <c r="S29" s="73" t="n">
        <f aca="false">'3 Statement Forecast'!N82</f>
        <v>172.309193246367</v>
      </c>
    </row>
    <row r="30" customFormat="false" ht="15" hidden="false" customHeight="true" outlineLevel="0" collapsed="false">
      <c r="C30" s="1" t="s">
        <v>1651</v>
      </c>
      <c r="I30" s="73" t="n">
        <f aca="false">'3 Statement Forecast'!D32</f>
        <v>35.9</v>
      </c>
      <c r="J30" s="73" t="n">
        <f aca="false">'3 Statement Forecast'!E32</f>
        <v>35.8</v>
      </c>
      <c r="K30" s="73" t="n">
        <f aca="false">'3 Statement Forecast'!F32</f>
        <v>35.2265200268053</v>
      </c>
      <c r="L30" s="73" t="n">
        <f aca="false">'3 Statement Forecast'!G32</f>
        <v>34.6724330961823</v>
      </c>
      <c r="M30" s="73" t="n">
        <f aca="false">'3 Statement Forecast'!H32</f>
        <v>34.1370834047592</v>
      </c>
      <c r="N30" s="73" t="n">
        <f aca="false">'3 Statement Forecast'!I32</f>
        <v>33.6198373260895</v>
      </c>
      <c r="O30" s="73" t="n">
        <f aca="false">'3 Statement Forecast'!J32</f>
        <v>33.0984657107244</v>
      </c>
      <c r="P30" s="73" t="n">
        <f aca="false">'3 Statement Forecast'!K32</f>
        <v>32.5866491416379</v>
      </c>
      <c r="Q30" s="73" t="n">
        <f aca="false">'3 Statement Forecast'!L32</f>
        <v>32.0774065388034</v>
      </c>
      <c r="R30" s="73" t="n">
        <f aca="false">'3 Statement Forecast'!M32</f>
        <v>31.5681795471438</v>
      </c>
      <c r="S30" s="73" t="n">
        <f aca="false">'3 Statement Forecast'!N32</f>
        <v>31.0566181607745</v>
      </c>
    </row>
    <row r="31" customFormat="false" ht="15" hidden="false" customHeight="true" outlineLevel="0" collapsed="false">
      <c r="C31" s="1" t="s">
        <v>3158</v>
      </c>
      <c r="I31" s="1" t="n">
        <f aca="false">'Debt &amp; Interest'!D54</f>
        <v>0.820045274920834</v>
      </c>
      <c r="J31" s="1" t="n">
        <f aca="false">'Debt &amp; Interest'!E54</f>
        <v>0.810374110320414</v>
      </c>
      <c r="K31" s="1" t="n">
        <f aca="false">'Debt &amp; Interest'!F54</f>
        <v>0.80904582672432</v>
      </c>
      <c r="L31" s="1" t="n">
        <f aca="false">'Debt &amp; Interest'!G54</f>
        <v>0.806874708704955</v>
      </c>
      <c r="M31" s="1" t="n">
        <f aca="false">'Debt &amp; Interest'!H54</f>
        <v>0.804086275251752</v>
      </c>
      <c r="N31" s="1" t="n">
        <f aca="false">'Debt &amp; Interest'!I54</f>
        <v>0.801825070057304</v>
      </c>
      <c r="O31" s="1" t="n">
        <f aca="false">'Debt &amp; Interest'!J54</f>
        <v>0.79694688307361</v>
      </c>
      <c r="P31" s="1" t="n">
        <f aca="false">'Debt &amp; Interest'!K54</f>
        <v>0.791575846596297</v>
      </c>
      <c r="Q31" s="1" t="n">
        <f aca="false">'Debt &amp; Interest'!L54</f>
        <v>0.786100474290799</v>
      </c>
      <c r="R31" s="1" t="n">
        <f aca="false">'Debt &amp; Interest'!M54</f>
        <v>0.780482632406069</v>
      </c>
      <c r="S31" s="1" t="n">
        <f aca="false">'Debt &amp; Interest'!N54</f>
        <v>0.777467047088574</v>
      </c>
    </row>
    <row r="32" customFormat="false" ht="15" hidden="false" customHeight="true" outlineLevel="0" collapsed="false">
      <c r="C32" s="1" t="s">
        <v>3159</v>
      </c>
      <c r="I32" s="1" t="n">
        <f aca="false">'Debt &amp; Interest'!D55</f>
        <v>10.6956640058055</v>
      </c>
      <c r="J32" s="1" t="n">
        <f aca="false">'Debt &amp; Interest'!E55</f>
        <v>7.38776236122572</v>
      </c>
      <c r="K32" s="1" t="n">
        <f aca="false">'Debt &amp; Interest'!F55</f>
        <v>7.46716810957795</v>
      </c>
      <c r="L32" s="1" t="n">
        <f aca="false">'Debt &amp; Interest'!G55</f>
        <v>7.53507749975258</v>
      </c>
      <c r="M32" s="1" t="n">
        <f aca="false">'Debt &amp; Interest'!H55</f>
        <v>7.62308135350445</v>
      </c>
      <c r="N32" s="1" t="n">
        <f aca="false">'Debt &amp; Interest'!I55</f>
        <v>7.75876804622464</v>
      </c>
      <c r="O32" s="1" t="n">
        <f aca="false">'Debt &amp; Interest'!J55</f>
        <v>7.7553564929422</v>
      </c>
      <c r="P32" s="1" t="n">
        <f aca="false">'Debt &amp; Interest'!K55</f>
        <v>7.73073700898048</v>
      </c>
      <c r="Q32" s="1" t="n">
        <f aca="false">'Debt &amp; Interest'!L55</f>
        <v>7.69975173957428</v>
      </c>
      <c r="R32" s="1" t="n">
        <f aca="false">'Debt &amp; Interest'!M55</f>
        <v>7.6628479283095</v>
      </c>
      <c r="S32" s="1" t="n">
        <f aca="false">'Debt &amp; Interest'!N55</f>
        <v>7.62048812533836</v>
      </c>
    </row>
    <row r="33" customFormat="false" ht="15" hidden="false" customHeight="true" outlineLevel="0" collapsed="false">
      <c r="C33" s="1" t="s">
        <v>3160</v>
      </c>
      <c r="I33" s="73" t="n">
        <f aca="false">'3 Statement Forecast'!D19</f>
        <v>-431.8</v>
      </c>
      <c r="J33" s="73" t="n">
        <f aca="false">'3 Statement Forecast'!E19</f>
        <v>-671.4</v>
      </c>
      <c r="K33" s="73" t="n">
        <f aca="false">'3 Statement Forecast'!F19</f>
        <v>-720</v>
      </c>
      <c r="L33" s="73" t="n">
        <f aca="false">'3 Statement Forecast'!G19</f>
        <v>-720</v>
      </c>
      <c r="M33" s="73" t="n">
        <f aca="false">'3 Statement Forecast'!H19</f>
        <v>-720</v>
      </c>
      <c r="N33" s="73" t="n">
        <f aca="false">'3 Statement Forecast'!I19</f>
        <v>-720</v>
      </c>
      <c r="O33" s="73" t="n">
        <f aca="false">'3 Statement Forecast'!J19</f>
        <v>-720</v>
      </c>
      <c r="P33" s="73" t="n">
        <f aca="false">'3 Statement Forecast'!K19</f>
        <v>-732.835297066934</v>
      </c>
      <c r="Q33" s="73" t="n">
        <f aca="false">'3 Statement Forecast'!L19</f>
        <v>-743.923178741539</v>
      </c>
      <c r="R33" s="73" t="n">
        <f aca="false">'3 Statement Forecast'!M19</f>
        <v>-755.12193923289</v>
      </c>
      <c r="S33" s="73" t="n">
        <f aca="false">'3 Statement Forecast'!N19</f>
        <v>-766.432687329155</v>
      </c>
    </row>
    <row r="34" customFormat="false" ht="15" hidden="false" customHeight="true" outlineLevel="0" collapsed="false">
      <c r="C34" s="1" t="s">
        <v>3161</v>
      </c>
      <c r="J34" s="207" t="n">
        <f aca="false">Drivers!C147</f>
        <v>10.228</v>
      </c>
      <c r="K34" s="207" t="n">
        <f aca="false">Drivers!C148</f>
        <v>11.271</v>
      </c>
    </row>
    <row r="35" customFormat="false" ht="15" hidden="false" customHeight="true" outlineLevel="0" collapsed="false">
      <c r="C35" s="1" t="s">
        <v>3162</v>
      </c>
      <c r="I35" s="43" t="n">
        <f aca="false">'Acquired Pool'!D22</f>
        <v>0</v>
      </c>
      <c r="J35" s="43" t="n">
        <f aca="false">'Acquired Pool'!E22</f>
        <v>5510.73222712742</v>
      </c>
      <c r="K35" s="43" t="n">
        <f aca="false">'Acquired Pool'!F22</f>
        <v>5717.3846856447</v>
      </c>
      <c r="L35" s="43" t="n">
        <f aca="false">'Acquired Pool'!G22</f>
        <v>5860.31930278581</v>
      </c>
      <c r="M35" s="43" t="n">
        <f aca="false">'Acquired Pool'!H22</f>
        <v>5933.57329407064</v>
      </c>
      <c r="N35" s="43" t="n">
        <f aca="false">'Acquired Pool'!I22</f>
        <v>5903.90542760028</v>
      </c>
      <c r="O35" s="43" t="n">
        <f aca="false">'Acquired Pool'!J22</f>
        <v>5933.42495473828</v>
      </c>
      <c r="P35" s="43" t="n">
        <f aca="false">'Acquired Pool'!K22</f>
        <v>5963.09207951197</v>
      </c>
      <c r="Q35" s="43" t="n">
        <f aca="false">'Acquired Pool'!L22</f>
        <v>5992.90753990953</v>
      </c>
      <c r="R35" s="43" t="n">
        <f aca="false">'Acquired Pool'!M22</f>
        <v>6022.87207760908</v>
      </c>
      <c r="S35" s="43" t="n">
        <f aca="false">'Acquired Pool'!N22</f>
        <v>6052.98643799712</v>
      </c>
    </row>
    <row r="36" customFormat="false" ht="15" hidden="false" customHeight="true" outlineLevel="0" collapsed="false">
      <c r="C36" s="1" t="s">
        <v>3163</v>
      </c>
      <c r="I36" s="73" t="n">
        <f aca="false">'Acquired Pool'!D23</f>
        <v>0</v>
      </c>
      <c r="J36" s="73" t="n">
        <f aca="false">'Acquired Pool'!E23</f>
        <v>543</v>
      </c>
      <c r="K36" s="73" t="n">
        <f aca="false">'Acquired Pool'!F23</f>
        <v>563.3625</v>
      </c>
      <c r="L36" s="73" t="n">
        <f aca="false">'Acquired Pool'!G23</f>
        <v>577.4465625</v>
      </c>
      <c r="M36" s="73" t="n">
        <f aca="false">'Acquired Pool'!H23</f>
        <v>584.66464453125</v>
      </c>
      <c r="N36" s="73" t="n">
        <f aca="false">'Acquired Pool'!I23</f>
        <v>581.741321308594</v>
      </c>
      <c r="O36" s="73" t="n">
        <f aca="false">'Acquired Pool'!J23</f>
        <v>590.496528194288</v>
      </c>
      <c r="P36" s="73" t="n">
        <f aca="false">'Acquired Pool'!K23</f>
        <v>599.383500943612</v>
      </c>
      <c r="Q36" s="73" t="n">
        <f aca="false">'Acquired Pool'!L23</f>
        <v>608.404222632813</v>
      </c>
      <c r="R36" s="73" t="n">
        <f aca="false">'Acquired Pool'!M23</f>
        <v>617.560706183437</v>
      </c>
      <c r="S36" s="73" t="n">
        <f aca="false">'Acquired Pool'!N23</f>
        <v>626.854994811498</v>
      </c>
    </row>
    <row r="37" customFormat="false" ht="15" hidden="false" customHeight="true" outlineLevel="0" collapsed="false">
      <c r="C37" s="1" t="s">
        <v>3164</v>
      </c>
      <c r="I37" s="73" t="n">
        <f aca="false">'Legacy Cohort Model'!D37</f>
        <v>199.628892</v>
      </c>
      <c r="J37" s="73" t="n">
        <f aca="false">'Legacy Cohort Model'!E37</f>
        <v>199.628892</v>
      </c>
      <c r="K37" s="73" t="n">
        <f aca="false">'Legacy Cohort Model'!F37</f>
        <v>199.628892</v>
      </c>
      <c r="L37" s="73" t="n">
        <f aca="false">'Legacy Cohort Model'!G37</f>
        <v>199.628892</v>
      </c>
      <c r="M37" s="73" t="n">
        <f aca="false">'Legacy Cohort Model'!H37</f>
        <v>204.6196143</v>
      </c>
      <c r="N37" s="73" t="n">
        <f aca="false">'Legacy Cohort Model'!I37</f>
        <v>209.6103366</v>
      </c>
      <c r="O37" s="73" t="n">
        <f aca="false">'Legacy Cohort Model'!J37</f>
        <v>211.706439966</v>
      </c>
      <c r="P37" s="73" t="n">
        <f aca="false">'Legacy Cohort Model'!K37</f>
        <v>213.82350436566</v>
      </c>
      <c r="Q37" s="73" t="n">
        <f aca="false">'Legacy Cohort Model'!L37</f>
        <v>215.961739409317</v>
      </c>
      <c r="R37" s="73" t="n">
        <f aca="false">'Legacy Cohort Model'!M37</f>
        <v>218.12135680341</v>
      </c>
      <c r="S37" s="73" t="n">
        <f aca="false">'Legacy Cohort Model'!N37</f>
        <v>220.302570371444</v>
      </c>
    </row>
    <row r="38" customFormat="false" ht="15" hidden="false" customHeight="true" outlineLevel="0" collapsed="false">
      <c r="C38" s="1" t="s">
        <v>3165</v>
      </c>
      <c r="I38" s="73" t="n">
        <f aca="false">'Legacy Cohort Model'!D38</f>
        <v>164.99484</v>
      </c>
      <c r="J38" s="73" t="n">
        <f aca="false">'Legacy Cohort Model'!E38</f>
        <v>185.3442036</v>
      </c>
      <c r="K38" s="73" t="n">
        <f aca="false">'Legacy Cohort Model'!F38</f>
        <v>195.5188854</v>
      </c>
      <c r="L38" s="73" t="n">
        <f aca="false">'Legacy Cohort Model'!G38</f>
        <v>195.5188854</v>
      </c>
      <c r="M38" s="73" t="n">
        <f aca="false">'Legacy Cohort Model'!H38</f>
        <v>195.5188854</v>
      </c>
      <c r="N38" s="73" t="n">
        <f aca="false">'Legacy Cohort Model'!I38</f>
        <v>195.5188854</v>
      </c>
      <c r="O38" s="73" t="n">
        <f aca="false">'Legacy Cohort Model'!J38</f>
        <v>199.44881499654</v>
      </c>
      <c r="P38" s="73" t="n">
        <f aca="false">'Legacy Cohort Model'!K38</f>
        <v>203.437791296471</v>
      </c>
      <c r="Q38" s="73" t="n">
        <f aca="false">'Legacy Cohort Model'!L38</f>
        <v>205.472169209436</v>
      </c>
      <c r="R38" s="73" t="n">
        <f aca="false">'Legacy Cohort Model'!M38</f>
        <v>207.52689090153</v>
      </c>
      <c r="S38" s="73" t="n">
        <f aca="false">'Legacy Cohort Model'!N38</f>
        <v>209.602159810545</v>
      </c>
    </row>
    <row r="39" customFormat="false" ht="15" hidden="false" customHeight="true" outlineLevel="0" collapsed="false">
      <c r="C39" s="1" t="s">
        <v>3166</v>
      </c>
      <c r="I39" s="73" t="n">
        <f aca="false">'Legacy Cohort Model'!D39</f>
        <v>173.727675</v>
      </c>
      <c r="J39" s="73" t="n">
        <f aca="false">'Legacy Cohort Model'!E39</f>
        <v>173.727675</v>
      </c>
      <c r="K39" s="73" t="n">
        <f aca="false">'Legacy Cohort Model'!F39</f>
        <v>173.727675</v>
      </c>
      <c r="L39" s="73" t="n">
        <f aca="false">'Legacy Cohort Model'!G39</f>
        <v>183.861789375</v>
      </c>
      <c r="M39" s="73" t="n">
        <f aca="false">'Legacy Cohort Model'!H39</f>
        <v>191.1004425</v>
      </c>
      <c r="N39" s="73" t="n">
        <f aca="false">'Legacy Cohort Model'!I39</f>
        <v>191.1004425</v>
      </c>
      <c r="O39" s="73" t="n">
        <f aca="false">'Legacy Cohort Model'!J39</f>
        <v>193.011446925</v>
      </c>
      <c r="P39" s="73" t="n">
        <f aca="false">'Legacy Cohort Model'!K39</f>
        <v>194.94156139425</v>
      </c>
      <c r="Q39" s="73" t="n">
        <f aca="false">'Legacy Cohort Model'!L39</f>
        <v>198.859886778274</v>
      </c>
      <c r="R39" s="73" t="n">
        <f aca="false">'Legacy Cohort Model'!M39</f>
        <v>202.83708451384</v>
      </c>
      <c r="S39" s="73" t="n">
        <f aca="false">'Legacy Cohort Model'!N39</f>
        <v>204.865455358978</v>
      </c>
    </row>
    <row r="40" customFormat="false" ht="15" hidden="false" customHeight="true" outlineLevel="0" collapsed="false">
      <c r="C40" s="1" t="s">
        <v>3167</v>
      </c>
      <c r="I40" s="73" t="n">
        <f aca="false">'Legacy Cohort Model'!D40</f>
        <v>189.843162</v>
      </c>
      <c r="J40" s="73" t="n">
        <f aca="false">'Legacy Cohort Model'!E40</f>
        <v>189.843162</v>
      </c>
      <c r="K40" s="73" t="n">
        <f aca="false">'Legacy Cohort Model'!F40</f>
        <v>189.843162</v>
      </c>
      <c r="L40" s="73" t="n">
        <f aca="false">'Legacy Cohort Model'!G40</f>
        <v>189.843162</v>
      </c>
      <c r="M40" s="73" t="n">
        <f aca="false">'Legacy Cohort Model'!H40</f>
        <v>199.3353201</v>
      </c>
      <c r="N40" s="73" t="n">
        <f aca="false">'Legacy Cohort Model'!I40</f>
        <v>199.3353201</v>
      </c>
      <c r="O40" s="73" t="n">
        <f aca="false">'Legacy Cohort Model'!J40</f>
        <v>201.328673301</v>
      </c>
      <c r="P40" s="73" t="n">
        <f aca="false">'Legacy Cohort Model'!K40</f>
        <v>203.34196003401</v>
      </c>
      <c r="Q40" s="73" t="n">
        <f aca="false">'Legacy Cohort Model'!L40</f>
        <v>205.37537963435</v>
      </c>
      <c r="R40" s="73" t="n">
        <f aca="false">'Legacy Cohort Model'!M40</f>
        <v>209.503424765001</v>
      </c>
      <c r="S40" s="73" t="n">
        <f aca="false">'Legacy Cohort Model'!N40</f>
        <v>213.693493260301</v>
      </c>
    </row>
    <row r="41" customFormat="false" ht="15" hidden="false" customHeight="true" outlineLevel="0" collapsed="false">
      <c r="C41" s="1" t="s">
        <v>3168</v>
      </c>
      <c r="I41" s="73" t="n">
        <f aca="false">'Legacy Cohort Model'!D41</f>
        <v>215.719605</v>
      </c>
      <c r="J41" s="73" t="n">
        <f aca="false">'Legacy Cohort Model'!E41</f>
        <v>215.719605</v>
      </c>
      <c r="K41" s="73" t="n">
        <f aca="false">'Legacy Cohort Model'!F41</f>
        <v>215.719605</v>
      </c>
      <c r="L41" s="73" t="n">
        <f aca="false">'Legacy Cohort Model'!G41</f>
        <v>215.719605</v>
      </c>
      <c r="M41" s="73" t="n">
        <f aca="false">'Legacy Cohort Model'!H41</f>
        <v>217.517268375</v>
      </c>
      <c r="N41" s="73" t="n">
        <f aca="false">'Legacy Cohort Model'!I41</f>
        <v>226.50558525</v>
      </c>
      <c r="O41" s="73" t="n">
        <f aca="false">'Legacy Cohort Model'!J41</f>
        <v>228.7706411025</v>
      </c>
      <c r="P41" s="73" t="n">
        <f aca="false">'Legacy Cohort Model'!K41</f>
        <v>231.058347513525</v>
      </c>
      <c r="Q41" s="73" t="n">
        <f aca="false">'Legacy Cohort Model'!L41</f>
        <v>233.36893098866</v>
      </c>
      <c r="R41" s="73" t="n">
        <f aca="false">'Legacy Cohort Model'!M41</f>
        <v>238.059646501532</v>
      </c>
      <c r="S41" s="73" t="n">
        <f aca="false">'Legacy Cohort Model'!N41</f>
        <v>242.820839431563</v>
      </c>
    </row>
    <row r="42" customFormat="false" ht="15" hidden="false" customHeight="true" outlineLevel="0" collapsed="false">
      <c r="C42" s="1" t="s">
        <v>3169</v>
      </c>
      <c r="I42" s="73" t="n">
        <f aca="false">'Legacy Cohort Model'!D42</f>
        <v>20.6919</v>
      </c>
      <c r="J42" s="73" t="n">
        <f aca="false">'Legacy Cohort Model'!E42</f>
        <v>20.6919</v>
      </c>
      <c r="K42" s="73" t="n">
        <f aca="false">'Legacy Cohort Model'!F42</f>
        <v>20.6919</v>
      </c>
      <c r="L42" s="73" t="n">
        <f aca="false">'Legacy Cohort Model'!G42</f>
        <v>20.6919</v>
      </c>
      <c r="M42" s="73" t="n">
        <f aca="false">'Legacy Cohort Model'!H42</f>
        <v>20.6919</v>
      </c>
      <c r="N42" s="73" t="n">
        <f aca="false">'Legacy Cohort Model'!I42</f>
        <v>20.6919</v>
      </c>
      <c r="O42" s="73" t="n">
        <f aca="false">'Legacy Cohort Model'!J42</f>
        <v>20.898819</v>
      </c>
      <c r="P42" s="73" t="n">
        <f aca="false">'Legacy Cohort Model'!K42</f>
        <v>21.10780719</v>
      </c>
      <c r="Q42" s="73" t="n">
        <f aca="false">'Legacy Cohort Model'!L42</f>
        <v>21.3188852619</v>
      </c>
      <c r="R42" s="73" t="n">
        <f aca="false">'Legacy Cohort Model'!M42</f>
        <v>21.532074114519</v>
      </c>
      <c r="S42" s="73" t="n">
        <f aca="false">'Legacy Cohort Model'!N42</f>
        <v>21.7473948556642</v>
      </c>
    </row>
    <row r="45" customFormat="false" ht="15" hidden="false" customHeight="true" outlineLevel="0" collapsed="false">
      <c r="C45" s="1" t="s">
        <v>3170</v>
      </c>
      <c r="J45" s="43" t="n">
        <f aca="false">'Thesis Test'!D18</f>
        <v>25.9656538482865</v>
      </c>
      <c r="K45" s="43" t="n">
        <f aca="false">'Thesis Test'!E18</f>
        <v>44.1993681548261</v>
      </c>
      <c r="L45" s="43" t="n">
        <f aca="false">'Thesis Test'!F18</f>
        <v>37.6880282952773</v>
      </c>
      <c r="M45" s="43" t="n">
        <f aca="false">'Thesis Test'!G18</f>
        <v>21.6977105499587</v>
      </c>
      <c r="N45" s="43" t="n">
        <f aca="false">'Thesis Test'!H18</f>
        <v>-0.00998857012646326</v>
      </c>
    </row>
    <row r="46" customFormat="false" ht="15" hidden="false" customHeight="true" outlineLevel="0" collapsed="false">
      <c r="C46" s="1" t="s">
        <v>3171</v>
      </c>
      <c r="J46" s="73" t="n">
        <f aca="false">'Thesis Test'!D19</f>
        <v>543</v>
      </c>
      <c r="K46" s="73" t="n">
        <f aca="false">'Thesis Test'!E19</f>
        <v>0</v>
      </c>
      <c r="L46" s="73" t="n">
        <f aca="false">'Thesis Test'!F19</f>
        <v>0</v>
      </c>
      <c r="M46" s="73" t="n">
        <f aca="false">'Thesis Test'!G19</f>
        <v>0</v>
      </c>
      <c r="N46" s="73" t="n">
        <f aca="false">'Thesis Test'!H19</f>
        <v>0</v>
      </c>
    </row>
    <row r="47" customFormat="false" ht="15" hidden="false" customHeight="true" outlineLevel="0" collapsed="false">
      <c r="C47" s="1" t="s">
        <v>3172</v>
      </c>
      <c r="J47" s="43" t="n">
        <f aca="false">'Thesis Test'!D20</f>
        <v>163.9745</v>
      </c>
      <c r="K47" s="43" t="n">
        <f aca="false">'Thesis Test'!E20</f>
        <v>163.9745</v>
      </c>
      <c r="L47" s="43" t="n">
        <f aca="false">'Thesis Test'!F20</f>
        <v>163.9742531824</v>
      </c>
      <c r="M47" s="43" t="n">
        <f aca="false">'Thesis Test'!G20</f>
        <v>163.9742531824</v>
      </c>
      <c r="N47" s="43" t="n">
        <f aca="false">'Thesis Test'!H20</f>
        <v>163.9742531824</v>
      </c>
    </row>
    <row r="48" customFormat="false" ht="15" hidden="false" customHeight="true" outlineLevel="0" collapsed="false">
      <c r="C48" s="1" t="s">
        <v>3173</v>
      </c>
      <c r="J48" s="73" t="n">
        <f aca="false">'Thesis Test'!D21</f>
        <v>140</v>
      </c>
      <c r="K48" s="73" t="n">
        <f aca="false">'Thesis Test'!E21</f>
        <v>130</v>
      </c>
      <c r="L48" s="73" t="n">
        <f aca="false">'Thesis Test'!F21</f>
        <v>130</v>
      </c>
      <c r="M48" s="73" t="n">
        <f aca="false">'Thesis Test'!G21</f>
        <v>130</v>
      </c>
      <c r="N48" s="73" t="n">
        <f aca="false">'Thesis Test'!H21</f>
        <v>130</v>
      </c>
    </row>
    <row r="49" customFormat="false" ht="15" hidden="false" customHeight="true" outlineLevel="0" collapsed="false">
      <c r="C49" s="1" t="s">
        <v>3174</v>
      </c>
      <c r="J49" s="73" t="n">
        <f aca="false">'Thesis Test'!D22</f>
        <v>197.32599</v>
      </c>
      <c r="K49" s="73" t="n">
        <f aca="false">'Thesis Test'!E22</f>
        <v>224.20826</v>
      </c>
      <c r="L49" s="73" t="n">
        <f aca="false">'Thesis Test'!F22</f>
        <v>250.89824</v>
      </c>
      <c r="M49" s="73" t="n">
        <f aca="false">'Thesis Test'!G22</f>
        <v>277.79324</v>
      </c>
      <c r="N49" s="73" t="n">
        <f aca="false">'Thesis Test'!H22</f>
        <v>324.26368</v>
      </c>
    </row>
    <row r="50" customFormat="false" ht="15" hidden="false" customHeight="true" outlineLevel="0" collapsed="false">
      <c r="C50" s="1" t="s">
        <v>3175</v>
      </c>
      <c r="J50" s="73" t="n">
        <f aca="false">'Thesis Test'!D23</f>
        <v>4.24646</v>
      </c>
      <c r="K50" s="73" t="n">
        <f aca="false">'Thesis Test'!E23</f>
        <v>5.68227</v>
      </c>
      <c r="L50" s="73" t="n">
        <f aca="false">'Thesis Test'!F23</f>
        <v>5.48998</v>
      </c>
      <c r="M50" s="73" t="n">
        <f aca="false">'Thesis Test'!G23</f>
        <v>5.695</v>
      </c>
      <c r="N50" s="73" t="n">
        <f aca="false">'Thesis Test'!H23</f>
        <v>17.26188</v>
      </c>
    </row>
    <row r="51" customFormat="false" ht="15" hidden="false" customHeight="true" outlineLevel="0" collapsed="false">
      <c r="C51" s="1" t="s">
        <v>3176</v>
      </c>
      <c r="J51" s="73" t="n">
        <f aca="false">'Thesis Test'!D24</f>
        <v>671.367703848287</v>
      </c>
      <c r="K51" s="73" t="n">
        <f aca="false">'Thesis Test'!E24</f>
        <v>108.283338154826</v>
      </c>
      <c r="L51" s="73" t="n">
        <f aca="false">'Thesis Test'!F24</f>
        <v>75.2740614776773</v>
      </c>
      <c r="M51" s="73" t="n">
        <f aca="false">'Thesis Test'!G24</f>
        <v>32.1837237323588</v>
      </c>
      <c r="N51" s="73" t="n">
        <f aca="false">'Thesis Test'!H24</f>
        <v>-47.5612953877265</v>
      </c>
    </row>
    <row r="52" customFormat="false" ht="15" hidden="false" customHeight="true" outlineLevel="0" collapsed="false">
      <c r="C52" s="1" t="s">
        <v>3177</v>
      </c>
      <c r="I52" s="73" t="n">
        <f aca="false">'Debt &amp; Interest'!D19</f>
        <v>633.8</v>
      </c>
      <c r="J52" s="73" t="n">
        <f aca="false">'Debt &amp; Interest'!E19</f>
        <v>848.1</v>
      </c>
      <c r="K52" s="73" t="n">
        <f aca="false">'Debt &amp; Interest'!F19</f>
        <v>819.4</v>
      </c>
      <c r="L52" s="73" t="n">
        <f aca="false">'Debt &amp; Interest'!G19</f>
        <v>850</v>
      </c>
      <c r="M52" s="73" t="n">
        <f aca="false">'Debt &amp; Interest'!H19</f>
        <v>2576.4</v>
      </c>
      <c r="N52" s="73" t="n">
        <f aca="false">'Debt &amp; Interest'!I19</f>
        <v>6615.2</v>
      </c>
      <c r="O52" s="1" t="n">
        <f aca="false">'Debt &amp; Interest'!J19</f>
        <v>0</v>
      </c>
      <c r="P52" s="1" t="n">
        <f aca="false">'Debt &amp; Interest'!K19</f>
        <v>0</v>
      </c>
      <c r="Q52" s="1" t="n">
        <f aca="false">'Debt &amp; Interest'!L19</f>
        <v>0</v>
      </c>
      <c r="R52" s="1" t="n">
        <f aca="false">'Debt &amp; Interest'!M19</f>
        <v>0</v>
      </c>
      <c r="S52" s="1" t="n">
        <f aca="false">'Debt &amp; Interest'!N19</f>
        <v>0</v>
      </c>
    </row>
    <row r="55" customFormat="false" ht="15" hidden="false" customHeight="true" outlineLevel="0" collapsed="false">
      <c r="C55" s="1" t="s">
        <v>3178</v>
      </c>
      <c r="I55" s="74" t="n">
        <f aca="false">'3 Statement Forecast'!D33</f>
        <v>9.28412256267411</v>
      </c>
      <c r="J55" s="74" t="n">
        <f aca="false">'3 Statement Forecast'!E33</f>
        <v>10.2892230192277</v>
      </c>
      <c r="K55" s="74" t="n">
        <f aca="false">'3 Statement Forecast'!F33</f>
        <v>10.1760599616912</v>
      </c>
    </row>
    <row r="56" customFormat="false" ht="15" hidden="false" customHeight="true" outlineLevel="0" collapsed="false">
      <c r="C56" s="1" t="s">
        <v>3179</v>
      </c>
      <c r="I56" s="1" t="n">
        <f aca="false">'3 Statement Forecast'!D33-'3 Statement Forecast'!D23*(1-Drivers!$C$76)/'3 Statement Forecast'!D32</f>
        <v>6.38596100278553</v>
      </c>
      <c r="J56" s="1" t="n">
        <f aca="false">'3 Statement Forecast'!E33-'3 Statement Forecast'!E23*(1-Drivers!$C$76)/'3 Statement Forecast'!E32</f>
        <v>5.82050793542879</v>
      </c>
      <c r="K56" s="1" t="n">
        <f aca="false">'3 Statement Forecast'!F33-'3 Statement Forecast'!F23*(1-Drivers!$C$76)/'3 Statement Forecast'!F32</f>
        <v>5.63459518236397</v>
      </c>
    </row>
    <row r="57" customFormat="false" ht="15" hidden="false" customHeight="true" outlineLevel="0" collapsed="false">
      <c r="C57" s="1" t="s">
        <v>3180</v>
      </c>
      <c r="I57" s="1" t="n">
        <f aca="false">'3 Statement Forecast'!D33+($D$201-'3 Statement Forecast'!D23)*(1-Drivers!$C$76)/'3 Statement Forecast'!D32</f>
        <v>9.34974930362118</v>
      </c>
      <c r="J57" s="1" t="n">
        <f aca="false">'3 Statement Forecast'!E33+($D$201-'3 Statement Forecast'!E23)*(1-Drivers!$C$76)/'3 Statement Forecast'!E32</f>
        <v>8.79257497453494</v>
      </c>
      <c r="K57" s="1" t="n">
        <f aca="false">'3 Statement Forecast'!F33+($D$201-'3 Statement Forecast'!F23)*(1-Drivers!$C$76)/'3 Statement Forecast'!F32</f>
        <v>8.65504681707089</v>
      </c>
    </row>
    <row r="59" customFormat="false" ht="15" hidden="false" customHeight="true" outlineLevel="0" collapsed="false">
      <c r="C59" s="1" t="s">
        <v>3181</v>
      </c>
      <c r="J59" s="1" t="s">
        <v>3182</v>
      </c>
      <c r="K59" s="1" t="s">
        <v>3183</v>
      </c>
      <c r="L59" s="1" t="s">
        <v>3184</v>
      </c>
      <c r="M59" s="1" t="s">
        <v>3185</v>
      </c>
    </row>
    <row r="60" customFormat="false" ht="15" hidden="false" customHeight="true" outlineLevel="0" collapsed="false">
      <c r="C60" s="1" t="s">
        <v>3186</v>
      </c>
      <c r="J60" s="74" t="n">
        <f aca="false">'Quarterly 2026'!D27</f>
        <v>2.35</v>
      </c>
      <c r="K60" s="1" t="n">
        <f aca="false">'Quarterly 2026'!D28</f>
        <v>444.516413462072</v>
      </c>
      <c r="L60" s="74" t="n">
        <f aca="false">'Quarterly 2026'!D30</f>
        <v>2.54961150961384</v>
      </c>
      <c r="M60" s="1" t="n">
        <f aca="false">'3 Statement Forecast'!E33-J60-K60-L60</f>
        <v>-439.126801952458</v>
      </c>
    </row>
    <row r="61" customFormat="false" ht="15" hidden="false" customHeight="true" outlineLevel="0" collapsed="false">
      <c r="C61" s="1" t="s">
        <v>3187</v>
      </c>
      <c r="L61" s="74" t="n">
        <f aca="false">'Quarterly 2026'!D33</f>
        <v>2.458</v>
      </c>
    </row>
    <row r="63" customFormat="false" ht="15" hidden="false" customHeight="true" outlineLevel="0" collapsed="false">
      <c r="C63" s="1" t="s">
        <v>3188</v>
      </c>
    </row>
    <row r="64" customFormat="false" ht="15" hidden="false" customHeight="true" outlineLevel="0" collapsed="false">
      <c r="D64" s="1" t="s">
        <v>3189</v>
      </c>
      <c r="E64" s="1" t="s">
        <v>3190</v>
      </c>
      <c r="F64" s="1" t="s">
        <v>3191</v>
      </c>
      <c r="G64" s="1" t="s">
        <v>50</v>
      </c>
      <c r="H64" s="1" t="s">
        <v>52</v>
      </c>
      <c r="I64" s="1" t="s">
        <v>3192</v>
      </c>
      <c r="J64" s="1" t="s">
        <v>3193</v>
      </c>
      <c r="K64" s="1" t="s">
        <v>3194</v>
      </c>
      <c r="L64" s="1" t="s">
        <v>3195</v>
      </c>
      <c r="M64" s="1" t="s">
        <v>3196</v>
      </c>
    </row>
    <row r="65" customFormat="false" ht="15" hidden="false" customHeight="true" outlineLevel="0" collapsed="false">
      <c r="D65" s="73" t="n">
        <f aca="false">Valuation!G65</f>
        <v>149.56213472346</v>
      </c>
      <c r="E65" s="73" t="n">
        <f aca="false">Valuation!G66</f>
        <v>166.276819774034</v>
      </c>
      <c r="F65" s="73" t="n">
        <f aca="false">Valuation!G67</f>
        <v>188.529898606358</v>
      </c>
      <c r="G65" s="74" t="n">
        <f aca="false">NAV!D168</f>
        <v>169.738951211227</v>
      </c>
      <c r="H65" s="1" t="n">
        <f aca="false">'Residual Income'!D45</f>
        <v>93.4605263806057</v>
      </c>
      <c r="I65" s="1" t="n">
        <f aca="false">Valuation!D31*Valuation!D27</f>
        <v>142.36069856274</v>
      </c>
      <c r="J65" s="74" t="n">
        <f aca="false">DCF!D118</f>
        <v>458.930130203241</v>
      </c>
      <c r="K65" s="74" t="n">
        <f aca="false">DCF!D120</f>
        <v>82.5181341593946</v>
      </c>
      <c r="L65" s="74" t="n">
        <f aca="false">FCFE!D74</f>
        <v>73.610214991098</v>
      </c>
      <c r="M65" s="74" t="n">
        <f aca="false">FCFE!D75</f>
        <v>114.614683236849</v>
      </c>
    </row>
    <row r="66" customFormat="false" ht="15" hidden="false" customHeight="true" outlineLevel="0" collapsed="false">
      <c r="C66" s="1" t="s">
        <v>145</v>
      </c>
      <c r="D66" s="157" t="n">
        <f aca="false">Cover!$D$8</f>
        <v>162.78</v>
      </c>
    </row>
    <row r="67" customFormat="false" ht="15" hidden="false" customHeight="true" outlineLevel="0" collapsed="false">
      <c r="C67" s="1" t="s">
        <v>3197</v>
      </c>
      <c r="D67" s="74" t="n">
        <f aca="false">Rating!D18</f>
        <v>162.565666188363</v>
      </c>
    </row>
    <row r="68" customFormat="false" ht="15" hidden="false" customHeight="true" outlineLevel="0" collapsed="false">
      <c r="C68" s="1" t="s">
        <v>3198</v>
      </c>
      <c r="D68" s="208" t="n">
        <f aca="false">Valuation!D20</f>
        <v>16.34</v>
      </c>
    </row>
    <row r="69" customFormat="false" ht="15" hidden="false" customHeight="true" outlineLevel="0" collapsed="false">
      <c r="C69" s="1" t="s">
        <v>3199</v>
      </c>
      <c r="D69" s="1" t="n">
        <f aca="false">Cover!$D$8/'3 Statement Forecast'!F33</f>
        <v>15.9963680061637</v>
      </c>
    </row>
    <row r="70" customFormat="false" ht="15" hidden="false" customHeight="true" outlineLevel="0" collapsed="false">
      <c r="C70" s="1" t="s">
        <v>3200</v>
      </c>
      <c r="D70" s="208" t="n">
        <f aca="false">Valuation!D27</f>
        <v>1.632152</v>
      </c>
    </row>
    <row r="72" customFormat="false" ht="15" hidden="false" customHeight="true" outlineLevel="0" collapsed="false">
      <c r="C72" s="1" t="s">
        <v>3201</v>
      </c>
    </row>
    <row r="73" customFormat="false" ht="15" hidden="false" customHeight="true" outlineLevel="0" collapsed="false">
      <c r="C73" s="1" t="s">
        <v>3202</v>
      </c>
      <c r="D73" s="1" t="s">
        <v>3203</v>
      </c>
      <c r="E73" s="1" t="s">
        <v>3204</v>
      </c>
      <c r="F73" s="1" t="s">
        <v>3205</v>
      </c>
      <c r="G73" s="1" t="s">
        <v>3206</v>
      </c>
      <c r="H73" s="1" t="s">
        <v>3207</v>
      </c>
      <c r="I73" s="1" t="s">
        <v>3208</v>
      </c>
      <c r="J73" s="1" t="s">
        <v>3209</v>
      </c>
      <c r="K73" s="1" t="s">
        <v>3210</v>
      </c>
    </row>
    <row r="74" customFormat="false" ht="15" hidden="false" customHeight="true" outlineLevel="0" collapsed="false">
      <c r="C74" s="1" t="s">
        <v>3211</v>
      </c>
      <c r="D74" s="73" t="n">
        <f aca="false">'3 Statement Forecast'!E39</f>
        <v>15830.5</v>
      </c>
      <c r="E74" s="73" t="n">
        <f aca="false">'3 Statement Forecast'!E41</f>
        <v>732.3</v>
      </c>
      <c r="F74" s="1" t="n">
        <f aca="false">'3 Statement Forecast'!E38+'3 Statement Forecast'!E42+'3 Statement Forecast'!E43+'3 Statement Forecast'!E36+'3 Statement Forecast'!E40</f>
        <v>1685.39575056158</v>
      </c>
      <c r="G74" s="1" t="n">
        <f aca="false">-'3 Statement Forecast'!E47</f>
        <v>-12516.9559948862</v>
      </c>
      <c r="H74" s="1" t="n">
        <f aca="false">-'3 Statement Forecast'!E48</f>
        <v>-143.8</v>
      </c>
      <c r="I74" s="1" t="n">
        <f aca="false">-'3 Statement Forecast'!E59</f>
        <v>-792.35004</v>
      </c>
      <c r="J74" s="1" t="n">
        <f aca="false">-'3 Statement Forecast'!E49</f>
        <v>-1207.657</v>
      </c>
      <c r="K74" s="74" t="n">
        <f aca="false">NAV!D168*Drivers!C77</f>
        <v>6076.65445336191</v>
      </c>
    </row>
    <row r="78" customFormat="false" ht="15" hidden="false" customHeight="true" outlineLevel="0" collapsed="false">
      <c r="C78" s="1" t="s">
        <v>3212</v>
      </c>
      <c r="I78" s="1" t="n">
        <f aca="false">'3 Statement Forecast'!D31/'3 Statement Forecast'!D58</f>
        <v>0.121177967642247</v>
      </c>
      <c r="J78" s="1" t="n">
        <f aca="false">'3 Statement Forecast'!E31/AVERAGE('3 Statement Forecast'!D58,'3 Statement Forecast'!E58)</f>
        <v>0.129714916412157</v>
      </c>
      <c r="K78" s="1" t="n">
        <f aca="false">'3 Statement Forecast'!F31/AVERAGE('3 Statement Forecast'!E58,'3 Statement Forecast'!F58)</f>
        <v>0.119459309672398</v>
      </c>
      <c r="L78" s="1" t="n">
        <f aca="false">'3 Statement Forecast'!G31/AVERAGE('3 Statement Forecast'!F58,'3 Statement Forecast'!G58)</f>
        <v>0.117576817096313</v>
      </c>
      <c r="M78" s="1" t="n">
        <f aca="false">'3 Statement Forecast'!H31/AVERAGE('3 Statement Forecast'!G58,'3 Statement Forecast'!H58)</f>
        <v>0.115138121049798</v>
      </c>
      <c r="N78" s="1" t="n">
        <f aca="false">'3 Statement Forecast'!I31/AVERAGE('3 Statement Forecast'!H58,'3 Statement Forecast'!I58)</f>
        <v>0.107573719322139</v>
      </c>
      <c r="O78" s="1" t="n">
        <f aca="false">'3 Statement Forecast'!J31/AVERAGE('3 Statement Forecast'!I58,'3 Statement Forecast'!J58)</f>
        <v>0.107060372691183</v>
      </c>
      <c r="P78" s="1" t="n">
        <f aca="false">'3 Statement Forecast'!K31/AVERAGE('3 Statement Forecast'!J58,'3 Statement Forecast'!K58)</f>
        <v>0.103840700834998</v>
      </c>
      <c r="Q78" s="1" t="n">
        <f aca="false">'3 Statement Forecast'!L31/AVERAGE('3 Statement Forecast'!K58,'3 Statement Forecast'!L58)</f>
        <v>0.102180165482223</v>
      </c>
      <c r="R78" s="1" t="n">
        <f aca="false">'3 Statement Forecast'!M31/AVERAGE('3 Statement Forecast'!L58,'3 Statement Forecast'!M58)</f>
        <v>0.10109754938435</v>
      </c>
      <c r="S78" s="1" t="n">
        <f aca="false">'3 Statement Forecast'!N31/AVERAGE('3 Statement Forecast'!M58,'3 Statement Forecast'!N58)</f>
        <v>0.101330634443507</v>
      </c>
    </row>
    <row r="79" customFormat="false" ht="15" hidden="false" customHeight="true" outlineLevel="0" collapsed="false">
      <c r="C79" s="1" t="s">
        <v>3213</v>
      </c>
      <c r="I79" s="43" t="n">
        <f aca="false">DCF!D57</f>
        <v>0.0902</v>
      </c>
      <c r="J79" s="43" t="n">
        <f aca="false">DCF!D57</f>
        <v>0.0902</v>
      </c>
      <c r="K79" s="43" t="n">
        <f aca="false">DCF!D57</f>
        <v>0.0902</v>
      </c>
      <c r="L79" s="43" t="n">
        <f aca="false">DCF!D57</f>
        <v>0.0902</v>
      </c>
      <c r="M79" s="43" t="n">
        <f aca="false">DCF!D57</f>
        <v>0.0902</v>
      </c>
      <c r="N79" s="43" t="n">
        <f aca="false">DCF!D57</f>
        <v>0.0902</v>
      </c>
      <c r="O79" s="43" t="n">
        <f aca="false">DCF!D57</f>
        <v>0.0902</v>
      </c>
      <c r="P79" s="43" t="n">
        <f aca="false">DCF!D57</f>
        <v>0.0902</v>
      </c>
      <c r="Q79" s="43" t="n">
        <f aca="false">DCF!D57</f>
        <v>0.0902</v>
      </c>
      <c r="R79" s="43" t="n">
        <f aca="false">DCF!D57</f>
        <v>0.0902</v>
      </c>
      <c r="S79" s="43" t="n">
        <f aca="false">DCF!D57</f>
        <v>0.0902</v>
      </c>
    </row>
    <row r="80" customFormat="false" ht="15" hidden="false" customHeight="true" outlineLevel="0" collapsed="false">
      <c r="C80" s="1" t="s">
        <v>3214</v>
      </c>
      <c r="I80" s="1" t="n">
        <f aca="false">('3 Statement Forecast'!D31-DCF!D57*'3 Statement Forecast'!D58)/'3 Statement Forecast'!D32</f>
        <v>2.3733955431755</v>
      </c>
      <c r="J80" s="1" t="n">
        <f aca="false">('3 Statement Forecast'!E31-DCF!D57*'3 Statement Forecast'!D58)/'3 Statement Forecast'!E32</f>
        <v>3.35919229297069</v>
      </c>
      <c r="K80" s="1" t="n">
        <f aca="false">('3 Statement Forecast'!F31-DCF!D57*'3 Statement Forecast'!E58)/'3 Statement Forecast'!F32</f>
        <v>2.67629601101604</v>
      </c>
      <c r="L80" s="1" t="n">
        <f aca="false">('3 Statement Forecast'!G31-DCF!D57*'3 Statement Forecast'!F58)/'3 Statement Forecast'!G32</f>
        <v>2.69251203237019</v>
      </c>
      <c r="M80" s="1" t="n">
        <f aca="false">('3 Statement Forecast'!H31-DCF!D57*'3 Statement Forecast'!G58)/'3 Statement Forecast'!H32</f>
        <v>2.64568973012594</v>
      </c>
      <c r="N80" s="1" t="n">
        <f aca="false">('3 Statement Forecast'!I31-DCF!D57*'3 Statement Forecast'!H58)/'3 Statement Forecast'!I32</f>
        <v>2.01922579373299</v>
      </c>
      <c r="O80" s="1" t="n">
        <f aca="false">('3 Statement Forecast'!J31-DCF!D57*'3 Statement Forecast'!I58)/'3 Statement Forecast'!J32</f>
        <v>2.09337015457901</v>
      </c>
      <c r="P80" s="1" t="n">
        <f aca="false">('3 Statement Forecast'!K31-DCF!D57*'3 Statement Forecast'!J58)/'3 Statement Forecast'!K32</f>
        <v>1.84250463398115</v>
      </c>
      <c r="Q80" s="1" t="n">
        <f aca="false">('3 Statement Forecast'!L31-DCF!D57*'3 Statement Forecast'!K58)/'3 Statement Forecast'!L32</f>
        <v>1.74838698124712</v>
      </c>
      <c r="R80" s="1" t="n">
        <f aca="false">('3 Statement Forecast'!M31-DCF!D57*'3 Statement Forecast'!L58)/'3 Statement Forecast'!M32</f>
        <v>1.71293148078929</v>
      </c>
      <c r="S80" s="1" t="n">
        <f aca="false">('3 Statement Forecast'!N31-DCF!D57*'3 Statement Forecast'!M58)/'3 Statement Forecast'!N32</f>
        <v>1.73738619160903</v>
      </c>
    </row>
    <row r="81" customFormat="false" ht="15" hidden="false" customHeight="true" outlineLevel="0" collapsed="false">
      <c r="C81" s="1" t="s">
        <v>3215</v>
      </c>
      <c r="I81" s="73" t="n">
        <f aca="false">'3 Statement Forecast'!D85</f>
        <v>-65</v>
      </c>
      <c r="J81" s="1" t="n">
        <f aca="false">I81+'3 Statement Forecast'!E85</f>
        <v>-165</v>
      </c>
      <c r="K81" s="1" t="n">
        <f aca="false">J81+'3 Statement Forecast'!F85</f>
        <v>-265</v>
      </c>
      <c r="L81" s="1" t="n">
        <f aca="false">K81+'3 Statement Forecast'!G85</f>
        <v>-365</v>
      </c>
      <c r="M81" s="1" t="n">
        <f aca="false">L81+'3 Statement Forecast'!H85</f>
        <v>-465</v>
      </c>
      <c r="N81" s="1" t="n">
        <f aca="false">M81+'3 Statement Forecast'!I85</f>
        <v>-565</v>
      </c>
      <c r="O81" s="1" t="n">
        <f aca="false">N81+'3 Statement Forecast'!J85</f>
        <v>-669.32551239262</v>
      </c>
      <c r="P81" s="1" t="n">
        <f aca="false">O81+'3 Statement Forecast'!K85</f>
        <v>-775.323552170854</v>
      </c>
      <c r="Q81" s="1" t="n">
        <f aca="false">P81+'3 Statement Forecast'!L85</f>
        <v>-884.479793224674</v>
      </c>
      <c r="R81" s="1" t="n">
        <f aca="false">Q81+'3 Statement Forecast'!M85</f>
        <v>-997.453039338274</v>
      </c>
      <c r="S81" s="1" t="n">
        <f aca="false">R81+'3 Statement Forecast'!N85</f>
        <v>-1114.91636639746</v>
      </c>
    </row>
    <row r="90" customFormat="false" ht="15" hidden="false" customHeight="true" outlineLevel="0" collapsed="false">
      <c r="C90" s="1" t="s">
        <v>3216</v>
      </c>
      <c r="I90" s="73" t="n">
        <f aca="false">Historicals!D28</f>
        <v>41.7</v>
      </c>
      <c r="J90" s="73" t="n">
        <f aca="false">Historicals!E28</f>
        <v>105.9</v>
      </c>
      <c r="K90" s="73" t="n">
        <f aca="false">Historicals!F28</f>
        <v>77.9</v>
      </c>
      <c r="L90" s="73" t="n">
        <f aca="false">Historicals!G28</f>
        <v>130.3</v>
      </c>
      <c r="M90" s="73" t="n">
        <f aca="false">Historicals!H28</f>
        <v>138.3</v>
      </c>
      <c r="N90" s="73" t="n">
        <f aca="false">Historicals!I28</f>
        <v>136.9</v>
      </c>
      <c r="O90" s="73" t="n">
        <f aca="false">'3 Statement Forecast'!D23</f>
        <v>136.9</v>
      </c>
      <c r="P90" s="73" t="n">
        <f aca="false">'3 Statement Forecast'!E23</f>
        <v>210.5</v>
      </c>
      <c r="Q90" s="73" t="n">
        <f aca="false">'3 Statement Forecast'!F23</f>
        <v>210.5</v>
      </c>
    </row>
    <row r="91" customFormat="false" ht="15" hidden="false" customHeight="true" outlineLevel="0" collapsed="false">
      <c r="C91" s="1" t="s">
        <v>3217</v>
      </c>
      <c r="I91" s="73" t="n">
        <f aca="false">Rating!D49</f>
        <v>100.004650263395</v>
      </c>
      <c r="J91" s="73" t="n">
        <f aca="false">Rating!D49</f>
        <v>100.004650263395</v>
      </c>
      <c r="K91" s="73" t="n">
        <f aca="false">Rating!D49</f>
        <v>100.004650263395</v>
      </c>
      <c r="L91" s="73" t="n">
        <f aca="false">Rating!D49</f>
        <v>100.004650263395</v>
      </c>
      <c r="M91" s="73" t="n">
        <f aca="false">Rating!D49</f>
        <v>100.004650263395</v>
      </c>
      <c r="N91" s="73" t="n">
        <f aca="false">Rating!D49</f>
        <v>100.004650263395</v>
      </c>
      <c r="O91" s="73" t="n">
        <f aca="false">Rating!D49</f>
        <v>100.004650263395</v>
      </c>
      <c r="P91" s="73" t="n">
        <f aca="false">Rating!D49</f>
        <v>100.004650263395</v>
      </c>
      <c r="Q91" s="73" t="n">
        <f aca="false">Rating!D49</f>
        <v>100.004650263395</v>
      </c>
    </row>
    <row r="95" customFormat="false" ht="15" hidden="false" customHeight="true" outlineLevel="0" collapsed="false">
      <c r="C95" s="1" t="s">
        <v>3218</v>
      </c>
      <c r="D95" s="1" t="s">
        <v>3219</v>
      </c>
      <c r="E95" s="1" t="s">
        <v>147</v>
      </c>
      <c r="F95" s="1" t="s">
        <v>148</v>
      </c>
    </row>
    <row r="96" customFormat="false" ht="15" hidden="false" customHeight="true" outlineLevel="0" collapsed="false">
      <c r="C96" s="1" t="s">
        <v>3220</v>
      </c>
      <c r="D96" s="43" t="n">
        <f aca="false">Rating!D24</f>
        <v>0.0149015001128095</v>
      </c>
      <c r="E96" s="43" t="n">
        <f aca="false">Rating!D27</f>
        <v>0.15</v>
      </c>
      <c r="F96" s="43" t="n">
        <f aca="false">Rating!D28</f>
        <v>-0.05</v>
      </c>
    </row>
    <row r="97" customFormat="false" ht="15" hidden="false" customHeight="true" outlineLevel="0" collapsed="false">
      <c r="C97" s="1" t="s">
        <v>3221</v>
      </c>
      <c r="D97" s="1" t="n">
        <f aca="false">'Consensus Bridge'!D14</f>
        <v>0</v>
      </c>
      <c r="E97" s="1" t="n">
        <f aca="false">'Consensus Bridge'!D15</f>
        <v>0</v>
      </c>
      <c r="F97" s="1" t="n">
        <f aca="false">'Consensus Bridge'!D16</f>
        <v>0</v>
      </c>
      <c r="G97" s="74" t="n">
        <f aca="false">'Consensus Bridge'!D17</f>
        <v>10.1760599616912</v>
      </c>
      <c r="H97" s="74" t="n">
        <f aca="false">'Consensus Bridge'!D18</f>
        <v>11.2706</v>
      </c>
      <c r="I97" s="74" t="n">
        <f aca="false">'Consensus Bridge'!D19</f>
        <v>1.09454003830884</v>
      </c>
      <c r="J97" s="73" t="n">
        <f aca="false">'Consensus Bridge'!D20</f>
        <v>35.2265200268053</v>
      </c>
      <c r="K97" s="43" t="n">
        <f aca="false">'Consensus Bridge'!D21</f>
        <v>0.24</v>
      </c>
      <c r="L97" s="43" t="n">
        <f aca="false">'Consensus Bridge'!D22</f>
        <v>0.76</v>
      </c>
      <c r="M97" s="1" t="n">
        <f aca="false">'Consensus Bridge'!D23</f>
        <v>0</v>
      </c>
      <c r="N97" s="1" t="n">
        <f aca="false">'Consensus Bridge'!D24</f>
        <v>0</v>
      </c>
      <c r="O97" s="1" t="str">
        <f aca="false">'Consensus Bridge'!D25</f>
        <v>Our 2027 assumption</v>
      </c>
    </row>
    <row r="98" customFormat="false" ht="15" hidden="false" customHeight="true" outlineLevel="0" collapsed="false">
      <c r="C98" s="1" t="s">
        <v>3222</v>
      </c>
      <c r="D98" s="1" t="str">
        <f aca="false">'Consensus Bridge'!C14</f>
        <v>Row = (Our_assumption − Street_implied_assumption) × sensitivity_from_model_cells × (1 − tax_rate) / diluted_shares. Street-implied values are new Drivers rows cited to 02-consensus-anatomy.md.</v>
      </c>
      <c r="E98" s="1" t="n">
        <f aca="false">'Consensus Bridge'!C15</f>
        <v>0</v>
      </c>
      <c r="F98" s="1" t="str">
        <f aca="false">'Consensus Bridge'!C16</f>
        <v>Reference cells</v>
      </c>
      <c r="G98" s="1" t="str">
        <f aca="false">'Consensus Bridge'!C17</f>
        <v>Model 2027E EPS</v>
      </c>
      <c r="H98" s="1" t="str">
        <f aca="false">'Consensus Bridge'!C18</f>
        <v>Consensus 2027E EPS (FactSet)</v>
      </c>
      <c r="I98" s="1" t="str">
        <f aca="false">'Consensus Bridge'!C19</f>
        <v>Target gap ($/sh)</v>
      </c>
      <c r="J98" s="1" t="str">
        <f aca="false">'Consensus Bridge'!C20</f>
        <v>Diluted shares 2027 (M)</v>
      </c>
      <c r="K98" s="1" t="str">
        <f aca="false">'Consensus Bridge'!C21</f>
        <v>Effective tax rate 2027</v>
      </c>
      <c r="L98" s="1" t="str">
        <f aca="false">'Consensus Bridge'!C22</f>
        <v>(1 − tax)</v>
      </c>
      <c r="M98" s="1" t="n">
        <f aca="false">'Consensus Bridge'!C23</f>
        <v>0</v>
      </c>
      <c r="N98" s="1" t="str">
        <f aca="false">'Consensus Bridge'!C24</f>
        <v>Bridge (per share, 2027)</v>
      </c>
      <c r="O98" s="1" t="str">
        <f aca="false">'Consensus Bridge'!C25</f>
        <v>Driver</v>
      </c>
    </row>
    <row r="99" customFormat="false" ht="15" hidden="false" customHeight="true" outlineLevel="0" collapsed="false">
      <c r="A99" s="1" t="s">
        <v>11</v>
      </c>
      <c r="C99" s="1" t="s">
        <v>3223</v>
      </c>
    </row>
    <row r="100" customFormat="false" ht="15" hidden="false" customHeight="true" outlineLevel="0" collapsed="false">
      <c r="C100" s="1" t="s">
        <v>3224</v>
      </c>
      <c r="D100" s="1" t="n">
        <v>100</v>
      </c>
      <c r="E100" s="1" t="n">
        <v>125</v>
      </c>
      <c r="F100" s="1" t="n">
        <v>150</v>
      </c>
      <c r="G100" s="1" t="n">
        <v>175</v>
      </c>
      <c r="H100" s="1" t="n">
        <v>200</v>
      </c>
    </row>
    <row r="101" customFormat="false" ht="15" hidden="false" customHeight="true" outlineLevel="0" collapsed="false">
      <c r="C101" s="1" t="n">
        <v>0</v>
      </c>
      <c r="D101" s="1" t="n">
        <f aca="false">'3 Statement Forecast'!$F$33 + ($C101-Drivers!$C$33)*$D$202 + (D$100-$D$203)*(1-Drivers!$C$274)/Drivers!$C$277</f>
        <v>7.30632153312777</v>
      </c>
      <c r="E101" s="1" t="n">
        <f aca="false">'3 Statement Forecast'!$F$33 + ($C101-Drivers!$C$33)*$D$202 + (E$100-$D$203)*(1-Drivers!$C$274)/Drivers!$C$277</f>
        <v>7.86290100931557</v>
      </c>
      <c r="F101" s="1" t="n">
        <f aca="false">'3 Statement Forecast'!$F$33 + ($C101-Drivers!$C$33)*$D$202 + (F$100-$D$203)*(1-Drivers!$C$274)/Drivers!$C$277</f>
        <v>8.41948048550337</v>
      </c>
      <c r="G101" s="1" t="n">
        <f aca="false">'3 Statement Forecast'!$F$33 + ($C101-Drivers!$C$33)*$D$202 + (G$100-$D$203)*(1-Drivers!$C$274)/Drivers!$C$277</f>
        <v>8.97605996169116</v>
      </c>
      <c r="H101" s="1" t="n">
        <f aca="false">'3 Statement Forecast'!$F$33 + ($C101-Drivers!$C$33)*$D$202 + (H$100-$D$203)*(1-Drivers!$C$274)/Drivers!$C$277</f>
        <v>9.53263943787896</v>
      </c>
    </row>
    <row r="102" customFormat="false" ht="15" hidden="false" customHeight="true" outlineLevel="0" collapsed="false">
      <c r="C102" s="1" t="n">
        <v>0.05</v>
      </c>
      <c r="D102" s="1" t="n">
        <f aca="false">'3 Statement Forecast'!$F$33 + ($C102-Drivers!$C$33)*$D$202 + (D$100-$D$203)*(1-Drivers!$C$274)/Drivers!$C$277</f>
        <v>7.70632153312777</v>
      </c>
      <c r="E102" s="1" t="n">
        <f aca="false">'3 Statement Forecast'!$F$33 + ($C102-Drivers!$C$33)*$D$202 + (E$100-$D$203)*(1-Drivers!$C$274)/Drivers!$C$277</f>
        <v>8.26290100931557</v>
      </c>
      <c r="F102" s="1" t="n">
        <f aca="false">'3 Statement Forecast'!$F$33 + ($C102-Drivers!$C$33)*$D$202 + (F$100-$D$203)*(1-Drivers!$C$274)/Drivers!$C$277</f>
        <v>8.81948048550336</v>
      </c>
      <c r="G102" s="1" t="n">
        <f aca="false">'3 Statement Forecast'!$F$33 + ($C102-Drivers!$C$33)*$D$202 + (G$100-$D$203)*(1-Drivers!$C$274)/Drivers!$C$277</f>
        <v>9.37605996169116</v>
      </c>
      <c r="H102" s="1" t="n">
        <f aca="false">'3 Statement Forecast'!$F$33 + ($C102-Drivers!$C$33)*$D$202 + (H$100-$D$203)*(1-Drivers!$C$274)/Drivers!$C$277</f>
        <v>9.93263943787896</v>
      </c>
    </row>
    <row r="103" customFormat="false" ht="15" hidden="false" customHeight="true" outlineLevel="0" collapsed="false">
      <c r="C103" s="1" t="n">
        <v>0.1</v>
      </c>
      <c r="D103" s="1" t="n">
        <f aca="false">'3 Statement Forecast'!$F$33 + ($C103-Drivers!$C$33)*$D$202 + (D$100-$D$203)*(1-Drivers!$C$274)/Drivers!$C$277</f>
        <v>8.10632153312777</v>
      </c>
      <c r="E103" s="1" t="n">
        <f aca="false">'3 Statement Forecast'!$F$33 + ($C103-Drivers!$C$33)*$D$202 + (E$100-$D$203)*(1-Drivers!$C$274)/Drivers!$C$277</f>
        <v>8.66290100931557</v>
      </c>
      <c r="F103" s="1" t="n">
        <f aca="false">'3 Statement Forecast'!$F$33 + ($C103-Drivers!$C$33)*$D$202 + (F$100-$D$203)*(1-Drivers!$C$274)/Drivers!$C$277</f>
        <v>9.21948048550337</v>
      </c>
      <c r="G103" s="1" t="n">
        <f aca="false">'3 Statement Forecast'!$F$33 + ($C103-Drivers!$C$33)*$D$202 + (G$100-$D$203)*(1-Drivers!$C$274)/Drivers!$C$277</f>
        <v>9.77605996169116</v>
      </c>
      <c r="H103" s="1" t="n">
        <f aca="false">'3 Statement Forecast'!$F$33 + ($C103-Drivers!$C$33)*$D$202 + (H$100-$D$203)*(1-Drivers!$C$274)/Drivers!$C$277</f>
        <v>10.332639437879</v>
      </c>
    </row>
    <row r="104" customFormat="false" ht="15" hidden="false" customHeight="true" outlineLevel="0" collapsed="false">
      <c r="C104" s="1" t="n">
        <v>0.15</v>
      </c>
      <c r="D104" s="1" t="n">
        <f aca="false">'3 Statement Forecast'!$F$33 + ($C104-Drivers!$C$33)*$D$202 + (D$100-$D$203)*(1-Drivers!$C$274)/Drivers!$C$277</f>
        <v>8.50632153312777</v>
      </c>
      <c r="E104" s="1" t="n">
        <f aca="false">'3 Statement Forecast'!$F$33 + ($C104-Drivers!$C$33)*$D$202 + (E$100-$D$203)*(1-Drivers!$C$274)/Drivers!$C$277</f>
        <v>9.06290100931557</v>
      </c>
      <c r="F104" s="1" t="n">
        <f aca="false">'3 Statement Forecast'!$F$33 + ($C104-Drivers!$C$33)*$D$202 + (F$100-$D$203)*(1-Drivers!$C$274)/Drivers!$C$277</f>
        <v>9.61948048550337</v>
      </c>
      <c r="G104" s="1" t="n">
        <f aca="false">'3 Statement Forecast'!$F$33 + ($C104-Drivers!$C$33)*$D$202 + (G$100-$D$203)*(1-Drivers!$C$274)/Drivers!$C$277</f>
        <v>10.1760599616912</v>
      </c>
      <c r="H104" s="1" t="n">
        <f aca="false">'3 Statement Forecast'!$F$33 + ($C104-Drivers!$C$33)*$D$202 + (H$100-$D$203)*(1-Drivers!$C$274)/Drivers!$C$277</f>
        <v>10.732639437879</v>
      </c>
    </row>
    <row r="105" customFormat="false" ht="15" hidden="false" customHeight="true" outlineLevel="0" collapsed="false">
      <c r="C105" s="1" t="n">
        <v>0.2</v>
      </c>
      <c r="D105" s="1" t="n">
        <f aca="false">'3 Statement Forecast'!$F$33 + ($C105-Drivers!$C$33)*$D$202 + (D$100-$D$203)*(1-Drivers!$C$274)/Drivers!$C$277</f>
        <v>8.90632153312777</v>
      </c>
      <c r="E105" s="1" t="n">
        <f aca="false">'3 Statement Forecast'!$F$33 + ($C105-Drivers!$C$33)*$D$202 + (E$100-$D$203)*(1-Drivers!$C$274)/Drivers!$C$277</f>
        <v>9.46290100931557</v>
      </c>
      <c r="F105" s="1" t="n">
        <f aca="false">'3 Statement Forecast'!$F$33 + ($C105-Drivers!$C$33)*$D$202 + (F$100-$D$203)*(1-Drivers!$C$274)/Drivers!$C$277</f>
        <v>10.0194804855034</v>
      </c>
      <c r="G105" s="1" t="n">
        <f aca="false">'3 Statement Forecast'!$F$33 + ($C105-Drivers!$C$33)*$D$202 + (G$100-$D$203)*(1-Drivers!$C$274)/Drivers!$C$277</f>
        <v>10.5760599616912</v>
      </c>
      <c r="H105" s="1" t="n">
        <f aca="false">'3 Statement Forecast'!$F$33 + ($C105-Drivers!$C$33)*$D$202 + (H$100-$D$203)*(1-Drivers!$C$274)/Drivers!$C$277</f>
        <v>11.132639437879</v>
      </c>
    </row>
    <row r="106" customFormat="false" ht="15" hidden="false" customHeight="true" outlineLevel="0" collapsed="false">
      <c r="C106" s="1" t="n">
        <v>0.25</v>
      </c>
      <c r="D106" s="1" t="n">
        <f aca="false">'3 Statement Forecast'!$F$33 + ($C106-Drivers!$C$33)*$D$202 + (D$100-$D$203)*(1-Drivers!$C$274)/Drivers!$C$277</f>
        <v>9.30632153312777</v>
      </c>
      <c r="E106" s="1" t="n">
        <f aca="false">'3 Statement Forecast'!$F$33 + ($C106-Drivers!$C$33)*$D$202 + (E$100-$D$203)*(1-Drivers!$C$274)/Drivers!$C$277</f>
        <v>9.86290100931557</v>
      </c>
      <c r="F106" s="1" t="n">
        <f aca="false">'3 Statement Forecast'!$F$33 + ($C106-Drivers!$C$33)*$D$202 + (F$100-$D$203)*(1-Drivers!$C$274)/Drivers!$C$277</f>
        <v>10.4194804855034</v>
      </c>
      <c r="G106" s="1" t="n">
        <f aca="false">'3 Statement Forecast'!$F$33 + ($C106-Drivers!$C$33)*$D$202 + (G$100-$D$203)*(1-Drivers!$C$274)/Drivers!$C$277</f>
        <v>10.9760599616912</v>
      </c>
      <c r="H106" s="1" t="n">
        <f aca="false">'3 Statement Forecast'!$F$33 + ($C106-Drivers!$C$33)*$D$202 + (H$100-$D$203)*(1-Drivers!$C$274)/Drivers!$C$277</f>
        <v>11.532639437879</v>
      </c>
    </row>
    <row r="108" customFormat="false" ht="15" hidden="false" customHeight="true" outlineLevel="0" collapsed="false">
      <c r="A108" s="1" t="s">
        <v>11</v>
      </c>
      <c r="C108" s="1" t="s">
        <v>3225</v>
      </c>
    </row>
    <row r="109" customFormat="false" ht="15" hidden="false" customHeight="true" outlineLevel="0" collapsed="false">
      <c r="C109" s="1" t="s">
        <v>3226</v>
      </c>
      <c r="D109" s="1" t="n">
        <v>0.02</v>
      </c>
      <c r="E109" s="1" t="n">
        <v>0.025</v>
      </c>
      <c r="F109" s="1" t="n">
        <v>0.03</v>
      </c>
      <c r="G109" s="1" t="n">
        <v>0.035</v>
      </c>
      <c r="H109" s="1" t="n">
        <v>0.04</v>
      </c>
    </row>
    <row r="110" customFormat="false" ht="15" hidden="false" customHeight="true" outlineLevel="0" collapsed="false">
      <c r="C110" s="1" t="n">
        <v>0.05</v>
      </c>
      <c r="D110" s="1" t="n">
        <f aca="false">DCF!$D$118*(DCF!$D$65-Drivers!$C$397)/($C110-D$109)</f>
        <v>377.139259057436</v>
      </c>
      <c r="E110" s="1" t="n">
        <f aca="false">DCF!$D$118*(DCF!$D$65-Drivers!$C$397)/($C110-E$109)</f>
        <v>452.567110868923</v>
      </c>
      <c r="F110" s="1" t="n">
        <f aca="false">DCF!$D$118*(DCF!$D$65-Drivers!$C$397)/($C110-F$109)</f>
        <v>565.708888586153</v>
      </c>
      <c r="G110" s="1" t="n">
        <f aca="false">DCF!$D$118*(DCF!$D$65-Drivers!$C$397)/($C110-G$109)</f>
        <v>754.278518114871</v>
      </c>
      <c r="H110" s="1" t="n">
        <f aca="false">DCF!$D$118*(DCF!$D$65-Drivers!$C$397)/($C110-H$109)</f>
        <v>1131.41777717231</v>
      </c>
    </row>
    <row r="111" customFormat="false" ht="15" hidden="false" customHeight="true" outlineLevel="0" collapsed="false">
      <c r="C111" s="1" t="n">
        <v>0.055</v>
      </c>
      <c r="D111" s="1" t="n">
        <f aca="false">DCF!$D$118*(DCF!$D$65-Drivers!$C$397)/($C111-D$109)</f>
        <v>323.262222049231</v>
      </c>
      <c r="E111" s="1" t="n">
        <f aca="false">DCF!$D$118*(DCF!$D$65-Drivers!$C$397)/($C111-E$109)</f>
        <v>377.139259057436</v>
      </c>
      <c r="F111" s="1" t="n">
        <f aca="false">DCF!$D$118*(DCF!$D$65-Drivers!$C$397)/($C111-F$109)</f>
        <v>452.567110868923</v>
      </c>
      <c r="G111" s="1" t="n">
        <f aca="false">DCF!$D$118*(DCF!$D$65-Drivers!$C$397)/($C111-G$109)</f>
        <v>565.708888586154</v>
      </c>
      <c r="H111" s="1" t="n">
        <f aca="false">DCF!$D$118*(DCF!$D$65-Drivers!$C$397)/($C111-H$109)</f>
        <v>754.278518114871</v>
      </c>
    </row>
    <row r="112" customFormat="false" ht="15" hidden="false" customHeight="true" outlineLevel="0" collapsed="false">
      <c r="C112" s="1" t="n">
        <v>0.06</v>
      </c>
      <c r="D112" s="1" t="n">
        <f aca="false">DCF!$D$118*(DCF!$D$65-Drivers!$C$397)/($C112-D$109)</f>
        <v>282.854444293077</v>
      </c>
      <c r="E112" s="1" t="n">
        <f aca="false">DCF!$D$118*(DCF!$D$65-Drivers!$C$397)/($C112-E$109)</f>
        <v>323.262222049231</v>
      </c>
      <c r="F112" s="1" t="n">
        <f aca="false">DCF!$D$118*(DCF!$D$65-Drivers!$C$397)/($C112-F$109)</f>
        <v>377.139259057436</v>
      </c>
      <c r="G112" s="1" t="n">
        <f aca="false">DCF!$D$118*(DCF!$D$65-Drivers!$C$397)/($C112-G$109)</f>
        <v>452.567110868923</v>
      </c>
      <c r="H112" s="1" t="n">
        <f aca="false">DCF!$D$118*(DCF!$D$65-Drivers!$C$397)/($C112-H$109)</f>
        <v>565.708888586154</v>
      </c>
    </row>
    <row r="113" customFormat="false" ht="15" hidden="false" customHeight="true" outlineLevel="0" collapsed="false">
      <c r="C113" s="1" t="n">
        <v>0.065</v>
      </c>
      <c r="D113" s="1" t="n">
        <f aca="false">DCF!$D$118*(DCF!$D$65-Drivers!$C$397)/($C113-D$109)</f>
        <v>251.426172704957</v>
      </c>
      <c r="E113" s="1" t="n">
        <f aca="false">DCF!$D$118*(DCF!$D$65-Drivers!$C$397)/($C113-E$109)</f>
        <v>282.854444293077</v>
      </c>
      <c r="F113" s="1" t="n">
        <f aca="false">DCF!$D$118*(DCF!$D$65-Drivers!$C$397)/($C113-F$109)</f>
        <v>323.262222049231</v>
      </c>
      <c r="G113" s="1" t="n">
        <f aca="false">DCF!$D$118*(DCF!$D$65-Drivers!$C$397)/($C113-G$109)</f>
        <v>377.139259057436</v>
      </c>
      <c r="H113" s="1" t="n">
        <f aca="false">DCF!$D$118*(DCF!$D$65-Drivers!$C$397)/($C113-H$109)</f>
        <v>452.567110868923</v>
      </c>
    </row>
    <row r="114" customFormat="false" ht="15" hidden="false" customHeight="true" outlineLevel="0" collapsed="false">
      <c r="C114" s="1" t="n">
        <v>0.07</v>
      </c>
      <c r="D114" s="1" t="n">
        <f aca="false">DCF!$D$118*(DCF!$D$65-Drivers!$C$397)/($C114-D$109)</f>
        <v>226.283555434461</v>
      </c>
      <c r="E114" s="1" t="n">
        <f aca="false">DCF!$D$118*(DCF!$D$65-Drivers!$C$397)/($C114-E$109)</f>
        <v>251.426172704957</v>
      </c>
      <c r="F114" s="1" t="n">
        <f aca="false">DCF!$D$118*(DCF!$D$65-Drivers!$C$397)/($C114-F$109)</f>
        <v>282.854444293077</v>
      </c>
      <c r="G114" s="1" t="n">
        <f aca="false">DCF!$D$118*(DCF!$D$65-Drivers!$C$397)/($C114-G$109)</f>
        <v>323.262222049231</v>
      </c>
      <c r="H114" s="1" t="n">
        <f aca="false">DCF!$D$118*(DCF!$D$65-Drivers!$C$397)/($C114-H$109)</f>
        <v>377.139259057436</v>
      </c>
    </row>
    <row r="115" customFormat="false" ht="15" hidden="false" customHeight="true" outlineLevel="0" collapsed="false">
      <c r="C115" s="1" t="n">
        <v>0.075</v>
      </c>
      <c r="D115" s="1" t="n">
        <f aca="false">DCF!$D$118*(DCF!$D$65-Drivers!$C$397)/($C115-D$109)</f>
        <v>205.712323122238</v>
      </c>
      <c r="E115" s="1" t="n">
        <f aca="false">DCF!$D$118*(DCF!$D$65-Drivers!$C$397)/($C115-E$109)</f>
        <v>226.283555434461</v>
      </c>
      <c r="F115" s="1" t="n">
        <f aca="false">DCF!$D$118*(DCF!$D$65-Drivers!$C$397)/($C115-F$109)</f>
        <v>251.426172704957</v>
      </c>
      <c r="G115" s="1" t="n">
        <f aca="false">DCF!$D$118*(DCF!$D$65-Drivers!$C$397)/($C115-G$109)</f>
        <v>282.854444293077</v>
      </c>
      <c r="H115" s="1" t="n">
        <f aca="false">DCF!$D$118*(DCF!$D$65-Drivers!$C$397)/($C115-H$109)</f>
        <v>323.262222049231</v>
      </c>
    </row>
    <row r="119" customFormat="false" ht="15" hidden="false" customHeight="true" outlineLevel="0" collapsed="false">
      <c r="C119" s="209" t="s">
        <v>3227</v>
      </c>
      <c r="M119" s="209" t="s">
        <v>3228</v>
      </c>
    </row>
    <row r="138" customFormat="false" ht="15" hidden="false" customHeight="true" outlineLevel="0" collapsed="false">
      <c r="C138" s="210" t="s">
        <v>3229</v>
      </c>
      <c r="M138" s="210" t="s">
        <v>3230</v>
      </c>
    </row>
    <row r="141" customFormat="false" ht="15" hidden="false" customHeight="true" outlineLevel="0" collapsed="false">
      <c r="C141" s="209" t="s">
        <v>3231</v>
      </c>
      <c r="M141" s="209" t="s">
        <v>3232</v>
      </c>
    </row>
    <row r="160" customFormat="false" ht="15" hidden="false" customHeight="true" outlineLevel="0" collapsed="false">
      <c r="C160" s="210" t="s">
        <v>3233</v>
      </c>
      <c r="M160" s="210" t="s">
        <v>3234</v>
      </c>
    </row>
    <row r="163" customFormat="false" ht="15" hidden="false" customHeight="true" outlineLevel="0" collapsed="false">
      <c r="C163" s="209" t="s">
        <v>3235</v>
      </c>
      <c r="M163" s="209" t="s">
        <v>3236</v>
      </c>
    </row>
    <row r="182" customFormat="false" ht="15" hidden="false" customHeight="true" outlineLevel="0" collapsed="false">
      <c r="C182" s="210" t="s">
        <v>3237</v>
      </c>
      <c r="M182" s="210" t="s">
        <v>3238</v>
      </c>
    </row>
    <row r="185" customFormat="false" ht="15" hidden="false" customHeight="true" outlineLevel="0" collapsed="false">
      <c r="C185" s="209" t="s">
        <v>3239</v>
      </c>
      <c r="M185" s="209" t="s">
        <v>3240</v>
      </c>
    </row>
    <row r="200" customFormat="false" ht="15" hidden="false" customHeight="true" outlineLevel="0" collapsed="false">
      <c r="C200" s="1" t="s">
        <v>3241</v>
      </c>
    </row>
    <row r="201" customFormat="false" ht="15" hidden="false" customHeight="true" outlineLevel="0" collapsed="false">
      <c r="C201" s="1" t="s">
        <v>3242</v>
      </c>
      <c r="D201" s="1" t="n">
        <v>140</v>
      </c>
      <c r="E201" s="1" t="s">
        <v>3243</v>
      </c>
    </row>
    <row r="202" customFormat="false" ht="15" hidden="false" customHeight="true" outlineLevel="0" collapsed="false">
      <c r="C202" s="1" t="s">
        <v>3244</v>
      </c>
      <c r="D202" s="1" t="n">
        <v>8</v>
      </c>
      <c r="E202" s="1" t="s">
        <v>3245</v>
      </c>
    </row>
    <row r="203" customFormat="false" ht="15" hidden="false" customHeight="true" outlineLevel="0" collapsed="false">
      <c r="C203" s="1" t="s">
        <v>3246</v>
      </c>
      <c r="D203" s="1" t="n">
        <v>175</v>
      </c>
      <c r="E203" s="1" t="s">
        <v>3247</v>
      </c>
    </row>
    <row r="204" customFormat="false" ht="15" hidden="false" customHeight="true" outlineLevel="0" collapsed="false">
      <c r="C204" s="210" t="s">
        <v>3248</v>
      </c>
      <c r="M204" s="210" t="s">
        <v>3249</v>
      </c>
    </row>
    <row r="207" customFormat="false" ht="15" hidden="false" customHeight="true" outlineLevel="0" collapsed="false">
      <c r="C207" s="209" t="s">
        <v>3250</v>
      </c>
      <c r="M207" s="209" t="s">
        <v>3251</v>
      </c>
    </row>
    <row r="226" customFormat="false" ht="15" hidden="false" customHeight="true" outlineLevel="0" collapsed="false">
      <c r="C226" s="210" t="s">
        <v>3252</v>
      </c>
      <c r="M226" s="210" t="s">
        <v>3253</v>
      </c>
    </row>
    <row r="229" customFormat="false" ht="15" hidden="false" customHeight="true" outlineLevel="0" collapsed="false">
      <c r="C229" s="209" t="s">
        <v>3254</v>
      </c>
      <c r="M229" s="209" t="s">
        <v>3255</v>
      </c>
    </row>
    <row r="248" customFormat="false" ht="15" hidden="false" customHeight="true" outlineLevel="0" collapsed="false">
      <c r="C248" s="210" t="s">
        <v>3256</v>
      </c>
      <c r="M248" s="210" t="s">
        <v>3257</v>
      </c>
    </row>
    <row r="251" customFormat="false" ht="15" hidden="false" customHeight="true" outlineLevel="0" collapsed="false">
      <c r="C251" s="209" t="s">
        <v>3258</v>
      </c>
      <c r="M251" s="209" t="s">
        <v>3259</v>
      </c>
    </row>
    <row r="270" customFormat="false" ht="15" hidden="false" customHeight="true" outlineLevel="0" collapsed="false">
      <c r="C270" s="210" t="s">
        <v>3260</v>
      </c>
      <c r="M270" s="210" t="s">
        <v>3261</v>
      </c>
    </row>
    <row r="273" customFormat="false" ht="15" hidden="false" customHeight="true" outlineLevel="0" collapsed="false">
      <c r="C273" s="209" t="s">
        <v>3262</v>
      </c>
      <c r="M273" s="209" t="s">
        <v>3263</v>
      </c>
    </row>
    <row r="292" customFormat="false" ht="15" hidden="false" customHeight="true" outlineLevel="0" collapsed="false">
      <c r="C292" s="210" t="s">
        <v>3264</v>
      </c>
      <c r="M292" s="210" t="s">
        <v>3265</v>
      </c>
    </row>
    <row r="295" customFormat="false" ht="15" hidden="false" customHeight="true" outlineLevel="0" collapsed="false">
      <c r="C295" s="209" t="s">
        <v>3266</v>
      </c>
      <c r="M295" s="209" t="s">
        <v>3267</v>
      </c>
    </row>
    <row r="314" customFormat="false" ht="15" hidden="false" customHeight="true" outlineLevel="0" collapsed="false">
      <c r="C314" s="210" t="s">
        <v>3268</v>
      </c>
      <c r="M314" s="210" t="s">
        <v>3269</v>
      </c>
    </row>
    <row r="317" customFormat="false" ht="15" hidden="false" customHeight="true" outlineLevel="0" collapsed="false">
      <c r="C317" s="209" t="s">
        <v>3270</v>
      </c>
      <c r="M317" s="209" t="s">
        <v>3271</v>
      </c>
    </row>
    <row r="336" customFormat="false" ht="15" hidden="false" customHeight="true" outlineLevel="0" collapsed="false">
      <c r="C336" s="210" t="s">
        <v>3272</v>
      </c>
      <c r="M336" s="210" t="s">
        <v>3273</v>
      </c>
    </row>
    <row r="339" customFormat="false" ht="15" hidden="false" customHeight="true" outlineLevel="0" collapsed="false">
      <c r="C339" s="209" t="s">
        <v>3274</v>
      </c>
      <c r="M339" s="209" t="s">
        <v>3275</v>
      </c>
    </row>
    <row r="358" customFormat="false" ht="15" hidden="false" customHeight="true" outlineLevel="0" collapsed="false">
      <c r="C358" s="210" t="s">
        <v>3276</v>
      </c>
      <c r="M358" s="210" t="s">
        <v>3277</v>
      </c>
    </row>
  </sheetData>
  <conditionalFormatting sqref="D101:H106">
    <cfRule type="colorScale" priority="2">
      <colorScale>
        <cfvo type="min" val="0"/>
        <cfvo type="percentile" val="50"/>
        <cfvo type="max" val="0"/>
        <color rgb="FFF8696B"/>
        <color rgb="FFFFEB84"/>
        <color rgb="FF63BE7B"/>
      </colorScale>
    </cfRule>
  </conditionalFormatting>
  <conditionalFormatting sqref="D110:H115">
    <cfRule type="colorScale" priority="3">
      <colorScale>
        <cfvo type="min" val="0"/>
        <cfvo type="percentile" val="50"/>
        <cfvo type="max" val="0"/>
        <color rgb="FFF8696B"/>
        <color rgb="FFFFEB84"/>
        <color rgb="FF63BE7B"/>
      </colorScale>
    </cfRule>
  </conditionalFormatting>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true" outlineLevel="0" collapsed="false">
      <c r="A1" s="1" t="s">
        <v>3278</v>
      </c>
    </row>
    <row r="2" customFormat="false" ht="15" hidden="false" customHeight="true" outlineLevel="0" collapsed="false">
      <c r="A2" s="1" t="s">
        <v>3279</v>
      </c>
    </row>
    <row r="4" customFormat="false" ht="15" hidden="false" customHeight="true" outlineLevel="0" collapsed="false">
      <c r="A4" s="1" t="s">
        <v>3280</v>
      </c>
    </row>
    <row r="5" customFormat="false" ht="15" hidden="false" customHeight="true" outlineLevel="0" collapsed="false">
      <c r="A5" s="1" t="s">
        <v>3281</v>
      </c>
      <c r="B5" s="1" t="s">
        <v>3282</v>
      </c>
      <c r="C5" s="1" t="s">
        <v>3283</v>
      </c>
      <c r="D5" s="1" t="s">
        <v>3284</v>
      </c>
    </row>
    <row r="6" customFormat="false" ht="15" hidden="false" customHeight="true" outlineLevel="0" collapsed="false">
      <c r="A6" s="1" t="s">
        <v>3285</v>
      </c>
      <c r="B6" s="1" t="n">
        <v>10.9439</v>
      </c>
      <c r="C6" s="1" t="n">
        <v>10.7459</v>
      </c>
      <c r="D6" s="1" t="n">
        <v>10.548</v>
      </c>
    </row>
    <row r="7" customFormat="false" ht="15" hidden="false" customHeight="true" outlineLevel="0" collapsed="false">
      <c r="A7" s="1" t="s">
        <v>3286</v>
      </c>
      <c r="B7" s="1" t="n">
        <v>10.8094</v>
      </c>
      <c r="C7" s="1" t="n">
        <v>10.6114</v>
      </c>
      <c r="D7" s="1" t="n">
        <v>10.4134</v>
      </c>
    </row>
    <row r="8" customFormat="false" ht="15" hidden="false" customHeight="true" outlineLevel="0" collapsed="false">
      <c r="A8" s="1" t="s">
        <v>3287</v>
      </c>
      <c r="B8" s="1" t="n">
        <v>10.6749</v>
      </c>
      <c r="C8" s="1" t="n">
        <v>10.4769</v>
      </c>
      <c r="D8" s="1" t="n">
        <v>10.2789</v>
      </c>
    </row>
    <row r="9" customFormat="false" ht="15" hidden="false" customHeight="true" outlineLevel="0" collapsed="false">
      <c r="A9" s="1" t="s">
        <v>3288</v>
      </c>
      <c r="B9" s="1" t="n">
        <v>10.5403</v>
      </c>
      <c r="C9" s="1" t="n">
        <v>10.3424</v>
      </c>
      <c r="D9" s="1" t="n">
        <v>10.1444</v>
      </c>
    </row>
    <row r="10" customFormat="false" ht="15" hidden="false" customHeight="true" outlineLevel="0" collapsed="false">
      <c r="A10" s="1" t="s">
        <v>3289</v>
      </c>
      <c r="B10" s="1" t="n">
        <v>10.4058</v>
      </c>
      <c r="C10" s="1" t="n">
        <v>10.2079</v>
      </c>
      <c r="D10" s="1" t="n">
        <v>10.0099</v>
      </c>
    </row>
    <row r="12" customFormat="false" ht="15" hidden="false" customHeight="true" outlineLevel="0" collapsed="false">
      <c r="A12" s="1" t="s">
        <v>3290</v>
      </c>
    </row>
    <row r="13" customFormat="false" ht="15" hidden="false" customHeight="true" outlineLevel="0" collapsed="false">
      <c r="A13" s="1" t="s">
        <v>3281</v>
      </c>
      <c r="B13" s="1" t="s">
        <v>3282</v>
      </c>
      <c r="C13" s="1" t="s">
        <v>3283</v>
      </c>
      <c r="D13" s="1" t="s">
        <v>3284</v>
      </c>
    </row>
    <row r="14" customFormat="false" ht="15" hidden="false" customHeight="true" outlineLevel="0" collapsed="false">
      <c r="A14" s="1" t="s">
        <v>3285</v>
      </c>
      <c r="B14" s="1" t="n">
        <v>171.41</v>
      </c>
      <c r="C14" s="1" t="n">
        <v>169.12</v>
      </c>
      <c r="D14" s="1" t="n">
        <v>166.84</v>
      </c>
    </row>
    <row r="15" customFormat="false" ht="15" hidden="false" customHeight="true" outlineLevel="0" collapsed="false">
      <c r="A15" s="1" t="s">
        <v>3286</v>
      </c>
      <c r="B15" s="1" t="n">
        <v>169.85</v>
      </c>
      <c r="C15" s="1" t="n">
        <v>167.57</v>
      </c>
      <c r="D15" s="1" t="n">
        <v>165.29</v>
      </c>
    </row>
    <row r="16" customFormat="false" ht="15" hidden="false" customHeight="true" outlineLevel="0" collapsed="false">
      <c r="A16" s="1" t="s">
        <v>3287</v>
      </c>
      <c r="B16" s="1" t="n">
        <v>168.3</v>
      </c>
      <c r="C16" s="1" t="n">
        <v>166.02</v>
      </c>
      <c r="D16" s="1" t="n">
        <v>163.75</v>
      </c>
    </row>
    <row r="17" customFormat="false" ht="15" hidden="false" customHeight="true" outlineLevel="0" collapsed="false">
      <c r="A17" s="1" t="s">
        <v>3288</v>
      </c>
      <c r="B17" s="1" t="n">
        <v>166.75</v>
      </c>
      <c r="C17" s="1" t="n">
        <v>164.48</v>
      </c>
      <c r="D17" s="1" t="n">
        <v>162.2</v>
      </c>
    </row>
    <row r="18" customFormat="false" ht="15" hidden="false" customHeight="true" outlineLevel="0" collapsed="false">
      <c r="A18" s="1" t="s">
        <v>3289</v>
      </c>
      <c r="B18" s="1" t="n">
        <v>165.2</v>
      </c>
      <c r="C18" s="1" t="n">
        <v>162.93</v>
      </c>
      <c r="D18" s="1" t="n">
        <v>160.66</v>
      </c>
    </row>
    <row r="20" customFormat="false" ht="15" hidden="false" customHeight="true" outlineLevel="0" collapsed="false">
      <c r="A20" s="1" t="s">
        <v>3291</v>
      </c>
    </row>
    <row r="21" customFormat="false" ht="15" hidden="false" customHeight="true" outlineLevel="0" collapsed="false">
      <c r="A21" s="1" t="s">
        <v>3292</v>
      </c>
      <c r="B21" s="1" t="s">
        <v>3293</v>
      </c>
      <c r="C21" s="1" t="s">
        <v>3294</v>
      </c>
      <c r="D21" s="1" t="s">
        <v>3295</v>
      </c>
      <c r="E21" s="1" t="s">
        <v>3296</v>
      </c>
    </row>
    <row r="22" customFormat="false" ht="15" hidden="false" customHeight="true" outlineLevel="0" collapsed="false">
      <c r="A22" s="1" t="n">
        <v>146</v>
      </c>
      <c r="B22" s="1" t="s">
        <v>3297</v>
      </c>
      <c r="C22" s="1" t="s">
        <v>3298</v>
      </c>
      <c r="D22" s="1" t="s">
        <v>3299</v>
      </c>
      <c r="E22" s="1" t="s">
        <v>2091</v>
      </c>
    </row>
    <row r="23" customFormat="false" ht="15" hidden="false" customHeight="true" outlineLevel="0" collapsed="false">
      <c r="A23" s="1" t="n">
        <v>161.34</v>
      </c>
      <c r="B23" s="1" t="s">
        <v>3300</v>
      </c>
      <c r="C23" s="1" t="s">
        <v>2091</v>
      </c>
      <c r="D23" s="1" t="s">
        <v>3301</v>
      </c>
      <c r="E23" s="1" t="s">
        <v>2091</v>
      </c>
    </row>
    <row r="24" customFormat="false" ht="15" hidden="false" customHeight="true" outlineLevel="0" collapsed="false">
      <c r="A24" s="1" t="n">
        <v>172.27</v>
      </c>
      <c r="B24" s="1" t="s">
        <v>3302</v>
      </c>
      <c r="C24" s="1" t="s">
        <v>2091</v>
      </c>
      <c r="D24" s="1" t="s">
        <v>3303</v>
      </c>
      <c r="E24" s="1" t="s">
        <v>2090</v>
      </c>
    </row>
    <row r="25" customFormat="false" ht="15" hidden="false" customHeight="true" outlineLevel="0" collapsed="false">
      <c r="A25" s="1" t="n">
        <v>177</v>
      </c>
      <c r="B25" s="1" t="s">
        <v>3304</v>
      </c>
      <c r="C25" s="1" t="s">
        <v>2091</v>
      </c>
      <c r="D25" s="1" t="s">
        <v>3305</v>
      </c>
      <c r="E25" s="1" t="s">
        <v>2090</v>
      </c>
    </row>
    <row r="28" customFormat="false" ht="15" hidden="false" customHeight="true" outlineLevel="0" collapsed="false">
      <c r="A28" s="1" t="s">
        <v>3306</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LibreOffice/26.8.0.3$MacOSX_AARCH64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2026-09-25T00:20:36Z</dcterms:created>
  <dc:creator>openpyxl</dc:creator>
  <dc:description/>
  <dc:language>en-US</dc:language>
  <cp:lastModifiedBy/>
  <dcterms:modified xsi:type="dcterms:W3CDTF">2026-10-09T19:03:22Z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